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3e7e8b3b7340de3/Desktop/"/>
    </mc:Choice>
  </mc:AlternateContent>
  <xr:revisionPtr revIDLastSave="7" documentId="11_A628D8470D78B9788FF8A2192016C646AB901C1D" xr6:coauthVersionLast="47" xr6:coauthVersionMax="47" xr10:uidLastSave="{3B02D356-689F-493F-AE59-6640CD1ECC37}"/>
  <bookViews>
    <workbookView xWindow="-98" yWindow="-98" windowWidth="21795" windowHeight="12975" tabRatio="500" firstSheet="1" activeTab="4" xr2:uid="{00000000-000D-0000-FFFF-FFFF00000000}"/>
  </bookViews>
  <sheets>
    <sheet name="사용안내" sheetId="1" r:id="rId1"/>
    <sheet name="대시보드" sheetId="2" r:id="rId2"/>
    <sheet name="학생카드" sheetId="3" r:id="rId3"/>
    <sheet name="반별조회" sheetId="4" r:id="rId4"/>
    <sheet name="상담데이터입력" sheetId="5" r:id="rId5"/>
    <sheet name="수강납입" sheetId="6" r:id="rId6"/>
    <sheet name="반설정" sheetId="7" r:id="rId7"/>
  </sheets>
  <definedNames>
    <definedName name="반명단">반설정!$A$4:$A$18</definedName>
    <definedName name="학생명단">상담데이터입력!$A$3:$A$502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04" i="6" l="1"/>
  <c r="J504" i="6"/>
  <c r="D504" i="6"/>
  <c r="C504" i="6"/>
  <c r="A504" i="6"/>
  <c r="K503" i="6"/>
  <c r="J503" i="6"/>
  <c r="D503" i="6"/>
  <c r="C503" i="6"/>
  <c r="A503" i="6"/>
  <c r="K502" i="6"/>
  <c r="J502" i="6"/>
  <c r="D502" i="6"/>
  <c r="C502" i="6"/>
  <c r="A502" i="6"/>
  <c r="K501" i="6"/>
  <c r="J501" i="6"/>
  <c r="D501" i="6"/>
  <c r="C501" i="6"/>
  <c r="A501" i="6"/>
  <c r="K500" i="6"/>
  <c r="J500" i="6"/>
  <c r="D500" i="6"/>
  <c r="C500" i="6"/>
  <c r="A500" i="6"/>
  <c r="K499" i="6"/>
  <c r="J499" i="6"/>
  <c r="D499" i="6"/>
  <c r="C499" i="6"/>
  <c r="A499" i="6"/>
  <c r="K498" i="6"/>
  <c r="J498" i="6"/>
  <c r="D498" i="6"/>
  <c r="C498" i="6"/>
  <c r="A498" i="6"/>
  <c r="K497" i="6"/>
  <c r="J497" i="6"/>
  <c r="D497" i="6"/>
  <c r="C497" i="6"/>
  <c r="A497" i="6"/>
  <c r="K496" i="6"/>
  <c r="J496" i="6"/>
  <c r="D496" i="6"/>
  <c r="C496" i="6"/>
  <c r="A496" i="6"/>
  <c r="K495" i="6"/>
  <c r="J495" i="6"/>
  <c r="D495" i="6"/>
  <c r="C495" i="6"/>
  <c r="A495" i="6"/>
  <c r="K494" i="6"/>
  <c r="J494" i="6"/>
  <c r="D494" i="6"/>
  <c r="C494" i="6"/>
  <c r="A494" i="6"/>
  <c r="K493" i="6"/>
  <c r="J493" i="6"/>
  <c r="D493" i="6"/>
  <c r="C493" i="6"/>
  <c r="A493" i="6"/>
  <c r="K492" i="6"/>
  <c r="J492" i="6"/>
  <c r="D492" i="6"/>
  <c r="C492" i="6"/>
  <c r="A492" i="6"/>
  <c r="K491" i="6"/>
  <c r="J491" i="6"/>
  <c r="D491" i="6"/>
  <c r="C491" i="6"/>
  <c r="A491" i="6"/>
  <c r="K490" i="6"/>
  <c r="J490" i="6"/>
  <c r="D490" i="6"/>
  <c r="C490" i="6"/>
  <c r="A490" i="6"/>
  <c r="K489" i="6"/>
  <c r="J489" i="6"/>
  <c r="D489" i="6"/>
  <c r="C489" i="6"/>
  <c r="A489" i="6"/>
  <c r="K488" i="6"/>
  <c r="J488" i="6"/>
  <c r="D488" i="6"/>
  <c r="C488" i="6"/>
  <c r="A488" i="6"/>
  <c r="K487" i="6"/>
  <c r="J487" i="6"/>
  <c r="D487" i="6"/>
  <c r="C487" i="6"/>
  <c r="A487" i="6"/>
  <c r="K486" i="6"/>
  <c r="J486" i="6"/>
  <c r="D486" i="6"/>
  <c r="C486" i="6"/>
  <c r="A486" i="6"/>
  <c r="K485" i="6"/>
  <c r="J485" i="6"/>
  <c r="D485" i="6"/>
  <c r="C485" i="6"/>
  <c r="A485" i="6"/>
  <c r="K484" i="6"/>
  <c r="J484" i="6"/>
  <c r="D484" i="6"/>
  <c r="C484" i="6"/>
  <c r="A484" i="6"/>
  <c r="K483" i="6"/>
  <c r="J483" i="6"/>
  <c r="D483" i="6"/>
  <c r="C483" i="6"/>
  <c r="A483" i="6"/>
  <c r="K482" i="6"/>
  <c r="J482" i="6"/>
  <c r="D482" i="6"/>
  <c r="C482" i="6"/>
  <c r="A482" i="6"/>
  <c r="K481" i="6"/>
  <c r="J481" i="6"/>
  <c r="D481" i="6"/>
  <c r="C481" i="6"/>
  <c r="A481" i="6"/>
  <c r="K480" i="6"/>
  <c r="J480" i="6"/>
  <c r="D480" i="6"/>
  <c r="C480" i="6"/>
  <c r="A480" i="6"/>
  <c r="K479" i="6"/>
  <c r="J479" i="6"/>
  <c r="D479" i="6"/>
  <c r="C479" i="6"/>
  <c r="A479" i="6"/>
  <c r="K478" i="6"/>
  <c r="J478" i="6"/>
  <c r="D478" i="6"/>
  <c r="C478" i="6"/>
  <c r="A478" i="6"/>
  <c r="K477" i="6"/>
  <c r="J477" i="6"/>
  <c r="D477" i="6"/>
  <c r="C477" i="6"/>
  <c r="A477" i="6"/>
  <c r="K476" i="6"/>
  <c r="J476" i="6"/>
  <c r="D476" i="6"/>
  <c r="C476" i="6"/>
  <c r="A476" i="6"/>
  <c r="K475" i="6"/>
  <c r="J475" i="6"/>
  <c r="D475" i="6"/>
  <c r="C475" i="6"/>
  <c r="A475" i="6"/>
  <c r="K474" i="6"/>
  <c r="J474" i="6"/>
  <c r="D474" i="6"/>
  <c r="C474" i="6"/>
  <c r="A474" i="6"/>
  <c r="K473" i="6"/>
  <c r="J473" i="6"/>
  <c r="D473" i="6"/>
  <c r="C473" i="6"/>
  <c r="A473" i="6"/>
  <c r="K472" i="6"/>
  <c r="J472" i="6"/>
  <c r="D472" i="6"/>
  <c r="C472" i="6"/>
  <c r="A472" i="6"/>
  <c r="K471" i="6"/>
  <c r="J471" i="6"/>
  <c r="D471" i="6"/>
  <c r="C471" i="6"/>
  <c r="A471" i="6"/>
  <c r="K470" i="6"/>
  <c r="J470" i="6"/>
  <c r="D470" i="6"/>
  <c r="C470" i="6"/>
  <c r="A470" i="6"/>
  <c r="K469" i="6"/>
  <c r="J469" i="6"/>
  <c r="D469" i="6"/>
  <c r="C469" i="6"/>
  <c r="A469" i="6"/>
  <c r="K468" i="6"/>
  <c r="J468" i="6"/>
  <c r="D468" i="6"/>
  <c r="C468" i="6"/>
  <c r="A468" i="6"/>
  <c r="K467" i="6"/>
  <c r="J467" i="6"/>
  <c r="D467" i="6"/>
  <c r="C467" i="6"/>
  <c r="A467" i="6"/>
  <c r="K466" i="6"/>
  <c r="J466" i="6"/>
  <c r="D466" i="6"/>
  <c r="C466" i="6"/>
  <c r="A466" i="6"/>
  <c r="K465" i="6"/>
  <c r="J465" i="6"/>
  <c r="D465" i="6"/>
  <c r="C465" i="6"/>
  <c r="A465" i="6"/>
  <c r="K464" i="6"/>
  <c r="J464" i="6"/>
  <c r="D464" i="6"/>
  <c r="C464" i="6"/>
  <c r="A464" i="6"/>
  <c r="K463" i="6"/>
  <c r="J463" i="6"/>
  <c r="D463" i="6"/>
  <c r="C463" i="6"/>
  <c r="A463" i="6"/>
  <c r="K462" i="6"/>
  <c r="J462" i="6"/>
  <c r="D462" i="6"/>
  <c r="C462" i="6"/>
  <c r="A462" i="6"/>
  <c r="K461" i="6"/>
  <c r="J461" i="6"/>
  <c r="D461" i="6"/>
  <c r="C461" i="6"/>
  <c r="A461" i="6"/>
  <c r="K460" i="6"/>
  <c r="J460" i="6"/>
  <c r="D460" i="6"/>
  <c r="C460" i="6"/>
  <c r="A460" i="6"/>
  <c r="K459" i="6"/>
  <c r="J459" i="6"/>
  <c r="D459" i="6"/>
  <c r="C459" i="6"/>
  <c r="A459" i="6"/>
  <c r="K458" i="6"/>
  <c r="J458" i="6"/>
  <c r="D458" i="6"/>
  <c r="C458" i="6"/>
  <c r="A458" i="6"/>
  <c r="K457" i="6"/>
  <c r="J457" i="6"/>
  <c r="D457" i="6"/>
  <c r="C457" i="6"/>
  <c r="A457" i="6"/>
  <c r="K456" i="6"/>
  <c r="J456" i="6"/>
  <c r="D456" i="6"/>
  <c r="C456" i="6"/>
  <c r="A456" i="6"/>
  <c r="K455" i="6"/>
  <c r="J455" i="6"/>
  <c r="D455" i="6"/>
  <c r="C455" i="6"/>
  <c r="A455" i="6"/>
  <c r="K454" i="6"/>
  <c r="J454" i="6"/>
  <c r="D454" i="6"/>
  <c r="C454" i="6"/>
  <c r="A454" i="6"/>
  <c r="K453" i="6"/>
  <c r="J453" i="6"/>
  <c r="D453" i="6"/>
  <c r="C453" i="6"/>
  <c r="A453" i="6"/>
  <c r="K452" i="6"/>
  <c r="J452" i="6"/>
  <c r="D452" i="6"/>
  <c r="C452" i="6"/>
  <c r="A452" i="6"/>
  <c r="K451" i="6"/>
  <c r="J451" i="6"/>
  <c r="D451" i="6"/>
  <c r="C451" i="6"/>
  <c r="A451" i="6"/>
  <c r="K450" i="6"/>
  <c r="J450" i="6"/>
  <c r="D450" i="6"/>
  <c r="C450" i="6"/>
  <c r="A450" i="6"/>
  <c r="K449" i="6"/>
  <c r="J449" i="6"/>
  <c r="D449" i="6"/>
  <c r="C449" i="6"/>
  <c r="A449" i="6"/>
  <c r="K448" i="6"/>
  <c r="J448" i="6"/>
  <c r="D448" i="6"/>
  <c r="C448" i="6"/>
  <c r="A448" i="6"/>
  <c r="K447" i="6"/>
  <c r="J447" i="6"/>
  <c r="D447" i="6"/>
  <c r="C447" i="6"/>
  <c r="A447" i="6"/>
  <c r="K446" i="6"/>
  <c r="J446" i="6"/>
  <c r="D446" i="6"/>
  <c r="C446" i="6"/>
  <c r="A446" i="6"/>
  <c r="K445" i="6"/>
  <c r="J445" i="6"/>
  <c r="D445" i="6"/>
  <c r="C445" i="6"/>
  <c r="A445" i="6"/>
  <c r="K444" i="6"/>
  <c r="J444" i="6"/>
  <c r="D444" i="6"/>
  <c r="C444" i="6"/>
  <c r="A444" i="6"/>
  <c r="K443" i="6"/>
  <c r="J443" i="6"/>
  <c r="D443" i="6"/>
  <c r="C443" i="6"/>
  <c r="A443" i="6"/>
  <c r="K442" i="6"/>
  <c r="J442" i="6"/>
  <c r="D442" i="6"/>
  <c r="C442" i="6"/>
  <c r="A442" i="6"/>
  <c r="K441" i="6"/>
  <c r="J441" i="6"/>
  <c r="D441" i="6"/>
  <c r="C441" i="6"/>
  <c r="A441" i="6"/>
  <c r="K440" i="6"/>
  <c r="J440" i="6"/>
  <c r="D440" i="6"/>
  <c r="C440" i="6"/>
  <c r="A440" i="6"/>
  <c r="K439" i="6"/>
  <c r="J439" i="6"/>
  <c r="D439" i="6"/>
  <c r="C439" i="6"/>
  <c r="A439" i="6"/>
  <c r="K438" i="6"/>
  <c r="J438" i="6"/>
  <c r="D438" i="6"/>
  <c r="C438" i="6"/>
  <c r="A438" i="6"/>
  <c r="K437" i="6"/>
  <c r="J437" i="6"/>
  <c r="D437" i="6"/>
  <c r="C437" i="6"/>
  <c r="A437" i="6"/>
  <c r="K436" i="6"/>
  <c r="J436" i="6"/>
  <c r="D436" i="6"/>
  <c r="C436" i="6"/>
  <c r="A436" i="6"/>
  <c r="K435" i="6"/>
  <c r="J435" i="6"/>
  <c r="D435" i="6"/>
  <c r="C435" i="6"/>
  <c r="A435" i="6"/>
  <c r="K434" i="6"/>
  <c r="J434" i="6"/>
  <c r="D434" i="6"/>
  <c r="C434" i="6"/>
  <c r="A434" i="6"/>
  <c r="K433" i="6"/>
  <c r="J433" i="6"/>
  <c r="D433" i="6"/>
  <c r="C433" i="6"/>
  <c r="A433" i="6"/>
  <c r="K432" i="6"/>
  <c r="J432" i="6"/>
  <c r="D432" i="6"/>
  <c r="C432" i="6"/>
  <c r="A432" i="6"/>
  <c r="K431" i="6"/>
  <c r="J431" i="6"/>
  <c r="D431" i="6"/>
  <c r="C431" i="6"/>
  <c r="A431" i="6"/>
  <c r="K430" i="6"/>
  <c r="J430" i="6"/>
  <c r="D430" i="6"/>
  <c r="C430" i="6"/>
  <c r="A430" i="6"/>
  <c r="K429" i="6"/>
  <c r="J429" i="6"/>
  <c r="D429" i="6"/>
  <c r="C429" i="6"/>
  <c r="A429" i="6"/>
  <c r="K428" i="6"/>
  <c r="J428" i="6"/>
  <c r="D428" i="6"/>
  <c r="C428" i="6"/>
  <c r="A428" i="6"/>
  <c r="K427" i="6"/>
  <c r="J427" i="6"/>
  <c r="D427" i="6"/>
  <c r="C427" i="6"/>
  <c r="A427" i="6"/>
  <c r="K426" i="6"/>
  <c r="J426" i="6"/>
  <c r="D426" i="6"/>
  <c r="C426" i="6"/>
  <c r="A426" i="6"/>
  <c r="K425" i="6"/>
  <c r="J425" i="6"/>
  <c r="D425" i="6"/>
  <c r="C425" i="6"/>
  <c r="A425" i="6"/>
  <c r="K424" i="6"/>
  <c r="J424" i="6"/>
  <c r="D424" i="6"/>
  <c r="C424" i="6"/>
  <c r="A424" i="6"/>
  <c r="K423" i="6"/>
  <c r="J423" i="6"/>
  <c r="D423" i="6"/>
  <c r="C423" i="6"/>
  <c r="A423" i="6"/>
  <c r="K422" i="6"/>
  <c r="J422" i="6"/>
  <c r="D422" i="6"/>
  <c r="C422" i="6"/>
  <c r="A422" i="6"/>
  <c r="K421" i="6"/>
  <c r="J421" i="6"/>
  <c r="D421" i="6"/>
  <c r="C421" i="6"/>
  <c r="A421" i="6"/>
  <c r="K420" i="6"/>
  <c r="J420" i="6"/>
  <c r="D420" i="6"/>
  <c r="C420" i="6"/>
  <c r="A420" i="6"/>
  <c r="K419" i="6"/>
  <c r="J419" i="6"/>
  <c r="D419" i="6"/>
  <c r="C419" i="6"/>
  <c r="A419" i="6"/>
  <c r="K418" i="6"/>
  <c r="J418" i="6"/>
  <c r="D418" i="6"/>
  <c r="C418" i="6"/>
  <c r="A418" i="6"/>
  <c r="K417" i="6"/>
  <c r="J417" i="6"/>
  <c r="D417" i="6"/>
  <c r="C417" i="6"/>
  <c r="A417" i="6"/>
  <c r="K416" i="6"/>
  <c r="J416" i="6"/>
  <c r="D416" i="6"/>
  <c r="C416" i="6"/>
  <c r="A416" i="6"/>
  <c r="K415" i="6"/>
  <c r="J415" i="6"/>
  <c r="D415" i="6"/>
  <c r="C415" i="6"/>
  <c r="A415" i="6"/>
  <c r="K414" i="6"/>
  <c r="J414" i="6"/>
  <c r="D414" i="6"/>
  <c r="C414" i="6"/>
  <c r="A414" i="6"/>
  <c r="K413" i="6"/>
  <c r="J413" i="6"/>
  <c r="D413" i="6"/>
  <c r="C413" i="6"/>
  <c r="A413" i="6"/>
  <c r="K412" i="6"/>
  <c r="J412" i="6"/>
  <c r="D412" i="6"/>
  <c r="C412" i="6"/>
  <c r="A412" i="6"/>
  <c r="K411" i="6"/>
  <c r="J411" i="6"/>
  <c r="D411" i="6"/>
  <c r="C411" i="6"/>
  <c r="A411" i="6"/>
  <c r="K410" i="6"/>
  <c r="J410" i="6"/>
  <c r="D410" i="6"/>
  <c r="C410" i="6"/>
  <c r="A410" i="6"/>
  <c r="K409" i="6"/>
  <c r="J409" i="6"/>
  <c r="D409" i="6"/>
  <c r="C409" i="6"/>
  <c r="A409" i="6"/>
  <c r="K408" i="6"/>
  <c r="J408" i="6"/>
  <c r="D408" i="6"/>
  <c r="C408" i="6"/>
  <c r="A408" i="6"/>
  <c r="K407" i="6"/>
  <c r="J407" i="6"/>
  <c r="D407" i="6"/>
  <c r="C407" i="6"/>
  <c r="A407" i="6"/>
  <c r="K406" i="6"/>
  <c r="J406" i="6"/>
  <c r="D406" i="6"/>
  <c r="C406" i="6"/>
  <c r="A406" i="6"/>
  <c r="K405" i="6"/>
  <c r="J405" i="6"/>
  <c r="D405" i="6"/>
  <c r="C405" i="6"/>
  <c r="A405" i="6"/>
  <c r="K404" i="6"/>
  <c r="J404" i="6"/>
  <c r="D404" i="6"/>
  <c r="C404" i="6"/>
  <c r="A404" i="6"/>
  <c r="K403" i="6"/>
  <c r="J403" i="6"/>
  <c r="D403" i="6"/>
  <c r="C403" i="6"/>
  <c r="A403" i="6"/>
  <c r="K402" i="6"/>
  <c r="J402" i="6"/>
  <c r="D402" i="6"/>
  <c r="C402" i="6"/>
  <c r="A402" i="6"/>
  <c r="K401" i="6"/>
  <c r="J401" i="6"/>
  <c r="D401" i="6"/>
  <c r="C401" i="6"/>
  <c r="A401" i="6"/>
  <c r="K400" i="6"/>
  <c r="J400" i="6"/>
  <c r="D400" i="6"/>
  <c r="C400" i="6"/>
  <c r="A400" i="6"/>
  <c r="K399" i="6"/>
  <c r="J399" i="6"/>
  <c r="D399" i="6"/>
  <c r="C399" i="6"/>
  <c r="A399" i="6"/>
  <c r="K398" i="6"/>
  <c r="J398" i="6"/>
  <c r="D398" i="6"/>
  <c r="C398" i="6"/>
  <c r="A398" i="6"/>
  <c r="K397" i="6"/>
  <c r="J397" i="6"/>
  <c r="D397" i="6"/>
  <c r="C397" i="6"/>
  <c r="A397" i="6"/>
  <c r="K396" i="6"/>
  <c r="J396" i="6"/>
  <c r="D396" i="6"/>
  <c r="C396" i="6"/>
  <c r="A396" i="6"/>
  <c r="K395" i="6"/>
  <c r="J395" i="6"/>
  <c r="D395" i="6"/>
  <c r="C395" i="6"/>
  <c r="A395" i="6"/>
  <c r="K394" i="6"/>
  <c r="J394" i="6"/>
  <c r="D394" i="6"/>
  <c r="C394" i="6"/>
  <c r="A394" i="6"/>
  <c r="K393" i="6"/>
  <c r="J393" i="6"/>
  <c r="D393" i="6"/>
  <c r="C393" i="6"/>
  <c r="A393" i="6"/>
  <c r="K392" i="6"/>
  <c r="J392" i="6"/>
  <c r="D392" i="6"/>
  <c r="C392" i="6"/>
  <c r="A392" i="6"/>
  <c r="K391" i="6"/>
  <c r="J391" i="6"/>
  <c r="D391" i="6"/>
  <c r="C391" i="6"/>
  <c r="A391" i="6"/>
  <c r="K390" i="6"/>
  <c r="J390" i="6"/>
  <c r="D390" i="6"/>
  <c r="C390" i="6"/>
  <c r="A390" i="6"/>
  <c r="K389" i="6"/>
  <c r="J389" i="6"/>
  <c r="D389" i="6"/>
  <c r="C389" i="6"/>
  <c r="A389" i="6"/>
  <c r="K388" i="6"/>
  <c r="J388" i="6"/>
  <c r="D388" i="6"/>
  <c r="C388" i="6"/>
  <c r="A388" i="6"/>
  <c r="K387" i="6"/>
  <c r="J387" i="6"/>
  <c r="D387" i="6"/>
  <c r="C387" i="6"/>
  <c r="A387" i="6"/>
  <c r="K386" i="6"/>
  <c r="J386" i="6"/>
  <c r="D386" i="6"/>
  <c r="C386" i="6"/>
  <c r="A386" i="6"/>
  <c r="K385" i="6"/>
  <c r="J385" i="6"/>
  <c r="D385" i="6"/>
  <c r="C385" i="6"/>
  <c r="A385" i="6"/>
  <c r="K384" i="6"/>
  <c r="J384" i="6"/>
  <c r="D384" i="6"/>
  <c r="C384" i="6"/>
  <c r="A384" i="6"/>
  <c r="K383" i="6"/>
  <c r="J383" i="6"/>
  <c r="D383" i="6"/>
  <c r="C383" i="6"/>
  <c r="A383" i="6"/>
  <c r="K382" i="6"/>
  <c r="J382" i="6"/>
  <c r="D382" i="6"/>
  <c r="C382" i="6"/>
  <c r="A382" i="6"/>
  <c r="K381" i="6"/>
  <c r="J381" i="6"/>
  <c r="D381" i="6"/>
  <c r="C381" i="6"/>
  <c r="A381" i="6"/>
  <c r="K380" i="6"/>
  <c r="J380" i="6"/>
  <c r="D380" i="6"/>
  <c r="C380" i="6"/>
  <c r="A380" i="6"/>
  <c r="K379" i="6"/>
  <c r="J379" i="6"/>
  <c r="D379" i="6"/>
  <c r="C379" i="6"/>
  <c r="A379" i="6"/>
  <c r="K378" i="6"/>
  <c r="J378" i="6"/>
  <c r="D378" i="6"/>
  <c r="C378" i="6"/>
  <c r="A378" i="6"/>
  <c r="K377" i="6"/>
  <c r="J377" i="6"/>
  <c r="D377" i="6"/>
  <c r="C377" i="6"/>
  <c r="A377" i="6"/>
  <c r="K376" i="6"/>
  <c r="J376" i="6"/>
  <c r="D376" i="6"/>
  <c r="C376" i="6"/>
  <c r="A376" i="6"/>
  <c r="K375" i="6"/>
  <c r="J375" i="6"/>
  <c r="D375" i="6"/>
  <c r="C375" i="6"/>
  <c r="A375" i="6"/>
  <c r="K374" i="6"/>
  <c r="J374" i="6"/>
  <c r="D374" i="6"/>
  <c r="C374" i="6"/>
  <c r="A374" i="6"/>
  <c r="K373" i="6"/>
  <c r="J373" i="6"/>
  <c r="D373" i="6"/>
  <c r="C373" i="6"/>
  <c r="A373" i="6"/>
  <c r="K372" i="6"/>
  <c r="J372" i="6"/>
  <c r="D372" i="6"/>
  <c r="C372" i="6"/>
  <c r="A372" i="6"/>
  <c r="K371" i="6"/>
  <c r="J371" i="6"/>
  <c r="D371" i="6"/>
  <c r="C371" i="6"/>
  <c r="A371" i="6"/>
  <c r="K370" i="6"/>
  <c r="J370" i="6"/>
  <c r="D370" i="6"/>
  <c r="C370" i="6"/>
  <c r="A370" i="6"/>
  <c r="K369" i="6"/>
  <c r="J369" i="6"/>
  <c r="D369" i="6"/>
  <c r="C369" i="6"/>
  <c r="A369" i="6"/>
  <c r="K368" i="6"/>
  <c r="J368" i="6"/>
  <c r="D368" i="6"/>
  <c r="C368" i="6"/>
  <c r="A368" i="6"/>
  <c r="K367" i="6"/>
  <c r="J367" i="6"/>
  <c r="D367" i="6"/>
  <c r="C367" i="6"/>
  <c r="A367" i="6"/>
  <c r="K366" i="6"/>
  <c r="J366" i="6"/>
  <c r="D366" i="6"/>
  <c r="C366" i="6"/>
  <c r="A366" i="6"/>
  <c r="K365" i="6"/>
  <c r="J365" i="6"/>
  <c r="D365" i="6"/>
  <c r="C365" i="6"/>
  <c r="A365" i="6"/>
  <c r="K364" i="6"/>
  <c r="J364" i="6"/>
  <c r="D364" i="6"/>
  <c r="C364" i="6"/>
  <c r="A364" i="6"/>
  <c r="K363" i="6"/>
  <c r="J363" i="6"/>
  <c r="D363" i="6"/>
  <c r="C363" i="6"/>
  <c r="A363" i="6"/>
  <c r="K362" i="6"/>
  <c r="J362" i="6"/>
  <c r="D362" i="6"/>
  <c r="C362" i="6"/>
  <c r="A362" i="6"/>
  <c r="K361" i="6"/>
  <c r="J361" i="6"/>
  <c r="D361" i="6"/>
  <c r="C361" i="6"/>
  <c r="A361" i="6"/>
  <c r="K360" i="6"/>
  <c r="J360" i="6"/>
  <c r="D360" i="6"/>
  <c r="C360" i="6"/>
  <c r="A360" i="6"/>
  <c r="K359" i="6"/>
  <c r="J359" i="6"/>
  <c r="D359" i="6"/>
  <c r="C359" i="6"/>
  <c r="A359" i="6"/>
  <c r="K358" i="6"/>
  <c r="J358" i="6"/>
  <c r="D358" i="6"/>
  <c r="C358" i="6"/>
  <c r="A358" i="6"/>
  <c r="K357" i="6"/>
  <c r="J357" i="6"/>
  <c r="D357" i="6"/>
  <c r="C357" i="6"/>
  <c r="A357" i="6"/>
  <c r="K356" i="6"/>
  <c r="J356" i="6"/>
  <c r="D356" i="6"/>
  <c r="C356" i="6"/>
  <c r="A356" i="6"/>
  <c r="K355" i="6"/>
  <c r="J355" i="6"/>
  <c r="D355" i="6"/>
  <c r="C355" i="6"/>
  <c r="A355" i="6"/>
  <c r="K354" i="6"/>
  <c r="J354" i="6"/>
  <c r="D354" i="6"/>
  <c r="C354" i="6"/>
  <c r="A354" i="6"/>
  <c r="K353" i="6"/>
  <c r="J353" i="6"/>
  <c r="D353" i="6"/>
  <c r="C353" i="6"/>
  <c r="A353" i="6"/>
  <c r="K352" i="6"/>
  <c r="J352" i="6"/>
  <c r="D352" i="6"/>
  <c r="C352" i="6"/>
  <c r="A352" i="6"/>
  <c r="K351" i="6"/>
  <c r="J351" i="6"/>
  <c r="D351" i="6"/>
  <c r="C351" i="6"/>
  <c r="A351" i="6"/>
  <c r="K350" i="6"/>
  <c r="J350" i="6"/>
  <c r="D350" i="6"/>
  <c r="C350" i="6"/>
  <c r="A350" i="6"/>
  <c r="K349" i="6"/>
  <c r="J349" i="6"/>
  <c r="D349" i="6"/>
  <c r="C349" i="6"/>
  <c r="A349" i="6"/>
  <c r="K348" i="6"/>
  <c r="J348" i="6"/>
  <c r="D348" i="6"/>
  <c r="C348" i="6"/>
  <c r="A348" i="6"/>
  <c r="K347" i="6"/>
  <c r="J347" i="6"/>
  <c r="D347" i="6"/>
  <c r="C347" i="6"/>
  <c r="A347" i="6"/>
  <c r="K346" i="6"/>
  <c r="J346" i="6"/>
  <c r="D346" i="6"/>
  <c r="C346" i="6"/>
  <c r="A346" i="6"/>
  <c r="K345" i="6"/>
  <c r="J345" i="6"/>
  <c r="D345" i="6"/>
  <c r="C345" i="6"/>
  <c r="A345" i="6"/>
  <c r="K344" i="6"/>
  <c r="J344" i="6"/>
  <c r="D344" i="6"/>
  <c r="C344" i="6"/>
  <c r="A344" i="6"/>
  <c r="K343" i="6"/>
  <c r="J343" i="6"/>
  <c r="D343" i="6"/>
  <c r="C343" i="6"/>
  <c r="A343" i="6"/>
  <c r="K342" i="6"/>
  <c r="J342" i="6"/>
  <c r="D342" i="6"/>
  <c r="C342" i="6"/>
  <c r="A342" i="6"/>
  <c r="K341" i="6"/>
  <c r="J341" i="6"/>
  <c r="D341" i="6"/>
  <c r="C341" i="6"/>
  <c r="A341" i="6"/>
  <c r="K340" i="6"/>
  <c r="J340" i="6"/>
  <c r="D340" i="6"/>
  <c r="C340" i="6"/>
  <c r="A340" i="6"/>
  <c r="K339" i="6"/>
  <c r="J339" i="6"/>
  <c r="D339" i="6"/>
  <c r="C339" i="6"/>
  <c r="A339" i="6"/>
  <c r="K338" i="6"/>
  <c r="J338" i="6"/>
  <c r="D338" i="6"/>
  <c r="C338" i="6"/>
  <c r="A338" i="6"/>
  <c r="K337" i="6"/>
  <c r="J337" i="6"/>
  <c r="D337" i="6"/>
  <c r="C337" i="6"/>
  <c r="A337" i="6"/>
  <c r="K336" i="6"/>
  <c r="J336" i="6"/>
  <c r="D336" i="6"/>
  <c r="C336" i="6"/>
  <c r="A336" i="6"/>
  <c r="K335" i="6"/>
  <c r="J335" i="6"/>
  <c r="D335" i="6"/>
  <c r="C335" i="6"/>
  <c r="A335" i="6"/>
  <c r="K334" i="6"/>
  <c r="J334" i="6"/>
  <c r="D334" i="6"/>
  <c r="C334" i="6"/>
  <c r="A334" i="6"/>
  <c r="K333" i="6"/>
  <c r="J333" i="6"/>
  <c r="D333" i="6"/>
  <c r="C333" i="6"/>
  <c r="A333" i="6"/>
  <c r="K332" i="6"/>
  <c r="J332" i="6"/>
  <c r="D332" i="6"/>
  <c r="C332" i="6"/>
  <c r="A332" i="6"/>
  <c r="K331" i="6"/>
  <c r="J331" i="6"/>
  <c r="D331" i="6"/>
  <c r="C331" i="6"/>
  <c r="A331" i="6"/>
  <c r="K330" i="6"/>
  <c r="J330" i="6"/>
  <c r="D330" i="6"/>
  <c r="C330" i="6"/>
  <c r="A330" i="6"/>
  <c r="K329" i="6"/>
  <c r="J329" i="6"/>
  <c r="D329" i="6"/>
  <c r="C329" i="6"/>
  <c r="A329" i="6"/>
  <c r="K328" i="6"/>
  <c r="J328" i="6"/>
  <c r="D328" i="6"/>
  <c r="C328" i="6"/>
  <c r="A328" i="6"/>
  <c r="K327" i="6"/>
  <c r="J327" i="6"/>
  <c r="D327" i="6"/>
  <c r="C327" i="6"/>
  <c r="A327" i="6"/>
  <c r="K326" i="6"/>
  <c r="J326" i="6"/>
  <c r="D326" i="6"/>
  <c r="C326" i="6"/>
  <c r="A326" i="6"/>
  <c r="K325" i="6"/>
  <c r="J325" i="6"/>
  <c r="D325" i="6"/>
  <c r="C325" i="6"/>
  <c r="A325" i="6"/>
  <c r="K324" i="6"/>
  <c r="J324" i="6"/>
  <c r="D324" i="6"/>
  <c r="C324" i="6"/>
  <c r="A324" i="6"/>
  <c r="K323" i="6"/>
  <c r="J323" i="6"/>
  <c r="D323" i="6"/>
  <c r="C323" i="6"/>
  <c r="A323" i="6"/>
  <c r="K322" i="6"/>
  <c r="J322" i="6"/>
  <c r="D322" i="6"/>
  <c r="C322" i="6"/>
  <c r="A322" i="6"/>
  <c r="K321" i="6"/>
  <c r="J321" i="6"/>
  <c r="D321" i="6"/>
  <c r="C321" i="6"/>
  <c r="A321" i="6"/>
  <c r="K320" i="6"/>
  <c r="J320" i="6"/>
  <c r="D320" i="6"/>
  <c r="C320" i="6"/>
  <c r="A320" i="6"/>
  <c r="K319" i="6"/>
  <c r="J319" i="6"/>
  <c r="D319" i="6"/>
  <c r="C319" i="6"/>
  <c r="A319" i="6"/>
  <c r="K318" i="6"/>
  <c r="J318" i="6"/>
  <c r="D318" i="6"/>
  <c r="C318" i="6"/>
  <c r="A318" i="6"/>
  <c r="K317" i="6"/>
  <c r="J317" i="6"/>
  <c r="D317" i="6"/>
  <c r="C317" i="6"/>
  <c r="A317" i="6"/>
  <c r="K316" i="6"/>
  <c r="J316" i="6"/>
  <c r="D316" i="6"/>
  <c r="C316" i="6"/>
  <c r="A316" i="6"/>
  <c r="K315" i="6"/>
  <c r="J315" i="6"/>
  <c r="D315" i="6"/>
  <c r="C315" i="6"/>
  <c r="A315" i="6"/>
  <c r="K314" i="6"/>
  <c r="J314" i="6"/>
  <c r="D314" i="6"/>
  <c r="C314" i="6"/>
  <c r="A314" i="6"/>
  <c r="K313" i="6"/>
  <c r="J313" i="6"/>
  <c r="D313" i="6"/>
  <c r="C313" i="6"/>
  <c r="A313" i="6"/>
  <c r="K312" i="6"/>
  <c r="J312" i="6"/>
  <c r="D312" i="6"/>
  <c r="C312" i="6"/>
  <c r="A312" i="6"/>
  <c r="K311" i="6"/>
  <c r="J311" i="6"/>
  <c r="D311" i="6"/>
  <c r="C311" i="6"/>
  <c r="A311" i="6"/>
  <c r="K310" i="6"/>
  <c r="J310" i="6"/>
  <c r="D310" i="6"/>
  <c r="C310" i="6"/>
  <c r="A310" i="6"/>
  <c r="K309" i="6"/>
  <c r="J309" i="6"/>
  <c r="D309" i="6"/>
  <c r="C309" i="6"/>
  <c r="A309" i="6"/>
  <c r="K308" i="6"/>
  <c r="J308" i="6"/>
  <c r="D308" i="6"/>
  <c r="C308" i="6"/>
  <c r="A308" i="6"/>
  <c r="K307" i="6"/>
  <c r="J307" i="6"/>
  <c r="D307" i="6"/>
  <c r="C307" i="6"/>
  <c r="A307" i="6"/>
  <c r="K306" i="6"/>
  <c r="J306" i="6"/>
  <c r="D306" i="6"/>
  <c r="C306" i="6"/>
  <c r="A306" i="6"/>
  <c r="K305" i="6"/>
  <c r="J305" i="6"/>
  <c r="D305" i="6"/>
  <c r="C305" i="6"/>
  <c r="A305" i="6"/>
  <c r="K304" i="6"/>
  <c r="J304" i="6"/>
  <c r="D304" i="6"/>
  <c r="C304" i="6"/>
  <c r="A304" i="6"/>
  <c r="K303" i="6"/>
  <c r="J303" i="6"/>
  <c r="D303" i="6"/>
  <c r="C303" i="6"/>
  <c r="A303" i="6"/>
  <c r="K302" i="6"/>
  <c r="J302" i="6"/>
  <c r="D302" i="6"/>
  <c r="C302" i="6"/>
  <c r="A302" i="6"/>
  <c r="K301" i="6"/>
  <c r="J301" i="6"/>
  <c r="D301" i="6"/>
  <c r="C301" i="6"/>
  <c r="A301" i="6"/>
  <c r="K300" i="6"/>
  <c r="J300" i="6"/>
  <c r="D300" i="6"/>
  <c r="C300" i="6"/>
  <c r="A300" i="6"/>
  <c r="K299" i="6"/>
  <c r="J299" i="6"/>
  <c r="D299" i="6"/>
  <c r="C299" i="6"/>
  <c r="A299" i="6"/>
  <c r="K298" i="6"/>
  <c r="J298" i="6"/>
  <c r="D298" i="6"/>
  <c r="C298" i="6"/>
  <c r="A298" i="6"/>
  <c r="K297" i="6"/>
  <c r="J297" i="6"/>
  <c r="D297" i="6"/>
  <c r="C297" i="6"/>
  <c r="A297" i="6"/>
  <c r="K296" i="6"/>
  <c r="J296" i="6"/>
  <c r="D296" i="6"/>
  <c r="C296" i="6"/>
  <c r="A296" i="6"/>
  <c r="K295" i="6"/>
  <c r="J295" i="6"/>
  <c r="D295" i="6"/>
  <c r="C295" i="6"/>
  <c r="A295" i="6"/>
  <c r="K294" i="6"/>
  <c r="J294" i="6"/>
  <c r="D294" i="6"/>
  <c r="C294" i="6"/>
  <c r="A294" i="6"/>
  <c r="K293" i="6"/>
  <c r="J293" i="6"/>
  <c r="D293" i="6"/>
  <c r="C293" i="6"/>
  <c r="A293" i="6"/>
  <c r="K292" i="6"/>
  <c r="J292" i="6"/>
  <c r="D292" i="6"/>
  <c r="C292" i="6"/>
  <c r="A292" i="6"/>
  <c r="K291" i="6"/>
  <c r="J291" i="6"/>
  <c r="D291" i="6"/>
  <c r="C291" i="6"/>
  <c r="A291" i="6"/>
  <c r="K290" i="6"/>
  <c r="J290" i="6"/>
  <c r="D290" i="6"/>
  <c r="C290" i="6"/>
  <c r="A290" i="6"/>
  <c r="K289" i="6"/>
  <c r="J289" i="6"/>
  <c r="D289" i="6"/>
  <c r="C289" i="6"/>
  <c r="A289" i="6"/>
  <c r="K288" i="6"/>
  <c r="J288" i="6"/>
  <c r="D288" i="6"/>
  <c r="C288" i="6"/>
  <c r="A288" i="6"/>
  <c r="K287" i="6"/>
  <c r="J287" i="6"/>
  <c r="D287" i="6"/>
  <c r="C287" i="6"/>
  <c r="A287" i="6"/>
  <c r="K286" i="6"/>
  <c r="J286" i="6"/>
  <c r="D286" i="6"/>
  <c r="C286" i="6"/>
  <c r="A286" i="6"/>
  <c r="K285" i="6"/>
  <c r="J285" i="6"/>
  <c r="D285" i="6"/>
  <c r="C285" i="6"/>
  <c r="A285" i="6"/>
  <c r="K284" i="6"/>
  <c r="J284" i="6"/>
  <c r="D284" i="6"/>
  <c r="C284" i="6"/>
  <c r="A284" i="6"/>
  <c r="K283" i="6"/>
  <c r="J283" i="6"/>
  <c r="D283" i="6"/>
  <c r="C283" i="6"/>
  <c r="A283" i="6"/>
  <c r="K282" i="6"/>
  <c r="J282" i="6"/>
  <c r="D282" i="6"/>
  <c r="C282" i="6"/>
  <c r="A282" i="6"/>
  <c r="K281" i="6"/>
  <c r="J281" i="6"/>
  <c r="D281" i="6"/>
  <c r="C281" i="6"/>
  <c r="A281" i="6"/>
  <c r="K280" i="6"/>
  <c r="J280" i="6"/>
  <c r="D280" i="6"/>
  <c r="C280" i="6"/>
  <c r="A280" i="6"/>
  <c r="K279" i="6"/>
  <c r="J279" i="6"/>
  <c r="D279" i="6"/>
  <c r="C279" i="6"/>
  <c r="A279" i="6"/>
  <c r="K278" i="6"/>
  <c r="J278" i="6"/>
  <c r="D278" i="6"/>
  <c r="C278" i="6"/>
  <c r="A278" i="6"/>
  <c r="K277" i="6"/>
  <c r="J277" i="6"/>
  <c r="D277" i="6"/>
  <c r="C277" i="6"/>
  <c r="A277" i="6"/>
  <c r="K276" i="6"/>
  <c r="J276" i="6"/>
  <c r="D276" i="6"/>
  <c r="C276" i="6"/>
  <c r="A276" i="6"/>
  <c r="K275" i="6"/>
  <c r="J275" i="6"/>
  <c r="D275" i="6"/>
  <c r="C275" i="6"/>
  <c r="A275" i="6"/>
  <c r="K274" i="6"/>
  <c r="J274" i="6"/>
  <c r="D274" i="6"/>
  <c r="C274" i="6"/>
  <c r="A274" i="6"/>
  <c r="K273" i="6"/>
  <c r="J273" i="6"/>
  <c r="D273" i="6"/>
  <c r="C273" i="6"/>
  <c r="A273" i="6"/>
  <c r="K272" i="6"/>
  <c r="J272" i="6"/>
  <c r="D272" i="6"/>
  <c r="C272" i="6"/>
  <c r="A272" i="6"/>
  <c r="K271" i="6"/>
  <c r="J271" i="6"/>
  <c r="D271" i="6"/>
  <c r="C271" i="6"/>
  <c r="A271" i="6"/>
  <c r="K270" i="6"/>
  <c r="J270" i="6"/>
  <c r="D270" i="6"/>
  <c r="C270" i="6"/>
  <c r="A270" i="6"/>
  <c r="K269" i="6"/>
  <c r="J269" i="6"/>
  <c r="D269" i="6"/>
  <c r="C269" i="6"/>
  <c r="A269" i="6"/>
  <c r="K268" i="6"/>
  <c r="J268" i="6"/>
  <c r="D268" i="6"/>
  <c r="C268" i="6"/>
  <c r="A268" i="6"/>
  <c r="K267" i="6"/>
  <c r="J267" i="6"/>
  <c r="D267" i="6"/>
  <c r="C267" i="6"/>
  <c r="A267" i="6"/>
  <c r="K266" i="6"/>
  <c r="J266" i="6"/>
  <c r="D266" i="6"/>
  <c r="C266" i="6"/>
  <c r="A266" i="6"/>
  <c r="K265" i="6"/>
  <c r="J265" i="6"/>
  <c r="D265" i="6"/>
  <c r="C265" i="6"/>
  <c r="A265" i="6"/>
  <c r="K264" i="6"/>
  <c r="J264" i="6"/>
  <c r="D264" i="6"/>
  <c r="C264" i="6"/>
  <c r="A264" i="6"/>
  <c r="K263" i="6"/>
  <c r="J263" i="6"/>
  <c r="D263" i="6"/>
  <c r="C263" i="6"/>
  <c r="A263" i="6"/>
  <c r="K262" i="6"/>
  <c r="J262" i="6"/>
  <c r="D262" i="6"/>
  <c r="C262" i="6"/>
  <c r="A262" i="6"/>
  <c r="K261" i="6"/>
  <c r="J261" i="6"/>
  <c r="D261" i="6"/>
  <c r="C261" i="6"/>
  <c r="A261" i="6"/>
  <c r="K260" i="6"/>
  <c r="J260" i="6"/>
  <c r="D260" i="6"/>
  <c r="C260" i="6"/>
  <c r="A260" i="6"/>
  <c r="K259" i="6"/>
  <c r="J259" i="6"/>
  <c r="D259" i="6"/>
  <c r="C259" i="6"/>
  <c r="A259" i="6"/>
  <c r="K258" i="6"/>
  <c r="J258" i="6"/>
  <c r="D258" i="6"/>
  <c r="C258" i="6"/>
  <c r="A258" i="6"/>
  <c r="K257" i="6"/>
  <c r="J257" i="6"/>
  <c r="D257" i="6"/>
  <c r="C257" i="6"/>
  <c r="A257" i="6"/>
  <c r="K256" i="6"/>
  <c r="J256" i="6"/>
  <c r="D256" i="6"/>
  <c r="C256" i="6"/>
  <c r="A256" i="6"/>
  <c r="K255" i="6"/>
  <c r="J255" i="6"/>
  <c r="D255" i="6"/>
  <c r="C255" i="6"/>
  <c r="A255" i="6"/>
  <c r="K254" i="6"/>
  <c r="J254" i="6"/>
  <c r="D254" i="6"/>
  <c r="C254" i="6"/>
  <c r="A254" i="6"/>
  <c r="K253" i="6"/>
  <c r="J253" i="6"/>
  <c r="D253" i="6"/>
  <c r="C253" i="6"/>
  <c r="A253" i="6"/>
  <c r="K252" i="6"/>
  <c r="J252" i="6"/>
  <c r="D252" i="6"/>
  <c r="C252" i="6"/>
  <c r="A252" i="6"/>
  <c r="K251" i="6"/>
  <c r="J251" i="6"/>
  <c r="D251" i="6"/>
  <c r="C251" i="6"/>
  <c r="A251" i="6"/>
  <c r="K250" i="6"/>
  <c r="J250" i="6"/>
  <c r="D250" i="6"/>
  <c r="C250" i="6"/>
  <c r="A250" i="6"/>
  <c r="K249" i="6"/>
  <c r="J249" i="6"/>
  <c r="D249" i="6"/>
  <c r="C249" i="6"/>
  <c r="A249" i="6"/>
  <c r="K248" i="6"/>
  <c r="J248" i="6"/>
  <c r="D248" i="6"/>
  <c r="C248" i="6"/>
  <c r="A248" i="6"/>
  <c r="K247" i="6"/>
  <c r="J247" i="6"/>
  <c r="D247" i="6"/>
  <c r="C247" i="6"/>
  <c r="A247" i="6"/>
  <c r="K246" i="6"/>
  <c r="J246" i="6"/>
  <c r="D246" i="6"/>
  <c r="C246" i="6"/>
  <c r="A246" i="6"/>
  <c r="K245" i="6"/>
  <c r="J245" i="6"/>
  <c r="D245" i="6"/>
  <c r="C245" i="6"/>
  <c r="A245" i="6"/>
  <c r="K244" i="6"/>
  <c r="J244" i="6"/>
  <c r="D244" i="6"/>
  <c r="C244" i="6"/>
  <c r="A244" i="6"/>
  <c r="K243" i="6"/>
  <c r="J243" i="6"/>
  <c r="D243" i="6"/>
  <c r="C243" i="6"/>
  <c r="A243" i="6"/>
  <c r="K242" i="6"/>
  <c r="J242" i="6"/>
  <c r="D242" i="6"/>
  <c r="C242" i="6"/>
  <c r="A242" i="6"/>
  <c r="K241" i="6"/>
  <c r="J241" i="6"/>
  <c r="D241" i="6"/>
  <c r="C241" i="6"/>
  <c r="A241" i="6"/>
  <c r="K240" i="6"/>
  <c r="J240" i="6"/>
  <c r="D240" i="6"/>
  <c r="C240" i="6"/>
  <c r="A240" i="6"/>
  <c r="K239" i="6"/>
  <c r="J239" i="6"/>
  <c r="D239" i="6"/>
  <c r="C239" i="6"/>
  <c r="A239" i="6"/>
  <c r="K238" i="6"/>
  <c r="J238" i="6"/>
  <c r="D238" i="6"/>
  <c r="C238" i="6"/>
  <c r="A238" i="6"/>
  <c r="K237" i="6"/>
  <c r="J237" i="6"/>
  <c r="D237" i="6"/>
  <c r="C237" i="6"/>
  <c r="A237" i="6"/>
  <c r="K236" i="6"/>
  <c r="J236" i="6"/>
  <c r="D236" i="6"/>
  <c r="C236" i="6"/>
  <c r="A236" i="6"/>
  <c r="K235" i="6"/>
  <c r="J235" i="6"/>
  <c r="D235" i="6"/>
  <c r="C235" i="6"/>
  <c r="A235" i="6"/>
  <c r="K234" i="6"/>
  <c r="J234" i="6"/>
  <c r="D234" i="6"/>
  <c r="C234" i="6"/>
  <c r="A234" i="6"/>
  <c r="K233" i="6"/>
  <c r="J233" i="6"/>
  <c r="D233" i="6"/>
  <c r="C233" i="6"/>
  <c r="A233" i="6"/>
  <c r="K232" i="6"/>
  <c r="J232" i="6"/>
  <c r="D232" i="6"/>
  <c r="C232" i="6"/>
  <c r="A232" i="6"/>
  <c r="K231" i="6"/>
  <c r="J231" i="6"/>
  <c r="D231" i="6"/>
  <c r="C231" i="6"/>
  <c r="A231" i="6"/>
  <c r="K230" i="6"/>
  <c r="J230" i="6"/>
  <c r="D230" i="6"/>
  <c r="C230" i="6"/>
  <c r="A230" i="6"/>
  <c r="K229" i="6"/>
  <c r="J229" i="6"/>
  <c r="D229" i="6"/>
  <c r="C229" i="6"/>
  <c r="A229" i="6"/>
  <c r="K228" i="6"/>
  <c r="J228" i="6"/>
  <c r="D228" i="6"/>
  <c r="C228" i="6"/>
  <c r="A228" i="6"/>
  <c r="K227" i="6"/>
  <c r="J227" i="6"/>
  <c r="D227" i="6"/>
  <c r="C227" i="6"/>
  <c r="A227" i="6"/>
  <c r="K226" i="6"/>
  <c r="J226" i="6"/>
  <c r="D226" i="6"/>
  <c r="C226" i="6"/>
  <c r="A226" i="6"/>
  <c r="K225" i="6"/>
  <c r="J225" i="6"/>
  <c r="D225" i="6"/>
  <c r="C225" i="6"/>
  <c r="A225" i="6"/>
  <c r="K224" i="6"/>
  <c r="J224" i="6"/>
  <c r="D224" i="6"/>
  <c r="C224" i="6"/>
  <c r="A224" i="6"/>
  <c r="K223" i="6"/>
  <c r="J223" i="6"/>
  <c r="D223" i="6"/>
  <c r="C223" i="6"/>
  <c r="A223" i="6"/>
  <c r="K222" i="6"/>
  <c r="J222" i="6"/>
  <c r="D222" i="6"/>
  <c r="C222" i="6"/>
  <c r="A222" i="6"/>
  <c r="K221" i="6"/>
  <c r="J221" i="6"/>
  <c r="D221" i="6"/>
  <c r="C221" i="6"/>
  <c r="A221" i="6"/>
  <c r="K220" i="6"/>
  <c r="J220" i="6"/>
  <c r="D220" i="6"/>
  <c r="C220" i="6"/>
  <c r="A220" i="6"/>
  <c r="K219" i="6"/>
  <c r="J219" i="6"/>
  <c r="D219" i="6"/>
  <c r="C219" i="6"/>
  <c r="A219" i="6"/>
  <c r="K218" i="6"/>
  <c r="J218" i="6"/>
  <c r="D218" i="6"/>
  <c r="C218" i="6"/>
  <c r="A218" i="6"/>
  <c r="K217" i="6"/>
  <c r="J217" i="6"/>
  <c r="D217" i="6"/>
  <c r="C217" i="6"/>
  <c r="A217" i="6"/>
  <c r="K216" i="6"/>
  <c r="J216" i="6"/>
  <c r="D216" i="6"/>
  <c r="C216" i="6"/>
  <c r="A216" i="6"/>
  <c r="K215" i="6"/>
  <c r="J215" i="6"/>
  <c r="D215" i="6"/>
  <c r="C215" i="6"/>
  <c r="A215" i="6"/>
  <c r="K214" i="6"/>
  <c r="J214" i="6"/>
  <c r="D214" i="6"/>
  <c r="C214" i="6"/>
  <c r="A214" i="6"/>
  <c r="K213" i="6"/>
  <c r="J213" i="6"/>
  <c r="D213" i="6"/>
  <c r="C213" i="6"/>
  <c r="A213" i="6"/>
  <c r="K212" i="6"/>
  <c r="J212" i="6"/>
  <c r="D212" i="6"/>
  <c r="C212" i="6"/>
  <c r="A212" i="6"/>
  <c r="K211" i="6"/>
  <c r="J211" i="6"/>
  <c r="D211" i="6"/>
  <c r="C211" i="6"/>
  <c r="A211" i="6"/>
  <c r="K210" i="6"/>
  <c r="J210" i="6"/>
  <c r="D210" i="6"/>
  <c r="C210" i="6"/>
  <c r="A210" i="6"/>
  <c r="K209" i="6"/>
  <c r="J209" i="6"/>
  <c r="D209" i="6"/>
  <c r="C209" i="6"/>
  <c r="A209" i="6"/>
  <c r="K208" i="6"/>
  <c r="J208" i="6"/>
  <c r="D208" i="6"/>
  <c r="C208" i="6"/>
  <c r="A208" i="6"/>
  <c r="K207" i="6"/>
  <c r="J207" i="6"/>
  <c r="D207" i="6"/>
  <c r="C207" i="6"/>
  <c r="A207" i="6"/>
  <c r="K206" i="6"/>
  <c r="J206" i="6"/>
  <c r="D206" i="6"/>
  <c r="C206" i="6"/>
  <c r="A206" i="6"/>
  <c r="K205" i="6"/>
  <c r="J205" i="6"/>
  <c r="D205" i="6"/>
  <c r="C205" i="6"/>
  <c r="A205" i="6"/>
  <c r="K204" i="6"/>
  <c r="J204" i="6"/>
  <c r="D204" i="6"/>
  <c r="C204" i="6"/>
  <c r="A204" i="6"/>
  <c r="K203" i="6"/>
  <c r="J203" i="6"/>
  <c r="D203" i="6"/>
  <c r="C203" i="6"/>
  <c r="A203" i="6"/>
  <c r="K202" i="6"/>
  <c r="J202" i="6"/>
  <c r="D202" i="6"/>
  <c r="C202" i="6"/>
  <c r="A202" i="6"/>
  <c r="K201" i="6"/>
  <c r="J201" i="6"/>
  <c r="D201" i="6"/>
  <c r="C201" i="6"/>
  <c r="A201" i="6"/>
  <c r="K200" i="6"/>
  <c r="J200" i="6"/>
  <c r="D200" i="6"/>
  <c r="C200" i="6"/>
  <c r="A200" i="6"/>
  <c r="K199" i="6"/>
  <c r="J199" i="6"/>
  <c r="D199" i="6"/>
  <c r="C199" i="6"/>
  <c r="A199" i="6"/>
  <c r="K198" i="6"/>
  <c r="J198" i="6"/>
  <c r="D198" i="6"/>
  <c r="C198" i="6"/>
  <c r="A198" i="6"/>
  <c r="K197" i="6"/>
  <c r="J197" i="6"/>
  <c r="D197" i="6"/>
  <c r="C197" i="6"/>
  <c r="A197" i="6"/>
  <c r="K196" i="6"/>
  <c r="J196" i="6"/>
  <c r="D196" i="6"/>
  <c r="C196" i="6"/>
  <c r="A196" i="6"/>
  <c r="K195" i="6"/>
  <c r="J195" i="6"/>
  <c r="D195" i="6"/>
  <c r="C195" i="6"/>
  <c r="A195" i="6"/>
  <c r="K194" i="6"/>
  <c r="J194" i="6"/>
  <c r="D194" i="6"/>
  <c r="C194" i="6"/>
  <c r="A194" i="6"/>
  <c r="K193" i="6"/>
  <c r="J193" i="6"/>
  <c r="D193" i="6"/>
  <c r="C193" i="6"/>
  <c r="A193" i="6"/>
  <c r="K192" i="6"/>
  <c r="J192" i="6"/>
  <c r="D192" i="6"/>
  <c r="C192" i="6"/>
  <c r="A192" i="6"/>
  <c r="K191" i="6"/>
  <c r="J191" i="6"/>
  <c r="D191" i="6"/>
  <c r="C191" i="6"/>
  <c r="A191" i="6"/>
  <c r="K190" i="6"/>
  <c r="J190" i="6"/>
  <c r="D190" i="6"/>
  <c r="C190" i="6"/>
  <c r="A190" i="6"/>
  <c r="K189" i="6"/>
  <c r="J189" i="6"/>
  <c r="D189" i="6"/>
  <c r="C189" i="6"/>
  <c r="A189" i="6"/>
  <c r="K188" i="6"/>
  <c r="J188" i="6"/>
  <c r="D188" i="6"/>
  <c r="C188" i="6"/>
  <c r="A188" i="6"/>
  <c r="K187" i="6"/>
  <c r="J187" i="6"/>
  <c r="D187" i="6"/>
  <c r="C187" i="6"/>
  <c r="A187" i="6"/>
  <c r="K186" i="6"/>
  <c r="J186" i="6"/>
  <c r="D186" i="6"/>
  <c r="C186" i="6"/>
  <c r="A186" i="6"/>
  <c r="K185" i="6"/>
  <c r="J185" i="6"/>
  <c r="D185" i="6"/>
  <c r="C185" i="6"/>
  <c r="A185" i="6"/>
  <c r="K184" i="6"/>
  <c r="J184" i="6"/>
  <c r="D184" i="6"/>
  <c r="C184" i="6"/>
  <c r="A184" i="6"/>
  <c r="K183" i="6"/>
  <c r="J183" i="6"/>
  <c r="D183" i="6"/>
  <c r="C183" i="6"/>
  <c r="A183" i="6"/>
  <c r="K182" i="6"/>
  <c r="J182" i="6"/>
  <c r="D182" i="6"/>
  <c r="C182" i="6"/>
  <c r="A182" i="6"/>
  <c r="K181" i="6"/>
  <c r="J181" i="6"/>
  <c r="D181" i="6"/>
  <c r="C181" i="6"/>
  <c r="A181" i="6"/>
  <c r="K180" i="6"/>
  <c r="J180" i="6"/>
  <c r="D180" i="6"/>
  <c r="C180" i="6"/>
  <c r="A180" i="6"/>
  <c r="K179" i="6"/>
  <c r="J179" i="6"/>
  <c r="D179" i="6"/>
  <c r="C179" i="6"/>
  <c r="A179" i="6"/>
  <c r="K178" i="6"/>
  <c r="J178" i="6"/>
  <c r="D178" i="6"/>
  <c r="C178" i="6"/>
  <c r="A178" i="6"/>
  <c r="K177" i="6"/>
  <c r="J177" i="6"/>
  <c r="D177" i="6"/>
  <c r="C177" i="6"/>
  <c r="A177" i="6"/>
  <c r="K176" i="6"/>
  <c r="J176" i="6"/>
  <c r="D176" i="6"/>
  <c r="C176" i="6"/>
  <c r="A176" i="6"/>
  <c r="K175" i="6"/>
  <c r="J175" i="6"/>
  <c r="D175" i="6"/>
  <c r="C175" i="6"/>
  <c r="A175" i="6"/>
  <c r="K174" i="6"/>
  <c r="J174" i="6"/>
  <c r="D174" i="6"/>
  <c r="C174" i="6"/>
  <c r="A174" i="6"/>
  <c r="K173" i="6"/>
  <c r="J173" i="6"/>
  <c r="D173" i="6"/>
  <c r="C173" i="6"/>
  <c r="A173" i="6"/>
  <c r="K172" i="6"/>
  <c r="J172" i="6"/>
  <c r="D172" i="6"/>
  <c r="C172" i="6"/>
  <c r="A172" i="6"/>
  <c r="K171" i="6"/>
  <c r="J171" i="6"/>
  <c r="D171" i="6"/>
  <c r="C171" i="6"/>
  <c r="A171" i="6"/>
  <c r="K170" i="6"/>
  <c r="J170" i="6"/>
  <c r="D170" i="6"/>
  <c r="C170" i="6"/>
  <c r="A170" i="6"/>
  <c r="K169" i="6"/>
  <c r="J169" i="6"/>
  <c r="D169" i="6"/>
  <c r="C169" i="6"/>
  <c r="A169" i="6"/>
  <c r="K168" i="6"/>
  <c r="J168" i="6"/>
  <c r="D168" i="6"/>
  <c r="C168" i="6"/>
  <c r="A168" i="6"/>
  <c r="K167" i="6"/>
  <c r="J167" i="6"/>
  <c r="D167" i="6"/>
  <c r="C167" i="6"/>
  <c r="A167" i="6"/>
  <c r="K166" i="6"/>
  <c r="J166" i="6"/>
  <c r="D166" i="6"/>
  <c r="C166" i="6"/>
  <c r="A166" i="6"/>
  <c r="K165" i="6"/>
  <c r="J165" i="6"/>
  <c r="D165" i="6"/>
  <c r="C165" i="6"/>
  <c r="A165" i="6"/>
  <c r="K164" i="6"/>
  <c r="J164" i="6"/>
  <c r="D164" i="6"/>
  <c r="C164" i="6"/>
  <c r="A164" i="6"/>
  <c r="K163" i="6"/>
  <c r="J163" i="6"/>
  <c r="D163" i="6"/>
  <c r="C163" i="6"/>
  <c r="A163" i="6"/>
  <c r="K162" i="6"/>
  <c r="J162" i="6"/>
  <c r="D162" i="6"/>
  <c r="C162" i="6"/>
  <c r="A162" i="6"/>
  <c r="K161" i="6"/>
  <c r="J161" i="6"/>
  <c r="D161" i="6"/>
  <c r="C161" i="6"/>
  <c r="A161" i="6"/>
  <c r="K160" i="6"/>
  <c r="J160" i="6"/>
  <c r="D160" i="6"/>
  <c r="C160" i="6"/>
  <c r="A160" i="6"/>
  <c r="K159" i="6"/>
  <c r="J159" i="6"/>
  <c r="D159" i="6"/>
  <c r="C159" i="6"/>
  <c r="A159" i="6"/>
  <c r="K158" i="6"/>
  <c r="J158" i="6"/>
  <c r="D158" i="6"/>
  <c r="C158" i="6"/>
  <c r="A158" i="6"/>
  <c r="K157" i="6"/>
  <c r="J157" i="6"/>
  <c r="D157" i="6"/>
  <c r="C157" i="6"/>
  <c r="A157" i="6"/>
  <c r="K156" i="6"/>
  <c r="J156" i="6"/>
  <c r="D156" i="6"/>
  <c r="C156" i="6"/>
  <c r="A156" i="6"/>
  <c r="K155" i="6"/>
  <c r="J155" i="6"/>
  <c r="D155" i="6"/>
  <c r="C155" i="6"/>
  <c r="A155" i="6"/>
  <c r="K154" i="6"/>
  <c r="J154" i="6"/>
  <c r="D154" i="6"/>
  <c r="C154" i="6"/>
  <c r="A154" i="6"/>
  <c r="K153" i="6"/>
  <c r="J153" i="6"/>
  <c r="D153" i="6"/>
  <c r="C153" i="6"/>
  <c r="A153" i="6"/>
  <c r="K152" i="6"/>
  <c r="J152" i="6"/>
  <c r="D152" i="6"/>
  <c r="C152" i="6"/>
  <c r="A152" i="6"/>
  <c r="K151" i="6"/>
  <c r="J151" i="6"/>
  <c r="D151" i="6"/>
  <c r="C151" i="6"/>
  <c r="A151" i="6"/>
  <c r="K150" i="6"/>
  <c r="J150" i="6"/>
  <c r="D150" i="6"/>
  <c r="C150" i="6"/>
  <c r="A150" i="6"/>
  <c r="K149" i="6"/>
  <c r="J149" i="6"/>
  <c r="D149" i="6"/>
  <c r="C149" i="6"/>
  <c r="A149" i="6"/>
  <c r="K148" i="6"/>
  <c r="J148" i="6"/>
  <c r="D148" i="6"/>
  <c r="C148" i="6"/>
  <c r="A148" i="6"/>
  <c r="K147" i="6"/>
  <c r="J147" i="6"/>
  <c r="D147" i="6"/>
  <c r="C147" i="6"/>
  <c r="A147" i="6"/>
  <c r="K146" i="6"/>
  <c r="J146" i="6"/>
  <c r="D146" i="6"/>
  <c r="C146" i="6"/>
  <c r="A146" i="6"/>
  <c r="K145" i="6"/>
  <c r="J145" i="6"/>
  <c r="D145" i="6"/>
  <c r="C145" i="6"/>
  <c r="A145" i="6"/>
  <c r="K144" i="6"/>
  <c r="J144" i="6"/>
  <c r="D144" i="6"/>
  <c r="C144" i="6"/>
  <c r="A144" i="6"/>
  <c r="K143" i="6"/>
  <c r="J143" i="6"/>
  <c r="D143" i="6"/>
  <c r="C143" i="6"/>
  <c r="A143" i="6"/>
  <c r="K142" i="6"/>
  <c r="J142" i="6"/>
  <c r="D142" i="6"/>
  <c r="C142" i="6"/>
  <c r="A142" i="6"/>
  <c r="K141" i="6"/>
  <c r="J141" i="6"/>
  <c r="D141" i="6"/>
  <c r="C141" i="6"/>
  <c r="A141" i="6"/>
  <c r="K140" i="6"/>
  <c r="J140" i="6"/>
  <c r="D140" i="6"/>
  <c r="C140" i="6"/>
  <c r="A140" i="6"/>
  <c r="K139" i="6"/>
  <c r="J139" i="6"/>
  <c r="D139" i="6"/>
  <c r="C139" i="6"/>
  <c r="A139" i="6"/>
  <c r="K138" i="6"/>
  <c r="J138" i="6"/>
  <c r="D138" i="6"/>
  <c r="C138" i="6"/>
  <c r="A138" i="6"/>
  <c r="K137" i="6"/>
  <c r="J137" i="6"/>
  <c r="D137" i="6"/>
  <c r="C137" i="6"/>
  <c r="A137" i="6"/>
  <c r="K136" i="6"/>
  <c r="J136" i="6"/>
  <c r="D136" i="6"/>
  <c r="C136" i="6"/>
  <c r="A136" i="6"/>
  <c r="K135" i="6"/>
  <c r="J135" i="6"/>
  <c r="D135" i="6"/>
  <c r="C135" i="6"/>
  <c r="A135" i="6"/>
  <c r="K134" i="6"/>
  <c r="J134" i="6"/>
  <c r="D134" i="6"/>
  <c r="C134" i="6"/>
  <c r="A134" i="6"/>
  <c r="K133" i="6"/>
  <c r="J133" i="6"/>
  <c r="D133" i="6"/>
  <c r="C133" i="6"/>
  <c r="A133" i="6"/>
  <c r="K132" i="6"/>
  <c r="J132" i="6"/>
  <c r="D132" i="6"/>
  <c r="C132" i="6"/>
  <c r="A132" i="6"/>
  <c r="K131" i="6"/>
  <c r="J131" i="6"/>
  <c r="D131" i="6"/>
  <c r="C131" i="6"/>
  <c r="A131" i="6"/>
  <c r="K130" i="6"/>
  <c r="J130" i="6"/>
  <c r="D130" i="6"/>
  <c r="C130" i="6"/>
  <c r="A130" i="6"/>
  <c r="K129" i="6"/>
  <c r="J129" i="6"/>
  <c r="D129" i="6"/>
  <c r="C129" i="6"/>
  <c r="A129" i="6"/>
  <c r="K128" i="6"/>
  <c r="J128" i="6"/>
  <c r="D128" i="6"/>
  <c r="C128" i="6"/>
  <c r="A128" i="6"/>
  <c r="K127" i="6"/>
  <c r="J127" i="6"/>
  <c r="D127" i="6"/>
  <c r="C127" i="6"/>
  <c r="A127" i="6"/>
  <c r="K126" i="6"/>
  <c r="J126" i="6"/>
  <c r="D126" i="6"/>
  <c r="C126" i="6"/>
  <c r="A126" i="6"/>
  <c r="K125" i="6"/>
  <c r="J125" i="6"/>
  <c r="D125" i="6"/>
  <c r="C125" i="6"/>
  <c r="A125" i="6"/>
  <c r="K124" i="6"/>
  <c r="J124" i="6"/>
  <c r="D124" i="6"/>
  <c r="C124" i="6"/>
  <c r="A124" i="6"/>
  <c r="K123" i="6"/>
  <c r="J123" i="6"/>
  <c r="D123" i="6"/>
  <c r="C123" i="6"/>
  <c r="A123" i="6"/>
  <c r="K122" i="6"/>
  <c r="J122" i="6"/>
  <c r="D122" i="6"/>
  <c r="C122" i="6"/>
  <c r="A122" i="6"/>
  <c r="K121" i="6"/>
  <c r="J121" i="6"/>
  <c r="D121" i="6"/>
  <c r="C121" i="6"/>
  <c r="A121" i="6"/>
  <c r="K120" i="6"/>
  <c r="J120" i="6"/>
  <c r="D120" i="6"/>
  <c r="C120" i="6"/>
  <c r="A120" i="6"/>
  <c r="K119" i="6"/>
  <c r="J119" i="6"/>
  <c r="D119" i="6"/>
  <c r="C119" i="6"/>
  <c r="A119" i="6"/>
  <c r="K118" i="6"/>
  <c r="J118" i="6"/>
  <c r="D118" i="6"/>
  <c r="C118" i="6"/>
  <c r="A118" i="6"/>
  <c r="K117" i="6"/>
  <c r="J117" i="6"/>
  <c r="D117" i="6"/>
  <c r="C117" i="6"/>
  <c r="A117" i="6"/>
  <c r="K116" i="6"/>
  <c r="J116" i="6"/>
  <c r="D116" i="6"/>
  <c r="C116" i="6"/>
  <c r="A116" i="6"/>
  <c r="K115" i="6"/>
  <c r="J115" i="6"/>
  <c r="D115" i="6"/>
  <c r="C115" i="6"/>
  <c r="A115" i="6"/>
  <c r="K114" i="6"/>
  <c r="J114" i="6"/>
  <c r="D114" i="6"/>
  <c r="C114" i="6"/>
  <c r="A114" i="6"/>
  <c r="K113" i="6"/>
  <c r="J113" i="6"/>
  <c r="D113" i="6"/>
  <c r="C113" i="6"/>
  <c r="A113" i="6"/>
  <c r="K112" i="6"/>
  <c r="J112" i="6"/>
  <c r="D112" i="6"/>
  <c r="C112" i="6"/>
  <c r="A112" i="6"/>
  <c r="K111" i="6"/>
  <c r="J111" i="6"/>
  <c r="D111" i="6"/>
  <c r="C111" i="6"/>
  <c r="A111" i="6"/>
  <c r="K110" i="6"/>
  <c r="J110" i="6"/>
  <c r="D110" i="6"/>
  <c r="C110" i="6"/>
  <c r="A110" i="6"/>
  <c r="K109" i="6"/>
  <c r="J109" i="6"/>
  <c r="D109" i="6"/>
  <c r="C109" i="6"/>
  <c r="A109" i="6"/>
  <c r="K108" i="6"/>
  <c r="J108" i="6"/>
  <c r="D108" i="6"/>
  <c r="C108" i="6"/>
  <c r="A108" i="6"/>
  <c r="K107" i="6"/>
  <c r="J107" i="6"/>
  <c r="D107" i="6"/>
  <c r="C107" i="6"/>
  <c r="A107" i="6"/>
  <c r="K106" i="6"/>
  <c r="J106" i="6"/>
  <c r="D106" i="6"/>
  <c r="C106" i="6"/>
  <c r="A106" i="6"/>
  <c r="K105" i="6"/>
  <c r="J105" i="6"/>
  <c r="D105" i="6"/>
  <c r="C105" i="6"/>
  <c r="A105" i="6"/>
  <c r="K104" i="6"/>
  <c r="J104" i="6"/>
  <c r="D104" i="6"/>
  <c r="C104" i="6"/>
  <c r="A104" i="6"/>
  <c r="K103" i="6"/>
  <c r="J103" i="6"/>
  <c r="D103" i="6"/>
  <c r="C103" i="6"/>
  <c r="A103" i="6"/>
  <c r="K102" i="6"/>
  <c r="J102" i="6"/>
  <c r="D102" i="6"/>
  <c r="C102" i="6"/>
  <c r="A102" i="6"/>
  <c r="K101" i="6"/>
  <c r="J101" i="6"/>
  <c r="D101" i="6"/>
  <c r="C101" i="6"/>
  <c r="A101" i="6"/>
  <c r="K100" i="6"/>
  <c r="J100" i="6"/>
  <c r="D100" i="6"/>
  <c r="C100" i="6"/>
  <c r="A100" i="6"/>
  <c r="K99" i="6"/>
  <c r="J99" i="6"/>
  <c r="D99" i="6"/>
  <c r="C99" i="6"/>
  <c r="A99" i="6"/>
  <c r="K98" i="6"/>
  <c r="J98" i="6"/>
  <c r="D98" i="6"/>
  <c r="C98" i="6"/>
  <c r="A98" i="6"/>
  <c r="K97" i="6"/>
  <c r="J97" i="6"/>
  <c r="D97" i="6"/>
  <c r="C97" i="6"/>
  <c r="A97" i="6"/>
  <c r="K96" i="6"/>
  <c r="J96" i="6"/>
  <c r="D96" i="6"/>
  <c r="C96" i="6"/>
  <c r="A96" i="6"/>
  <c r="K95" i="6"/>
  <c r="J95" i="6"/>
  <c r="D95" i="6"/>
  <c r="C95" i="6"/>
  <c r="A95" i="6"/>
  <c r="K94" i="6"/>
  <c r="J94" i="6"/>
  <c r="D94" i="6"/>
  <c r="C94" i="6"/>
  <c r="A94" i="6"/>
  <c r="K93" i="6"/>
  <c r="J93" i="6"/>
  <c r="D93" i="6"/>
  <c r="C93" i="6"/>
  <c r="A93" i="6"/>
  <c r="K92" i="6"/>
  <c r="J92" i="6"/>
  <c r="D92" i="6"/>
  <c r="C92" i="6"/>
  <c r="A92" i="6"/>
  <c r="K91" i="6"/>
  <c r="J91" i="6"/>
  <c r="D91" i="6"/>
  <c r="C91" i="6"/>
  <c r="A91" i="6"/>
  <c r="K90" i="6"/>
  <c r="J90" i="6"/>
  <c r="D90" i="6"/>
  <c r="C90" i="6"/>
  <c r="A90" i="6"/>
  <c r="K89" i="6"/>
  <c r="J89" i="6"/>
  <c r="D89" i="6"/>
  <c r="C89" i="6"/>
  <c r="A89" i="6"/>
  <c r="K88" i="6"/>
  <c r="J88" i="6"/>
  <c r="D88" i="6"/>
  <c r="C88" i="6"/>
  <c r="A88" i="6"/>
  <c r="K87" i="6"/>
  <c r="J87" i="6"/>
  <c r="D87" i="6"/>
  <c r="C87" i="6"/>
  <c r="A87" i="6"/>
  <c r="K86" i="6"/>
  <c r="J86" i="6"/>
  <c r="D86" i="6"/>
  <c r="C86" i="6"/>
  <c r="A86" i="6"/>
  <c r="K85" i="6"/>
  <c r="J85" i="6"/>
  <c r="D85" i="6"/>
  <c r="C85" i="6"/>
  <c r="A85" i="6"/>
  <c r="K84" i="6"/>
  <c r="J84" i="6"/>
  <c r="D84" i="6"/>
  <c r="C84" i="6"/>
  <c r="A84" i="6"/>
  <c r="K83" i="6"/>
  <c r="J83" i="6"/>
  <c r="D83" i="6"/>
  <c r="C83" i="6"/>
  <c r="A83" i="6"/>
  <c r="K82" i="6"/>
  <c r="J82" i="6"/>
  <c r="D82" i="6"/>
  <c r="C82" i="6"/>
  <c r="A82" i="6"/>
  <c r="K81" i="6"/>
  <c r="J81" i="6"/>
  <c r="D81" i="6"/>
  <c r="C81" i="6"/>
  <c r="A81" i="6"/>
  <c r="K80" i="6"/>
  <c r="J80" i="6"/>
  <c r="D80" i="6"/>
  <c r="C80" i="6"/>
  <c r="A80" i="6"/>
  <c r="K79" i="6"/>
  <c r="J79" i="6"/>
  <c r="D79" i="6"/>
  <c r="C79" i="6"/>
  <c r="A79" i="6"/>
  <c r="K78" i="6"/>
  <c r="J78" i="6"/>
  <c r="D78" i="6"/>
  <c r="C78" i="6"/>
  <c r="A78" i="6"/>
  <c r="K77" i="6"/>
  <c r="J77" i="6"/>
  <c r="D77" i="6"/>
  <c r="C77" i="6"/>
  <c r="A77" i="6"/>
  <c r="K76" i="6"/>
  <c r="J76" i="6"/>
  <c r="D76" i="6"/>
  <c r="C76" i="6"/>
  <c r="A76" i="6"/>
  <c r="K75" i="6"/>
  <c r="J75" i="6"/>
  <c r="D75" i="6"/>
  <c r="C75" i="6"/>
  <c r="A75" i="6"/>
  <c r="K74" i="6"/>
  <c r="J74" i="6"/>
  <c r="D74" i="6"/>
  <c r="C74" i="6"/>
  <c r="A74" i="6"/>
  <c r="K73" i="6"/>
  <c r="J73" i="6"/>
  <c r="D73" i="6"/>
  <c r="C73" i="6"/>
  <c r="A73" i="6"/>
  <c r="K72" i="6"/>
  <c r="J72" i="6"/>
  <c r="D72" i="6"/>
  <c r="C72" i="6"/>
  <c r="A72" i="6"/>
  <c r="K71" i="6"/>
  <c r="J71" i="6"/>
  <c r="D71" i="6"/>
  <c r="C71" i="6"/>
  <c r="A71" i="6"/>
  <c r="K70" i="6"/>
  <c r="J70" i="6"/>
  <c r="D70" i="6"/>
  <c r="C70" i="6"/>
  <c r="A70" i="6"/>
  <c r="K69" i="6"/>
  <c r="J69" i="6"/>
  <c r="D69" i="6"/>
  <c r="C69" i="6"/>
  <c r="A69" i="6"/>
  <c r="K68" i="6"/>
  <c r="J68" i="6"/>
  <c r="D68" i="6"/>
  <c r="C68" i="6"/>
  <c r="A68" i="6"/>
  <c r="K67" i="6"/>
  <c r="J67" i="6"/>
  <c r="D67" i="6"/>
  <c r="C67" i="6"/>
  <c r="A67" i="6"/>
  <c r="K66" i="6"/>
  <c r="J66" i="6"/>
  <c r="D66" i="6"/>
  <c r="C66" i="6"/>
  <c r="A66" i="6"/>
  <c r="K65" i="6"/>
  <c r="J65" i="6"/>
  <c r="D11" i="2" s="1"/>
  <c r="D65" i="6"/>
  <c r="C65" i="6"/>
  <c r="A65" i="6"/>
  <c r="K64" i="6"/>
  <c r="J64" i="6"/>
  <c r="D64" i="6"/>
  <c r="C64" i="6"/>
  <c r="A64" i="6"/>
  <c r="K63" i="6"/>
  <c r="J63" i="6"/>
  <c r="D63" i="6"/>
  <c r="C63" i="6"/>
  <c r="A63" i="6"/>
  <c r="K62" i="6"/>
  <c r="J62" i="6"/>
  <c r="D62" i="6"/>
  <c r="C62" i="6"/>
  <c r="A62" i="6"/>
  <c r="K61" i="6"/>
  <c r="J61" i="6"/>
  <c r="D61" i="6"/>
  <c r="C61" i="6"/>
  <c r="A61" i="6"/>
  <c r="K60" i="6"/>
  <c r="J60" i="6"/>
  <c r="D60" i="6"/>
  <c r="C60" i="6"/>
  <c r="A60" i="6"/>
  <c r="K59" i="6"/>
  <c r="J59" i="6"/>
  <c r="D59" i="6"/>
  <c r="C59" i="6"/>
  <c r="A59" i="6"/>
  <c r="K58" i="6"/>
  <c r="J58" i="6"/>
  <c r="D58" i="6"/>
  <c r="C58" i="6"/>
  <c r="A58" i="6"/>
  <c r="K57" i="6"/>
  <c r="J57" i="6"/>
  <c r="D57" i="6"/>
  <c r="C57" i="6"/>
  <c r="A57" i="6"/>
  <c r="K56" i="6"/>
  <c r="J56" i="6"/>
  <c r="D56" i="6"/>
  <c r="C56" i="6"/>
  <c r="A56" i="6"/>
  <c r="K55" i="6"/>
  <c r="J55" i="6"/>
  <c r="D55" i="6"/>
  <c r="C55" i="6"/>
  <c r="A55" i="6"/>
  <c r="K54" i="6"/>
  <c r="J54" i="6"/>
  <c r="D54" i="6"/>
  <c r="C54" i="6"/>
  <c r="A54" i="6"/>
  <c r="K53" i="6"/>
  <c r="J53" i="6"/>
  <c r="D53" i="6"/>
  <c r="C53" i="6"/>
  <c r="A53" i="6"/>
  <c r="K52" i="6"/>
  <c r="J52" i="6"/>
  <c r="D52" i="6"/>
  <c r="C52" i="6"/>
  <c r="A52" i="6"/>
  <c r="K51" i="6"/>
  <c r="J51" i="6"/>
  <c r="D51" i="6"/>
  <c r="C51" i="6"/>
  <c r="A51" i="6"/>
  <c r="K50" i="6"/>
  <c r="J50" i="6"/>
  <c r="D50" i="6"/>
  <c r="C50" i="6"/>
  <c r="A50" i="6"/>
  <c r="K49" i="6"/>
  <c r="J49" i="6"/>
  <c r="D49" i="6"/>
  <c r="C49" i="6"/>
  <c r="A49" i="6"/>
  <c r="K48" i="6"/>
  <c r="J48" i="6"/>
  <c r="D48" i="6"/>
  <c r="C48" i="6"/>
  <c r="A48" i="6"/>
  <c r="K47" i="6"/>
  <c r="J47" i="6"/>
  <c r="D47" i="6"/>
  <c r="C47" i="6"/>
  <c r="A47" i="6"/>
  <c r="K46" i="6"/>
  <c r="J46" i="6"/>
  <c r="D46" i="6"/>
  <c r="C46" i="6"/>
  <c r="A46" i="6"/>
  <c r="K45" i="6"/>
  <c r="J45" i="6"/>
  <c r="D45" i="6"/>
  <c r="C45" i="6"/>
  <c r="A45" i="6"/>
  <c r="K44" i="6"/>
  <c r="J44" i="6"/>
  <c r="D44" i="6"/>
  <c r="C44" i="6"/>
  <c r="A44" i="6"/>
  <c r="K43" i="6"/>
  <c r="J43" i="6"/>
  <c r="D43" i="6"/>
  <c r="C43" i="6"/>
  <c r="A43" i="6"/>
  <c r="K42" i="6"/>
  <c r="J42" i="6"/>
  <c r="D42" i="6"/>
  <c r="C42" i="6"/>
  <c r="A42" i="6"/>
  <c r="K41" i="6"/>
  <c r="J41" i="6"/>
  <c r="D41" i="6"/>
  <c r="C41" i="6"/>
  <c r="A41" i="6"/>
  <c r="K40" i="6"/>
  <c r="J40" i="6"/>
  <c r="D40" i="6"/>
  <c r="C40" i="6"/>
  <c r="A40" i="6"/>
  <c r="K39" i="6"/>
  <c r="J39" i="6"/>
  <c r="D39" i="6"/>
  <c r="C39" i="6"/>
  <c r="A39" i="6"/>
  <c r="K38" i="6"/>
  <c r="J38" i="6"/>
  <c r="D38" i="6"/>
  <c r="C38" i="6"/>
  <c r="A38" i="6"/>
  <c r="K37" i="6"/>
  <c r="J37" i="6"/>
  <c r="D37" i="6"/>
  <c r="C37" i="6"/>
  <c r="A37" i="6"/>
  <c r="K36" i="6"/>
  <c r="J36" i="6"/>
  <c r="D36" i="6"/>
  <c r="C36" i="6"/>
  <c r="A36" i="6"/>
  <c r="K35" i="6"/>
  <c r="J35" i="6"/>
  <c r="D35" i="6"/>
  <c r="C35" i="6"/>
  <c r="A35" i="6"/>
  <c r="K34" i="6"/>
  <c r="J34" i="6"/>
  <c r="D34" i="6"/>
  <c r="C34" i="6"/>
  <c r="A34" i="6"/>
  <c r="K33" i="6"/>
  <c r="J33" i="6"/>
  <c r="D33" i="6"/>
  <c r="C33" i="6"/>
  <c r="A33" i="6"/>
  <c r="K32" i="6"/>
  <c r="J32" i="6"/>
  <c r="D32" i="6"/>
  <c r="C32" i="6"/>
  <c r="A32" i="6"/>
  <c r="K31" i="6"/>
  <c r="J31" i="6"/>
  <c r="D31" i="6"/>
  <c r="C31" i="6"/>
  <c r="A31" i="6"/>
  <c r="K30" i="6"/>
  <c r="J30" i="6"/>
  <c r="D30" i="6"/>
  <c r="C30" i="6"/>
  <c r="A30" i="6"/>
  <c r="K29" i="6"/>
  <c r="J29" i="6"/>
  <c r="D29" i="6"/>
  <c r="C29" i="6"/>
  <c r="A29" i="6"/>
  <c r="K28" i="6"/>
  <c r="J28" i="6"/>
  <c r="D28" i="6"/>
  <c r="C28" i="6"/>
  <c r="A28" i="6"/>
  <c r="K27" i="6"/>
  <c r="J27" i="6"/>
  <c r="D27" i="6"/>
  <c r="C27" i="6"/>
  <c r="A27" i="6"/>
  <c r="K26" i="6"/>
  <c r="J26" i="6"/>
  <c r="D26" i="6"/>
  <c r="C26" i="6"/>
  <c r="A26" i="6"/>
  <c r="K25" i="6"/>
  <c r="J25" i="6"/>
  <c r="D25" i="6"/>
  <c r="C25" i="6"/>
  <c r="A25" i="6"/>
  <c r="K24" i="6"/>
  <c r="J24" i="6"/>
  <c r="D24" i="6"/>
  <c r="C24" i="6"/>
  <c r="A24" i="6"/>
  <c r="K23" i="6"/>
  <c r="J23" i="6"/>
  <c r="D23" i="6"/>
  <c r="C23" i="6"/>
  <c r="A23" i="6"/>
  <c r="K22" i="6"/>
  <c r="J22" i="6"/>
  <c r="D22" i="6"/>
  <c r="C22" i="6"/>
  <c r="A22" i="6"/>
  <c r="K21" i="6"/>
  <c r="J21" i="6"/>
  <c r="D21" i="6"/>
  <c r="C21" i="6"/>
  <c r="A21" i="6"/>
  <c r="K20" i="6"/>
  <c r="J20" i="6"/>
  <c r="D20" i="6"/>
  <c r="C20" i="6"/>
  <c r="A20" i="6"/>
  <c r="K19" i="6"/>
  <c r="J19" i="6"/>
  <c r="D19" i="6"/>
  <c r="C19" i="6"/>
  <c r="A19" i="6"/>
  <c r="K18" i="6"/>
  <c r="J18" i="6"/>
  <c r="D18" i="6"/>
  <c r="C18" i="6"/>
  <c r="A18" i="6"/>
  <c r="K17" i="6"/>
  <c r="J17" i="6"/>
  <c r="D17" i="6"/>
  <c r="C17" i="6"/>
  <c r="A17" i="6"/>
  <c r="K16" i="6"/>
  <c r="J16" i="6"/>
  <c r="D16" i="6"/>
  <c r="C16" i="6"/>
  <c r="A16" i="6"/>
  <c r="K15" i="6"/>
  <c r="J15" i="6"/>
  <c r="D15" i="6"/>
  <c r="C15" i="6"/>
  <c r="A15" i="6"/>
  <c r="K14" i="6"/>
  <c r="J14" i="6"/>
  <c r="D14" i="6"/>
  <c r="C14" i="6"/>
  <c r="A14" i="6"/>
  <c r="K13" i="6"/>
  <c r="J13" i="6"/>
  <c r="D13" i="6"/>
  <c r="C13" i="6"/>
  <c r="A13" i="6"/>
  <c r="K12" i="6"/>
  <c r="J12" i="6"/>
  <c r="D12" i="6"/>
  <c r="C12" i="6"/>
  <c r="A12" i="6"/>
  <c r="K11" i="6"/>
  <c r="J11" i="6"/>
  <c r="D11" i="6"/>
  <c r="C11" i="6"/>
  <c r="A11" i="6"/>
  <c r="K10" i="6"/>
  <c r="J10" i="6"/>
  <c r="D10" i="6"/>
  <c r="C10" i="6"/>
  <c r="A10" i="6"/>
  <c r="K9" i="6"/>
  <c r="J9" i="6"/>
  <c r="D9" i="6"/>
  <c r="C9" i="6"/>
  <c r="A9" i="6"/>
  <c r="K8" i="6"/>
  <c r="J8" i="6"/>
  <c r="D8" i="6"/>
  <c r="C8" i="6"/>
  <c r="A8" i="6"/>
  <c r="K7" i="6"/>
  <c r="J7" i="6"/>
  <c r="D7" i="6"/>
  <c r="C7" i="6"/>
  <c r="A7" i="6"/>
  <c r="K6" i="6"/>
  <c r="J6" i="6"/>
  <c r="D6" i="6"/>
  <c r="C6" i="6"/>
  <c r="A6" i="6"/>
  <c r="K5" i="6"/>
  <c r="J5" i="6"/>
  <c r="D5" i="6"/>
  <c r="C5" i="6"/>
  <c r="A5" i="6"/>
  <c r="G5" i="4"/>
  <c r="C61" i="3"/>
  <c r="E60" i="3"/>
  <c r="C60" i="3"/>
  <c r="E59" i="3"/>
  <c r="C59" i="3"/>
  <c r="E58" i="3"/>
  <c r="C58" i="3"/>
  <c r="C55" i="3"/>
  <c r="E54" i="3"/>
  <c r="C54" i="3"/>
  <c r="E51" i="3"/>
  <c r="C51" i="3"/>
  <c r="E50" i="3"/>
  <c r="C50" i="3"/>
  <c r="E49" i="3"/>
  <c r="C49" i="3"/>
  <c r="E46" i="3"/>
  <c r="C46" i="3"/>
  <c r="E45" i="3"/>
  <c r="C45" i="3"/>
  <c r="E44" i="3"/>
  <c r="C44" i="3"/>
  <c r="E41" i="3"/>
  <c r="C41" i="3"/>
  <c r="E40" i="3"/>
  <c r="C40" i="3"/>
  <c r="C37" i="3"/>
  <c r="C36" i="3"/>
  <c r="E35" i="3"/>
  <c r="C35" i="3"/>
  <c r="E32" i="3"/>
  <c r="C32" i="3"/>
  <c r="E31" i="3"/>
  <c r="C31" i="3"/>
  <c r="E30" i="3"/>
  <c r="C30" i="3"/>
  <c r="E29" i="3"/>
  <c r="C29" i="3"/>
  <c r="E28" i="3"/>
  <c r="C28" i="3"/>
  <c r="E25" i="3"/>
  <c r="C25" i="3"/>
  <c r="E24" i="3"/>
  <c r="C24" i="3"/>
  <c r="E23" i="3"/>
  <c r="C23" i="3"/>
  <c r="E22" i="3"/>
  <c r="C22" i="3"/>
  <c r="E19" i="3"/>
  <c r="C19" i="3"/>
  <c r="E18" i="3"/>
  <c r="C18" i="3"/>
  <c r="E15" i="3"/>
  <c r="C15" i="3"/>
  <c r="E14" i="3"/>
  <c r="C14" i="3"/>
  <c r="E13" i="3"/>
  <c r="C13" i="3"/>
  <c r="E12" i="3"/>
  <c r="C12" i="3"/>
  <c r="E11" i="3"/>
  <c r="C11" i="3"/>
  <c r="B8" i="3"/>
  <c r="B7" i="3"/>
  <c r="C56" i="2"/>
  <c r="C55" i="2"/>
  <c r="C54" i="2"/>
  <c r="C53" i="2"/>
  <c r="C52" i="2"/>
  <c r="C51" i="2"/>
  <c r="K48" i="2"/>
  <c r="K47" i="2"/>
  <c r="K46" i="2"/>
  <c r="K45" i="2"/>
  <c r="K44" i="2"/>
  <c r="I44" i="2"/>
  <c r="G44" i="2"/>
  <c r="E44" i="2"/>
  <c r="C44" i="2"/>
  <c r="M43" i="2"/>
  <c r="K43" i="2"/>
  <c r="I43" i="2"/>
  <c r="G43" i="2"/>
  <c r="E43" i="2"/>
  <c r="C43" i="2"/>
  <c r="M42" i="2"/>
  <c r="K42" i="2"/>
  <c r="I42" i="2"/>
  <c r="G42" i="2"/>
  <c r="E42" i="2"/>
  <c r="C42" i="2"/>
  <c r="M41" i="2"/>
  <c r="K41" i="2"/>
  <c r="I41" i="2"/>
  <c r="G41" i="2"/>
  <c r="E41" i="2"/>
  <c r="C41" i="2"/>
  <c r="C37" i="2"/>
  <c r="B37" i="2"/>
  <c r="C36" i="2"/>
  <c r="B36" i="2"/>
  <c r="C35" i="2"/>
  <c r="B35" i="2"/>
  <c r="C34" i="2"/>
  <c r="B34" i="2"/>
  <c r="D33" i="2"/>
  <c r="C33" i="2"/>
  <c r="E33" i="2" s="1"/>
  <c r="B33" i="2"/>
  <c r="F33" i="2" s="1"/>
  <c r="C32" i="2"/>
  <c r="B32" i="2"/>
  <c r="C31" i="2"/>
  <c r="B31" i="2"/>
  <c r="C30" i="2"/>
  <c r="B30" i="2"/>
  <c r="D29" i="2"/>
  <c r="C29" i="2"/>
  <c r="E29" i="2" s="1"/>
  <c r="B29" i="2"/>
  <c r="F29" i="2" s="1"/>
  <c r="C28" i="2"/>
  <c r="B28" i="2"/>
  <c r="C27" i="2"/>
  <c r="B27" i="2"/>
  <c r="C26" i="2"/>
  <c r="B26" i="2"/>
  <c r="C25" i="2"/>
  <c r="B25" i="2"/>
  <c r="C24" i="2"/>
  <c r="B24" i="2"/>
  <c r="C23" i="2"/>
  <c r="B23" i="2"/>
  <c r="F19" i="2"/>
  <c r="F18" i="2"/>
  <c r="I17" i="2"/>
  <c r="F17" i="2"/>
  <c r="C17" i="2"/>
  <c r="I16" i="2"/>
  <c r="F16" i="2"/>
  <c r="C16" i="2"/>
  <c r="I15" i="2"/>
  <c r="F15" i="2"/>
  <c r="C15" i="2"/>
  <c r="E11" i="2"/>
  <c r="B11" i="2"/>
  <c r="F7" i="2"/>
  <c r="D7" i="2"/>
  <c r="C7" i="2"/>
  <c r="E7" i="2" s="1"/>
  <c r="B7" i="2"/>
  <c r="G7" i="2" s="1"/>
  <c r="BJ502" i="5"/>
  <c r="BI502" i="5"/>
  <c r="BH502" i="5"/>
  <c r="F502" i="5"/>
  <c r="BJ501" i="5"/>
  <c r="BI501" i="5"/>
  <c r="BH501" i="5"/>
  <c r="F501" i="5"/>
  <c r="BJ500" i="5"/>
  <c r="BI500" i="5"/>
  <c r="BH500" i="5"/>
  <c r="F500" i="5"/>
  <c r="BJ499" i="5"/>
  <c r="BI499" i="5"/>
  <c r="BH499" i="5"/>
  <c r="F499" i="5"/>
  <c r="BJ498" i="5"/>
  <c r="BI498" i="5"/>
  <c r="BH498" i="5"/>
  <c r="F498" i="5"/>
  <c r="BJ497" i="5"/>
  <c r="BI497" i="5"/>
  <c r="BH497" i="5"/>
  <c r="F497" i="5"/>
  <c r="BJ496" i="5"/>
  <c r="BI496" i="5"/>
  <c r="BH496" i="5"/>
  <c r="F496" i="5"/>
  <c r="BJ495" i="5"/>
  <c r="BI495" i="5"/>
  <c r="BH495" i="5"/>
  <c r="F495" i="5"/>
  <c r="BJ494" i="5"/>
  <c r="BI494" i="5"/>
  <c r="BH494" i="5"/>
  <c r="F494" i="5"/>
  <c r="BJ493" i="5"/>
  <c r="BI493" i="5"/>
  <c r="BH493" i="5"/>
  <c r="F493" i="5"/>
  <c r="BJ492" i="5"/>
  <c r="BI492" i="5"/>
  <c r="BH492" i="5"/>
  <c r="F492" i="5"/>
  <c r="BJ491" i="5"/>
  <c r="BI491" i="5"/>
  <c r="BH491" i="5"/>
  <c r="F491" i="5"/>
  <c r="BJ490" i="5"/>
  <c r="BI490" i="5"/>
  <c r="BH490" i="5"/>
  <c r="F490" i="5"/>
  <c r="BJ489" i="5"/>
  <c r="BI489" i="5"/>
  <c r="BH489" i="5"/>
  <c r="F489" i="5"/>
  <c r="BJ488" i="5"/>
  <c r="BI488" i="5"/>
  <c r="BH488" i="5"/>
  <c r="F488" i="5"/>
  <c r="BJ487" i="5"/>
  <c r="BI487" i="5"/>
  <c r="BH487" i="5"/>
  <c r="F487" i="5"/>
  <c r="BJ486" i="5"/>
  <c r="BI486" i="5"/>
  <c r="BH486" i="5"/>
  <c r="F486" i="5"/>
  <c r="BJ485" i="5"/>
  <c r="BI485" i="5"/>
  <c r="BH485" i="5"/>
  <c r="F485" i="5"/>
  <c r="BJ484" i="5"/>
  <c r="BI484" i="5"/>
  <c r="BH484" i="5"/>
  <c r="F484" i="5"/>
  <c r="BJ483" i="5"/>
  <c r="BI483" i="5"/>
  <c r="BH483" i="5"/>
  <c r="F483" i="5"/>
  <c r="BJ482" i="5"/>
  <c r="BI482" i="5"/>
  <c r="BH482" i="5"/>
  <c r="F482" i="5"/>
  <c r="BJ481" i="5"/>
  <c r="BI481" i="5"/>
  <c r="BH481" i="5"/>
  <c r="F481" i="5"/>
  <c r="BJ480" i="5"/>
  <c r="BI480" i="5"/>
  <c r="BH480" i="5"/>
  <c r="F480" i="5"/>
  <c r="BJ479" i="5"/>
  <c r="BI479" i="5"/>
  <c r="BH479" i="5"/>
  <c r="F479" i="5"/>
  <c r="BJ478" i="5"/>
  <c r="BI478" i="5"/>
  <c r="BH478" i="5"/>
  <c r="F478" i="5"/>
  <c r="BJ477" i="5"/>
  <c r="BI477" i="5"/>
  <c r="BH477" i="5"/>
  <c r="F477" i="5"/>
  <c r="BJ476" i="5"/>
  <c r="BI476" i="5"/>
  <c r="BH476" i="5"/>
  <c r="F476" i="5"/>
  <c r="BJ475" i="5"/>
  <c r="BI475" i="5"/>
  <c r="BH475" i="5"/>
  <c r="F475" i="5"/>
  <c r="BJ474" i="5"/>
  <c r="BI474" i="5"/>
  <c r="BH474" i="5"/>
  <c r="F474" i="5"/>
  <c r="BJ473" i="5"/>
  <c r="BI473" i="5"/>
  <c r="BH473" i="5"/>
  <c r="F473" i="5"/>
  <c r="BJ472" i="5"/>
  <c r="BI472" i="5"/>
  <c r="BH472" i="5"/>
  <c r="F472" i="5"/>
  <c r="BJ471" i="5"/>
  <c r="BI471" i="5"/>
  <c r="BH471" i="5"/>
  <c r="F471" i="5"/>
  <c r="BJ470" i="5"/>
  <c r="BI470" i="5"/>
  <c r="BH470" i="5"/>
  <c r="F470" i="5"/>
  <c r="BJ469" i="5"/>
  <c r="BI469" i="5"/>
  <c r="BH469" i="5"/>
  <c r="F469" i="5"/>
  <c r="BJ468" i="5"/>
  <c r="BI468" i="5"/>
  <c r="BH468" i="5"/>
  <c r="F468" i="5"/>
  <c r="BJ467" i="5"/>
  <c r="BI467" i="5"/>
  <c r="BH467" i="5"/>
  <c r="F467" i="5"/>
  <c r="BJ466" i="5"/>
  <c r="BI466" i="5"/>
  <c r="BH466" i="5"/>
  <c r="F466" i="5"/>
  <c r="BJ465" i="5"/>
  <c r="BI465" i="5"/>
  <c r="BH465" i="5"/>
  <c r="F465" i="5"/>
  <c r="BJ464" i="5"/>
  <c r="BI464" i="5"/>
  <c r="BH464" i="5"/>
  <c r="F464" i="5"/>
  <c r="BJ463" i="5"/>
  <c r="BI463" i="5"/>
  <c r="BH463" i="5"/>
  <c r="F463" i="5"/>
  <c r="BJ462" i="5"/>
  <c r="BI462" i="5"/>
  <c r="BH462" i="5"/>
  <c r="F462" i="5"/>
  <c r="BJ461" i="5"/>
  <c r="BI461" i="5"/>
  <c r="BH461" i="5"/>
  <c r="F461" i="5"/>
  <c r="BJ460" i="5"/>
  <c r="BI460" i="5"/>
  <c r="BH460" i="5"/>
  <c r="F460" i="5"/>
  <c r="BJ459" i="5"/>
  <c r="BI459" i="5"/>
  <c r="BH459" i="5"/>
  <c r="F459" i="5"/>
  <c r="BJ458" i="5"/>
  <c r="BI458" i="5"/>
  <c r="BH458" i="5"/>
  <c r="F458" i="5"/>
  <c r="BJ457" i="5"/>
  <c r="BI457" i="5"/>
  <c r="BH457" i="5"/>
  <c r="F457" i="5"/>
  <c r="BJ456" i="5"/>
  <c r="BI456" i="5"/>
  <c r="BH456" i="5"/>
  <c r="F456" i="5"/>
  <c r="BJ455" i="5"/>
  <c r="BI455" i="5"/>
  <c r="BH455" i="5"/>
  <c r="F455" i="5"/>
  <c r="BJ454" i="5"/>
  <c r="BI454" i="5"/>
  <c r="BH454" i="5"/>
  <c r="F454" i="5"/>
  <c r="BJ453" i="5"/>
  <c r="BI453" i="5"/>
  <c r="BH453" i="5"/>
  <c r="F453" i="5"/>
  <c r="BJ452" i="5"/>
  <c r="BI452" i="5"/>
  <c r="BH452" i="5"/>
  <c r="F452" i="5"/>
  <c r="BJ451" i="5"/>
  <c r="BI451" i="5"/>
  <c r="BH451" i="5"/>
  <c r="F451" i="5"/>
  <c r="BJ450" i="5"/>
  <c r="BI450" i="5"/>
  <c r="BH450" i="5"/>
  <c r="F450" i="5"/>
  <c r="BJ449" i="5"/>
  <c r="BI449" i="5"/>
  <c r="BH449" i="5"/>
  <c r="F449" i="5"/>
  <c r="BJ448" i="5"/>
  <c r="BI448" i="5"/>
  <c r="BH448" i="5"/>
  <c r="F448" i="5"/>
  <c r="BJ447" i="5"/>
  <c r="BI447" i="5"/>
  <c r="BH447" i="5"/>
  <c r="F447" i="5"/>
  <c r="BJ446" i="5"/>
  <c r="BI446" i="5"/>
  <c r="BH446" i="5"/>
  <c r="F446" i="5"/>
  <c r="BJ445" i="5"/>
  <c r="BI445" i="5"/>
  <c r="BH445" i="5"/>
  <c r="F445" i="5"/>
  <c r="BJ444" i="5"/>
  <c r="BI444" i="5"/>
  <c r="BH444" i="5"/>
  <c r="F444" i="5"/>
  <c r="BJ443" i="5"/>
  <c r="BI443" i="5"/>
  <c r="BH443" i="5"/>
  <c r="F443" i="5"/>
  <c r="BJ442" i="5"/>
  <c r="BI442" i="5"/>
  <c r="BH442" i="5"/>
  <c r="F442" i="5"/>
  <c r="BJ441" i="5"/>
  <c r="BI441" i="5"/>
  <c r="BH441" i="5"/>
  <c r="F441" i="5"/>
  <c r="BJ440" i="5"/>
  <c r="BI440" i="5"/>
  <c r="BH440" i="5"/>
  <c r="F440" i="5"/>
  <c r="BJ439" i="5"/>
  <c r="BI439" i="5"/>
  <c r="BH439" i="5"/>
  <c r="F439" i="5"/>
  <c r="BJ438" i="5"/>
  <c r="BI438" i="5"/>
  <c r="BH438" i="5"/>
  <c r="F438" i="5"/>
  <c r="BJ437" i="5"/>
  <c r="BI437" i="5"/>
  <c r="BH437" i="5"/>
  <c r="F437" i="5"/>
  <c r="BJ436" i="5"/>
  <c r="BI436" i="5"/>
  <c r="BH436" i="5"/>
  <c r="F436" i="5"/>
  <c r="BJ435" i="5"/>
  <c r="BI435" i="5"/>
  <c r="BH435" i="5"/>
  <c r="F435" i="5"/>
  <c r="BJ434" i="5"/>
  <c r="BI434" i="5"/>
  <c r="BH434" i="5"/>
  <c r="F434" i="5"/>
  <c r="BJ433" i="5"/>
  <c r="BI433" i="5"/>
  <c r="BH433" i="5"/>
  <c r="F433" i="5"/>
  <c r="BJ432" i="5"/>
  <c r="BI432" i="5"/>
  <c r="BH432" i="5"/>
  <c r="F432" i="5"/>
  <c r="BJ431" i="5"/>
  <c r="BI431" i="5"/>
  <c r="BH431" i="5"/>
  <c r="F431" i="5"/>
  <c r="BJ430" i="5"/>
  <c r="BI430" i="5"/>
  <c r="BH430" i="5"/>
  <c r="F430" i="5"/>
  <c r="BJ429" i="5"/>
  <c r="BI429" i="5"/>
  <c r="BH429" i="5"/>
  <c r="F429" i="5"/>
  <c r="BJ428" i="5"/>
  <c r="BI428" i="5"/>
  <c r="BH428" i="5"/>
  <c r="F428" i="5"/>
  <c r="BJ427" i="5"/>
  <c r="BI427" i="5"/>
  <c r="BH427" i="5"/>
  <c r="F427" i="5"/>
  <c r="BJ426" i="5"/>
  <c r="BI426" i="5"/>
  <c r="BH426" i="5"/>
  <c r="F426" i="5"/>
  <c r="BJ425" i="5"/>
  <c r="BI425" i="5"/>
  <c r="BH425" i="5"/>
  <c r="F425" i="5"/>
  <c r="BJ424" i="5"/>
  <c r="BI424" i="5"/>
  <c r="BH424" i="5"/>
  <c r="F424" i="5"/>
  <c r="BJ423" i="5"/>
  <c r="BI423" i="5"/>
  <c r="BH423" i="5"/>
  <c r="F423" i="5"/>
  <c r="BJ422" i="5"/>
  <c r="BI422" i="5"/>
  <c r="BH422" i="5"/>
  <c r="F422" i="5"/>
  <c r="BJ421" i="5"/>
  <c r="BI421" i="5"/>
  <c r="BH421" i="5"/>
  <c r="F421" i="5"/>
  <c r="BJ420" i="5"/>
  <c r="BI420" i="5"/>
  <c r="BH420" i="5"/>
  <c r="F420" i="5"/>
  <c r="BJ419" i="5"/>
  <c r="BI419" i="5"/>
  <c r="BH419" i="5"/>
  <c r="F419" i="5"/>
  <c r="BJ418" i="5"/>
  <c r="BI418" i="5"/>
  <c r="BH418" i="5"/>
  <c r="F418" i="5"/>
  <c r="BJ417" i="5"/>
  <c r="BI417" i="5"/>
  <c r="BH417" i="5"/>
  <c r="F417" i="5"/>
  <c r="BJ416" i="5"/>
  <c r="BI416" i="5"/>
  <c r="BH416" i="5"/>
  <c r="F416" i="5"/>
  <c r="BJ415" i="5"/>
  <c r="BI415" i="5"/>
  <c r="BH415" i="5"/>
  <c r="F415" i="5"/>
  <c r="BJ414" i="5"/>
  <c r="BI414" i="5"/>
  <c r="BH414" i="5"/>
  <c r="F414" i="5"/>
  <c r="BJ413" i="5"/>
  <c r="BI413" i="5"/>
  <c r="BH413" i="5"/>
  <c r="F413" i="5"/>
  <c r="BJ412" i="5"/>
  <c r="BI412" i="5"/>
  <c r="BH412" i="5"/>
  <c r="F412" i="5"/>
  <c r="BJ411" i="5"/>
  <c r="BI411" i="5"/>
  <c r="BH411" i="5"/>
  <c r="F411" i="5"/>
  <c r="BJ410" i="5"/>
  <c r="BI410" i="5"/>
  <c r="BH410" i="5"/>
  <c r="F410" i="5"/>
  <c r="BJ409" i="5"/>
  <c r="BI409" i="5"/>
  <c r="BH409" i="5"/>
  <c r="F409" i="5"/>
  <c r="BJ408" i="5"/>
  <c r="BI408" i="5"/>
  <c r="BH408" i="5"/>
  <c r="F408" i="5"/>
  <c r="BJ407" i="5"/>
  <c r="BI407" i="5"/>
  <c r="BH407" i="5"/>
  <c r="F407" i="5"/>
  <c r="BJ406" i="5"/>
  <c r="BI406" i="5"/>
  <c r="BH406" i="5"/>
  <c r="F406" i="5"/>
  <c r="BJ405" i="5"/>
  <c r="BI405" i="5"/>
  <c r="BH405" i="5"/>
  <c r="F405" i="5"/>
  <c r="BJ404" i="5"/>
  <c r="BI404" i="5"/>
  <c r="BH404" i="5"/>
  <c r="F404" i="5"/>
  <c r="BJ403" i="5"/>
  <c r="BI403" i="5"/>
  <c r="BH403" i="5"/>
  <c r="F403" i="5"/>
  <c r="BJ402" i="5"/>
  <c r="BI402" i="5"/>
  <c r="BH402" i="5"/>
  <c r="F402" i="5"/>
  <c r="BJ401" i="5"/>
  <c r="BI401" i="5"/>
  <c r="BH401" i="5"/>
  <c r="F401" i="5"/>
  <c r="BJ400" i="5"/>
  <c r="BI400" i="5"/>
  <c r="BH400" i="5"/>
  <c r="F400" i="5"/>
  <c r="BJ399" i="5"/>
  <c r="BI399" i="5"/>
  <c r="BH399" i="5"/>
  <c r="F399" i="5"/>
  <c r="BJ398" i="5"/>
  <c r="BI398" i="5"/>
  <c r="BH398" i="5"/>
  <c r="F398" i="5"/>
  <c r="BJ397" i="5"/>
  <c r="BI397" i="5"/>
  <c r="BH397" i="5"/>
  <c r="F397" i="5"/>
  <c r="BJ396" i="5"/>
  <c r="BI396" i="5"/>
  <c r="BH396" i="5"/>
  <c r="F396" i="5"/>
  <c r="BJ395" i="5"/>
  <c r="BI395" i="5"/>
  <c r="BH395" i="5"/>
  <c r="F395" i="5"/>
  <c r="BJ394" i="5"/>
  <c r="BI394" i="5"/>
  <c r="BH394" i="5"/>
  <c r="F394" i="5"/>
  <c r="BJ393" i="5"/>
  <c r="BI393" i="5"/>
  <c r="BH393" i="5"/>
  <c r="F393" i="5"/>
  <c r="BJ392" i="5"/>
  <c r="BI392" i="5"/>
  <c r="BH392" i="5"/>
  <c r="F392" i="5"/>
  <c r="BJ391" i="5"/>
  <c r="BI391" i="5"/>
  <c r="BH391" i="5"/>
  <c r="F391" i="5"/>
  <c r="BJ390" i="5"/>
  <c r="BI390" i="5"/>
  <c r="BH390" i="5"/>
  <c r="F390" i="5"/>
  <c r="BJ389" i="5"/>
  <c r="BI389" i="5"/>
  <c r="BH389" i="5"/>
  <c r="F389" i="5"/>
  <c r="BJ388" i="5"/>
  <c r="BI388" i="5"/>
  <c r="BH388" i="5"/>
  <c r="F388" i="5"/>
  <c r="BJ387" i="5"/>
  <c r="BI387" i="5"/>
  <c r="BH387" i="5"/>
  <c r="F387" i="5"/>
  <c r="BJ386" i="5"/>
  <c r="BI386" i="5"/>
  <c r="BH386" i="5"/>
  <c r="F386" i="5"/>
  <c r="BJ385" i="5"/>
  <c r="BI385" i="5"/>
  <c r="BH385" i="5"/>
  <c r="F385" i="5"/>
  <c r="BJ384" i="5"/>
  <c r="BI384" i="5"/>
  <c r="BH384" i="5"/>
  <c r="F384" i="5"/>
  <c r="BJ383" i="5"/>
  <c r="BI383" i="5"/>
  <c r="BH383" i="5"/>
  <c r="F383" i="5"/>
  <c r="BJ382" i="5"/>
  <c r="BI382" i="5"/>
  <c r="BH382" i="5"/>
  <c r="F382" i="5"/>
  <c r="BJ381" i="5"/>
  <c r="BI381" i="5"/>
  <c r="BH381" i="5"/>
  <c r="F381" i="5"/>
  <c r="BJ380" i="5"/>
  <c r="BI380" i="5"/>
  <c r="BH380" i="5"/>
  <c r="F380" i="5"/>
  <c r="BJ379" i="5"/>
  <c r="BI379" i="5"/>
  <c r="BH379" i="5"/>
  <c r="F379" i="5"/>
  <c r="BJ378" i="5"/>
  <c r="BI378" i="5"/>
  <c r="BH378" i="5"/>
  <c r="F378" i="5"/>
  <c r="BJ377" i="5"/>
  <c r="BI377" i="5"/>
  <c r="BH377" i="5"/>
  <c r="F377" i="5"/>
  <c r="BJ376" i="5"/>
  <c r="BI376" i="5"/>
  <c r="BH376" i="5"/>
  <c r="F376" i="5"/>
  <c r="BJ375" i="5"/>
  <c r="BI375" i="5"/>
  <c r="BH375" i="5"/>
  <c r="F375" i="5"/>
  <c r="BJ374" i="5"/>
  <c r="BI374" i="5"/>
  <c r="BH374" i="5"/>
  <c r="F374" i="5"/>
  <c r="BJ373" i="5"/>
  <c r="BI373" i="5"/>
  <c r="BH373" i="5"/>
  <c r="F373" i="5"/>
  <c r="BJ372" i="5"/>
  <c r="BI372" i="5"/>
  <c r="BH372" i="5"/>
  <c r="F372" i="5"/>
  <c r="BJ371" i="5"/>
  <c r="BI371" i="5"/>
  <c r="BH371" i="5"/>
  <c r="F371" i="5"/>
  <c r="BJ370" i="5"/>
  <c r="BI370" i="5"/>
  <c r="BH370" i="5"/>
  <c r="F370" i="5"/>
  <c r="BJ369" i="5"/>
  <c r="BI369" i="5"/>
  <c r="BH369" i="5"/>
  <c r="F369" i="5"/>
  <c r="BJ368" i="5"/>
  <c r="BI368" i="5"/>
  <c r="BH368" i="5"/>
  <c r="F368" i="5"/>
  <c r="BJ367" i="5"/>
  <c r="BI367" i="5"/>
  <c r="BH367" i="5"/>
  <c r="F367" i="5"/>
  <c r="BJ366" i="5"/>
  <c r="BI366" i="5"/>
  <c r="BH366" i="5"/>
  <c r="F366" i="5"/>
  <c r="BJ365" i="5"/>
  <c r="BI365" i="5"/>
  <c r="BH365" i="5"/>
  <c r="F365" i="5"/>
  <c r="BJ364" i="5"/>
  <c r="BI364" i="5"/>
  <c r="BH364" i="5"/>
  <c r="F364" i="5"/>
  <c r="BJ363" i="5"/>
  <c r="BI363" i="5"/>
  <c r="BH363" i="5"/>
  <c r="F363" i="5"/>
  <c r="BJ362" i="5"/>
  <c r="BI362" i="5"/>
  <c r="BH362" i="5"/>
  <c r="F362" i="5"/>
  <c r="BJ361" i="5"/>
  <c r="BI361" i="5"/>
  <c r="BH361" i="5"/>
  <c r="F361" i="5"/>
  <c r="BJ360" i="5"/>
  <c r="BI360" i="5"/>
  <c r="BH360" i="5"/>
  <c r="F360" i="5"/>
  <c r="BJ359" i="5"/>
  <c r="BI359" i="5"/>
  <c r="BH359" i="5"/>
  <c r="F359" i="5"/>
  <c r="BJ358" i="5"/>
  <c r="BI358" i="5"/>
  <c r="BH358" i="5"/>
  <c r="F358" i="5"/>
  <c r="BJ357" i="5"/>
  <c r="BI357" i="5"/>
  <c r="BH357" i="5"/>
  <c r="F357" i="5"/>
  <c r="BJ356" i="5"/>
  <c r="BI356" i="5"/>
  <c r="BH356" i="5"/>
  <c r="F356" i="5"/>
  <c r="BJ355" i="5"/>
  <c r="BI355" i="5"/>
  <c r="BH355" i="5"/>
  <c r="F355" i="5"/>
  <c r="BJ354" i="5"/>
  <c r="BI354" i="5"/>
  <c r="BH354" i="5"/>
  <c r="F354" i="5"/>
  <c r="BJ353" i="5"/>
  <c r="BI353" i="5"/>
  <c r="BH353" i="5"/>
  <c r="F353" i="5"/>
  <c r="BJ352" i="5"/>
  <c r="BI352" i="5"/>
  <c r="BH352" i="5"/>
  <c r="F352" i="5"/>
  <c r="BJ351" i="5"/>
  <c r="BI351" i="5"/>
  <c r="BH351" i="5"/>
  <c r="F351" i="5"/>
  <c r="BJ350" i="5"/>
  <c r="BI350" i="5"/>
  <c r="BH350" i="5"/>
  <c r="F350" i="5"/>
  <c r="BJ349" i="5"/>
  <c r="BI349" i="5"/>
  <c r="BH349" i="5"/>
  <c r="F349" i="5"/>
  <c r="BJ348" i="5"/>
  <c r="BI348" i="5"/>
  <c r="BH348" i="5"/>
  <c r="F348" i="5"/>
  <c r="BJ347" i="5"/>
  <c r="BI347" i="5"/>
  <c r="BH347" i="5"/>
  <c r="F347" i="5"/>
  <c r="BJ346" i="5"/>
  <c r="BI346" i="5"/>
  <c r="BH346" i="5"/>
  <c r="F346" i="5"/>
  <c r="BJ345" i="5"/>
  <c r="BI345" i="5"/>
  <c r="BH345" i="5"/>
  <c r="F345" i="5"/>
  <c r="BJ344" i="5"/>
  <c r="BI344" i="5"/>
  <c r="BH344" i="5"/>
  <c r="F344" i="5"/>
  <c r="BJ343" i="5"/>
  <c r="BI343" i="5"/>
  <c r="BH343" i="5"/>
  <c r="F343" i="5"/>
  <c r="BJ342" i="5"/>
  <c r="BI342" i="5"/>
  <c r="BH342" i="5"/>
  <c r="F342" i="5"/>
  <c r="BJ341" i="5"/>
  <c r="BI341" i="5"/>
  <c r="BH341" i="5"/>
  <c r="F341" i="5"/>
  <c r="BJ340" i="5"/>
  <c r="BI340" i="5"/>
  <c r="BH340" i="5"/>
  <c r="F340" i="5"/>
  <c r="BJ339" i="5"/>
  <c r="BI339" i="5"/>
  <c r="BH339" i="5"/>
  <c r="F339" i="5"/>
  <c r="BJ338" i="5"/>
  <c r="BI338" i="5"/>
  <c r="BH338" i="5"/>
  <c r="F338" i="5"/>
  <c r="BJ337" i="5"/>
  <c r="BI337" i="5"/>
  <c r="BH337" i="5"/>
  <c r="F337" i="5"/>
  <c r="BJ336" i="5"/>
  <c r="BI336" i="5"/>
  <c r="BH336" i="5"/>
  <c r="F336" i="5"/>
  <c r="BJ335" i="5"/>
  <c r="BI335" i="5"/>
  <c r="BH335" i="5"/>
  <c r="F335" i="5"/>
  <c r="BJ334" i="5"/>
  <c r="BI334" i="5"/>
  <c r="BH334" i="5"/>
  <c r="F334" i="5"/>
  <c r="BJ333" i="5"/>
  <c r="BI333" i="5"/>
  <c r="BH333" i="5"/>
  <c r="F333" i="5"/>
  <c r="BJ332" i="5"/>
  <c r="BI332" i="5"/>
  <c r="BH332" i="5"/>
  <c r="F332" i="5"/>
  <c r="BJ331" i="5"/>
  <c r="BI331" i="5"/>
  <c r="BH331" i="5"/>
  <c r="F331" i="5"/>
  <c r="BJ330" i="5"/>
  <c r="BI330" i="5"/>
  <c r="BH330" i="5"/>
  <c r="F330" i="5"/>
  <c r="BJ329" i="5"/>
  <c r="BI329" i="5"/>
  <c r="BH329" i="5"/>
  <c r="F329" i="5"/>
  <c r="BJ328" i="5"/>
  <c r="BI328" i="5"/>
  <c r="BH328" i="5"/>
  <c r="F328" i="5"/>
  <c r="BJ327" i="5"/>
  <c r="BI327" i="5"/>
  <c r="BH327" i="5"/>
  <c r="F327" i="5"/>
  <c r="BJ326" i="5"/>
  <c r="BI326" i="5"/>
  <c r="BH326" i="5"/>
  <c r="F326" i="5"/>
  <c r="BJ325" i="5"/>
  <c r="BI325" i="5"/>
  <c r="BH325" i="5"/>
  <c r="F325" i="5"/>
  <c r="BJ324" i="5"/>
  <c r="BI324" i="5"/>
  <c r="BH324" i="5"/>
  <c r="F324" i="5"/>
  <c r="BJ323" i="5"/>
  <c r="BI323" i="5"/>
  <c r="BH323" i="5"/>
  <c r="F323" i="5"/>
  <c r="BJ322" i="5"/>
  <c r="BI322" i="5"/>
  <c r="BH322" i="5"/>
  <c r="F322" i="5"/>
  <c r="BJ321" i="5"/>
  <c r="BI321" i="5"/>
  <c r="BH321" i="5"/>
  <c r="F321" i="5"/>
  <c r="BJ320" i="5"/>
  <c r="BI320" i="5"/>
  <c r="BH320" i="5"/>
  <c r="F320" i="5"/>
  <c r="BJ319" i="5"/>
  <c r="BI319" i="5"/>
  <c r="BH319" i="5"/>
  <c r="F319" i="5"/>
  <c r="BJ318" i="5"/>
  <c r="BI318" i="5"/>
  <c r="BH318" i="5"/>
  <c r="F318" i="5"/>
  <c r="BJ317" i="5"/>
  <c r="BI317" i="5"/>
  <c r="BH317" i="5"/>
  <c r="F317" i="5"/>
  <c r="BJ316" i="5"/>
  <c r="BI316" i="5"/>
  <c r="BH316" i="5"/>
  <c r="F316" i="5"/>
  <c r="BJ315" i="5"/>
  <c r="BI315" i="5"/>
  <c r="BH315" i="5"/>
  <c r="F315" i="5"/>
  <c r="BJ314" i="5"/>
  <c r="BI314" i="5"/>
  <c r="BH314" i="5"/>
  <c r="F314" i="5"/>
  <c r="BJ313" i="5"/>
  <c r="BI313" i="5"/>
  <c r="BH313" i="5"/>
  <c r="F313" i="5"/>
  <c r="BJ312" i="5"/>
  <c r="BI312" i="5"/>
  <c r="BH312" i="5"/>
  <c r="F312" i="5"/>
  <c r="BJ311" i="5"/>
  <c r="BI311" i="5"/>
  <c r="BH311" i="5"/>
  <c r="F311" i="5"/>
  <c r="BJ310" i="5"/>
  <c r="BI310" i="5"/>
  <c r="BH310" i="5"/>
  <c r="F310" i="5"/>
  <c r="BJ309" i="5"/>
  <c r="BI309" i="5"/>
  <c r="BH309" i="5"/>
  <c r="F309" i="5"/>
  <c r="BJ308" i="5"/>
  <c r="BI308" i="5"/>
  <c r="BH308" i="5"/>
  <c r="F308" i="5"/>
  <c r="BJ307" i="5"/>
  <c r="BI307" i="5"/>
  <c r="BH307" i="5"/>
  <c r="F307" i="5"/>
  <c r="BJ306" i="5"/>
  <c r="BI306" i="5"/>
  <c r="BH306" i="5"/>
  <c r="F306" i="5"/>
  <c r="BJ305" i="5"/>
  <c r="BI305" i="5"/>
  <c r="BH305" i="5"/>
  <c r="F305" i="5"/>
  <c r="BJ304" i="5"/>
  <c r="BI304" i="5"/>
  <c r="BH304" i="5"/>
  <c r="F304" i="5"/>
  <c r="BJ303" i="5"/>
  <c r="BI303" i="5"/>
  <c r="BH303" i="5"/>
  <c r="F303" i="5"/>
  <c r="BJ302" i="5"/>
  <c r="BI302" i="5"/>
  <c r="BH302" i="5"/>
  <c r="F302" i="5"/>
  <c r="BJ301" i="5"/>
  <c r="BI301" i="5"/>
  <c r="BH301" i="5"/>
  <c r="F301" i="5"/>
  <c r="BJ300" i="5"/>
  <c r="BI300" i="5"/>
  <c r="BH300" i="5"/>
  <c r="F300" i="5"/>
  <c r="BJ299" i="5"/>
  <c r="BI299" i="5"/>
  <c r="BH299" i="5"/>
  <c r="F299" i="5"/>
  <c r="BJ298" i="5"/>
  <c r="BI298" i="5"/>
  <c r="BH298" i="5"/>
  <c r="F298" i="5"/>
  <c r="BJ297" i="5"/>
  <c r="BI297" i="5"/>
  <c r="BH297" i="5"/>
  <c r="F297" i="5"/>
  <c r="BJ296" i="5"/>
  <c r="BI296" i="5"/>
  <c r="BH296" i="5"/>
  <c r="F296" i="5"/>
  <c r="BJ295" i="5"/>
  <c r="BI295" i="5"/>
  <c r="BH295" i="5"/>
  <c r="F295" i="5"/>
  <c r="BJ294" i="5"/>
  <c r="BI294" i="5"/>
  <c r="BH294" i="5"/>
  <c r="F294" i="5"/>
  <c r="BJ293" i="5"/>
  <c r="BI293" i="5"/>
  <c r="BH293" i="5"/>
  <c r="F293" i="5"/>
  <c r="BJ292" i="5"/>
  <c r="BI292" i="5"/>
  <c r="BH292" i="5"/>
  <c r="F292" i="5"/>
  <c r="BJ291" i="5"/>
  <c r="BI291" i="5"/>
  <c r="BH291" i="5"/>
  <c r="F291" i="5"/>
  <c r="BJ290" i="5"/>
  <c r="BI290" i="5"/>
  <c r="BH290" i="5"/>
  <c r="F290" i="5"/>
  <c r="BJ289" i="5"/>
  <c r="BI289" i="5"/>
  <c r="BH289" i="5"/>
  <c r="F289" i="5"/>
  <c r="BJ288" i="5"/>
  <c r="BI288" i="5"/>
  <c r="BH288" i="5"/>
  <c r="F288" i="5"/>
  <c r="BJ287" i="5"/>
  <c r="BI287" i="5"/>
  <c r="BH287" i="5"/>
  <c r="F287" i="5"/>
  <c r="BJ286" i="5"/>
  <c r="BI286" i="5"/>
  <c r="BH286" i="5"/>
  <c r="F286" i="5"/>
  <c r="BJ285" i="5"/>
  <c r="BI285" i="5"/>
  <c r="BH285" i="5"/>
  <c r="F285" i="5"/>
  <c r="BJ284" i="5"/>
  <c r="BI284" i="5"/>
  <c r="BH284" i="5"/>
  <c r="F284" i="5"/>
  <c r="BJ283" i="5"/>
  <c r="BI283" i="5"/>
  <c r="BH283" i="5"/>
  <c r="F283" i="5"/>
  <c r="BJ282" i="5"/>
  <c r="BI282" i="5"/>
  <c r="BH282" i="5"/>
  <c r="F282" i="5"/>
  <c r="BJ281" i="5"/>
  <c r="BI281" i="5"/>
  <c r="BH281" i="5"/>
  <c r="F281" i="5"/>
  <c r="BJ280" i="5"/>
  <c r="BI280" i="5"/>
  <c r="BH280" i="5"/>
  <c r="F280" i="5"/>
  <c r="BJ279" i="5"/>
  <c r="BI279" i="5"/>
  <c r="BH279" i="5"/>
  <c r="F279" i="5"/>
  <c r="BJ278" i="5"/>
  <c r="BI278" i="5"/>
  <c r="BH278" i="5"/>
  <c r="F278" i="5"/>
  <c r="BJ277" i="5"/>
  <c r="BI277" i="5"/>
  <c r="BH277" i="5"/>
  <c r="F277" i="5"/>
  <c r="BJ276" i="5"/>
  <c r="BI276" i="5"/>
  <c r="BH276" i="5"/>
  <c r="F276" i="5"/>
  <c r="BJ275" i="5"/>
  <c r="BI275" i="5"/>
  <c r="BH275" i="5"/>
  <c r="F275" i="5"/>
  <c r="BJ274" i="5"/>
  <c r="BI274" i="5"/>
  <c r="BH274" i="5"/>
  <c r="F274" i="5"/>
  <c r="BJ273" i="5"/>
  <c r="BI273" i="5"/>
  <c r="BH273" i="5"/>
  <c r="F273" i="5"/>
  <c r="BJ272" i="5"/>
  <c r="BI272" i="5"/>
  <c r="BH272" i="5"/>
  <c r="F272" i="5"/>
  <c r="BJ271" i="5"/>
  <c r="BI271" i="5"/>
  <c r="BH271" i="5"/>
  <c r="F271" i="5"/>
  <c r="BJ270" i="5"/>
  <c r="BI270" i="5"/>
  <c r="BH270" i="5"/>
  <c r="F270" i="5"/>
  <c r="BJ269" i="5"/>
  <c r="BI269" i="5"/>
  <c r="BH269" i="5"/>
  <c r="F269" i="5"/>
  <c r="BJ268" i="5"/>
  <c r="BI268" i="5"/>
  <c r="BH268" i="5"/>
  <c r="F268" i="5"/>
  <c r="BJ267" i="5"/>
  <c r="BI267" i="5"/>
  <c r="BH267" i="5"/>
  <c r="F267" i="5"/>
  <c r="BJ266" i="5"/>
  <c r="BI266" i="5"/>
  <c r="BH266" i="5"/>
  <c r="F266" i="5"/>
  <c r="BJ265" i="5"/>
  <c r="BI265" i="5"/>
  <c r="BH265" i="5"/>
  <c r="F265" i="5"/>
  <c r="BJ264" i="5"/>
  <c r="BI264" i="5"/>
  <c r="BH264" i="5"/>
  <c r="F264" i="5"/>
  <c r="BJ263" i="5"/>
  <c r="BI263" i="5"/>
  <c r="BH263" i="5"/>
  <c r="F263" i="5"/>
  <c r="BJ262" i="5"/>
  <c r="BI262" i="5"/>
  <c r="BH262" i="5"/>
  <c r="F262" i="5"/>
  <c r="BJ261" i="5"/>
  <c r="BI261" i="5"/>
  <c r="BH261" i="5"/>
  <c r="F261" i="5"/>
  <c r="BJ260" i="5"/>
  <c r="BI260" i="5"/>
  <c r="BH260" i="5"/>
  <c r="F260" i="5"/>
  <c r="BJ259" i="5"/>
  <c r="BI259" i="5"/>
  <c r="BH259" i="5"/>
  <c r="F259" i="5"/>
  <c r="BJ258" i="5"/>
  <c r="BI258" i="5"/>
  <c r="BH258" i="5"/>
  <c r="F258" i="5"/>
  <c r="BJ257" i="5"/>
  <c r="BI257" i="5"/>
  <c r="BH257" i="5"/>
  <c r="F257" i="5"/>
  <c r="BJ256" i="5"/>
  <c r="BI256" i="5"/>
  <c r="BH256" i="5"/>
  <c r="F256" i="5"/>
  <c r="BJ255" i="5"/>
  <c r="BI255" i="5"/>
  <c r="BH255" i="5"/>
  <c r="F255" i="5"/>
  <c r="BJ254" i="5"/>
  <c r="BI254" i="5"/>
  <c r="BH254" i="5"/>
  <c r="F254" i="5"/>
  <c r="BJ253" i="5"/>
  <c r="BI253" i="5"/>
  <c r="BH253" i="5"/>
  <c r="F253" i="5"/>
  <c r="BJ252" i="5"/>
  <c r="BI252" i="5"/>
  <c r="BH252" i="5"/>
  <c r="F252" i="5"/>
  <c r="BJ251" i="5"/>
  <c r="BI251" i="5"/>
  <c r="BH251" i="5"/>
  <c r="F251" i="5"/>
  <c r="BJ250" i="5"/>
  <c r="BI250" i="5"/>
  <c r="BH250" i="5"/>
  <c r="F250" i="5"/>
  <c r="BJ249" i="5"/>
  <c r="BI249" i="5"/>
  <c r="BH249" i="5"/>
  <c r="F249" i="5"/>
  <c r="BJ248" i="5"/>
  <c r="BI248" i="5"/>
  <c r="BH248" i="5"/>
  <c r="F248" i="5"/>
  <c r="BJ247" i="5"/>
  <c r="BI247" i="5"/>
  <c r="BH247" i="5"/>
  <c r="F247" i="5"/>
  <c r="BJ246" i="5"/>
  <c r="BI246" i="5"/>
  <c r="BH246" i="5"/>
  <c r="F246" i="5"/>
  <c r="BJ245" i="5"/>
  <c r="BI245" i="5"/>
  <c r="BH245" i="5"/>
  <c r="F245" i="5"/>
  <c r="BJ244" i="5"/>
  <c r="BI244" i="5"/>
  <c r="BH244" i="5"/>
  <c r="F244" i="5"/>
  <c r="BJ243" i="5"/>
  <c r="BI243" i="5"/>
  <c r="BH243" i="5"/>
  <c r="F243" i="5"/>
  <c r="BJ242" i="5"/>
  <c r="BI242" i="5"/>
  <c r="BH242" i="5"/>
  <c r="F242" i="5"/>
  <c r="BJ241" i="5"/>
  <c r="BI241" i="5"/>
  <c r="BH241" i="5"/>
  <c r="F241" i="5"/>
  <c r="BJ240" i="5"/>
  <c r="BI240" i="5"/>
  <c r="BH240" i="5"/>
  <c r="F240" i="5"/>
  <c r="BJ239" i="5"/>
  <c r="BI239" i="5"/>
  <c r="BH239" i="5"/>
  <c r="F239" i="5"/>
  <c r="BJ238" i="5"/>
  <c r="BI238" i="5"/>
  <c r="BH238" i="5"/>
  <c r="F238" i="5"/>
  <c r="BJ237" i="5"/>
  <c r="BI237" i="5"/>
  <c r="BH237" i="5"/>
  <c r="F237" i="5"/>
  <c r="BJ236" i="5"/>
  <c r="BI236" i="5"/>
  <c r="BH236" i="5"/>
  <c r="F236" i="5"/>
  <c r="BJ235" i="5"/>
  <c r="BI235" i="5"/>
  <c r="BH235" i="5"/>
  <c r="F235" i="5"/>
  <c r="BJ234" i="5"/>
  <c r="BI234" i="5"/>
  <c r="BH234" i="5"/>
  <c r="F234" i="5"/>
  <c r="BJ233" i="5"/>
  <c r="BI233" i="5"/>
  <c r="BH233" i="5"/>
  <c r="F233" i="5"/>
  <c r="BJ232" i="5"/>
  <c r="BI232" i="5"/>
  <c r="BH232" i="5"/>
  <c r="F232" i="5"/>
  <c r="BJ231" i="5"/>
  <c r="BI231" i="5"/>
  <c r="BH231" i="5"/>
  <c r="F231" i="5"/>
  <c r="BJ230" i="5"/>
  <c r="BI230" i="5"/>
  <c r="BH230" i="5"/>
  <c r="F230" i="5"/>
  <c r="BJ229" i="5"/>
  <c r="BI229" i="5"/>
  <c r="BH229" i="5"/>
  <c r="F229" i="5"/>
  <c r="BJ228" i="5"/>
  <c r="BI228" i="5"/>
  <c r="BH228" i="5"/>
  <c r="F228" i="5"/>
  <c r="BJ227" i="5"/>
  <c r="BI227" i="5"/>
  <c r="BH227" i="5"/>
  <c r="F227" i="5"/>
  <c r="BJ226" i="5"/>
  <c r="BI226" i="5"/>
  <c r="BH226" i="5"/>
  <c r="F226" i="5"/>
  <c r="BJ225" i="5"/>
  <c r="BI225" i="5"/>
  <c r="BH225" i="5"/>
  <c r="F225" i="5"/>
  <c r="BJ224" i="5"/>
  <c r="BI224" i="5"/>
  <c r="BH224" i="5"/>
  <c r="F224" i="5"/>
  <c r="BJ223" i="5"/>
  <c r="BI223" i="5"/>
  <c r="BH223" i="5"/>
  <c r="F223" i="5"/>
  <c r="BJ222" i="5"/>
  <c r="BI222" i="5"/>
  <c r="BH222" i="5"/>
  <c r="F222" i="5"/>
  <c r="BJ221" i="5"/>
  <c r="BI221" i="5"/>
  <c r="BH221" i="5"/>
  <c r="F221" i="5"/>
  <c r="BJ220" i="5"/>
  <c r="BI220" i="5"/>
  <c r="BH220" i="5"/>
  <c r="F220" i="5"/>
  <c r="BJ219" i="5"/>
  <c r="BI219" i="5"/>
  <c r="BH219" i="5"/>
  <c r="F219" i="5"/>
  <c r="BJ218" i="5"/>
  <c r="BI218" i="5"/>
  <c r="BH218" i="5"/>
  <c r="F218" i="5"/>
  <c r="BJ217" i="5"/>
  <c r="BI217" i="5"/>
  <c r="BH217" i="5"/>
  <c r="F217" i="5"/>
  <c r="BJ216" i="5"/>
  <c r="BI216" i="5"/>
  <c r="BH216" i="5"/>
  <c r="F216" i="5"/>
  <c r="BJ215" i="5"/>
  <c r="BI215" i="5"/>
  <c r="BH215" i="5"/>
  <c r="F215" i="5"/>
  <c r="BJ214" i="5"/>
  <c r="BI214" i="5"/>
  <c r="BH214" i="5"/>
  <c r="F214" i="5"/>
  <c r="BJ213" i="5"/>
  <c r="BI213" i="5"/>
  <c r="BH213" i="5"/>
  <c r="F213" i="5"/>
  <c r="BJ212" i="5"/>
  <c r="BI212" i="5"/>
  <c r="BH212" i="5"/>
  <c r="F212" i="5"/>
  <c r="BJ211" i="5"/>
  <c r="BI211" i="5"/>
  <c r="BH211" i="5"/>
  <c r="F211" i="5"/>
  <c r="BJ210" i="5"/>
  <c r="BI210" i="5"/>
  <c r="BH210" i="5"/>
  <c r="F210" i="5"/>
  <c r="BJ209" i="5"/>
  <c r="BI209" i="5"/>
  <c r="BH209" i="5"/>
  <c r="F209" i="5"/>
  <c r="BJ208" i="5"/>
  <c r="BI208" i="5"/>
  <c r="BH208" i="5"/>
  <c r="F208" i="5"/>
  <c r="BJ207" i="5"/>
  <c r="BI207" i="5"/>
  <c r="BH207" i="5"/>
  <c r="F207" i="5"/>
  <c r="BJ206" i="5"/>
  <c r="BI206" i="5"/>
  <c r="BH206" i="5"/>
  <c r="F206" i="5"/>
  <c r="BJ205" i="5"/>
  <c r="BI205" i="5"/>
  <c r="BH205" i="5"/>
  <c r="F205" i="5"/>
  <c r="BJ204" i="5"/>
  <c r="BI204" i="5"/>
  <c r="BH204" i="5"/>
  <c r="F204" i="5"/>
  <c r="BJ203" i="5"/>
  <c r="BI203" i="5"/>
  <c r="BH203" i="5"/>
  <c r="F203" i="5"/>
  <c r="BJ202" i="5"/>
  <c r="BI202" i="5"/>
  <c r="BH202" i="5"/>
  <c r="F202" i="5"/>
  <c r="BJ201" i="5"/>
  <c r="BI201" i="5"/>
  <c r="BH201" i="5"/>
  <c r="F201" i="5"/>
  <c r="BJ200" i="5"/>
  <c r="BI200" i="5"/>
  <c r="BH200" i="5"/>
  <c r="F200" i="5"/>
  <c r="BJ199" i="5"/>
  <c r="BI199" i="5"/>
  <c r="BH199" i="5"/>
  <c r="F199" i="5"/>
  <c r="BJ198" i="5"/>
  <c r="BI198" i="5"/>
  <c r="BH198" i="5"/>
  <c r="F198" i="5"/>
  <c r="BJ197" i="5"/>
  <c r="BI197" i="5"/>
  <c r="BH197" i="5"/>
  <c r="F197" i="5"/>
  <c r="BJ196" i="5"/>
  <c r="BI196" i="5"/>
  <c r="BH196" i="5"/>
  <c r="F196" i="5"/>
  <c r="BJ195" i="5"/>
  <c r="BI195" i="5"/>
  <c r="BH195" i="5"/>
  <c r="F195" i="5"/>
  <c r="BJ194" i="5"/>
  <c r="BI194" i="5"/>
  <c r="BH194" i="5"/>
  <c r="F194" i="5"/>
  <c r="BJ193" i="5"/>
  <c r="BI193" i="5"/>
  <c r="BH193" i="5"/>
  <c r="F193" i="5"/>
  <c r="BJ192" i="5"/>
  <c r="BI192" i="5"/>
  <c r="BH192" i="5"/>
  <c r="F192" i="5"/>
  <c r="BJ191" i="5"/>
  <c r="BI191" i="5"/>
  <c r="BH191" i="5"/>
  <c r="F191" i="5"/>
  <c r="BJ190" i="5"/>
  <c r="BI190" i="5"/>
  <c r="BH190" i="5"/>
  <c r="F190" i="5"/>
  <c r="BJ189" i="5"/>
  <c r="BI189" i="5"/>
  <c r="BH189" i="5"/>
  <c r="F189" i="5"/>
  <c r="BJ188" i="5"/>
  <c r="BI188" i="5"/>
  <c r="BH188" i="5"/>
  <c r="F188" i="5"/>
  <c r="BJ187" i="5"/>
  <c r="BI187" i="5"/>
  <c r="BH187" i="5"/>
  <c r="F187" i="5"/>
  <c r="BJ186" i="5"/>
  <c r="BI186" i="5"/>
  <c r="BH186" i="5"/>
  <c r="F186" i="5"/>
  <c r="BJ185" i="5"/>
  <c r="BI185" i="5"/>
  <c r="BH185" i="5"/>
  <c r="F185" i="5"/>
  <c r="BJ184" i="5"/>
  <c r="BI184" i="5"/>
  <c r="BH184" i="5"/>
  <c r="F184" i="5"/>
  <c r="BJ183" i="5"/>
  <c r="BI183" i="5"/>
  <c r="BH183" i="5"/>
  <c r="F183" i="5"/>
  <c r="BJ182" i="5"/>
  <c r="BI182" i="5"/>
  <c r="BH182" i="5"/>
  <c r="F182" i="5"/>
  <c r="BJ181" i="5"/>
  <c r="BI181" i="5"/>
  <c r="BH181" i="5"/>
  <c r="F181" i="5"/>
  <c r="BJ180" i="5"/>
  <c r="BI180" i="5"/>
  <c r="BH180" i="5"/>
  <c r="F180" i="5"/>
  <c r="BJ179" i="5"/>
  <c r="BI179" i="5"/>
  <c r="BH179" i="5"/>
  <c r="F179" i="5"/>
  <c r="BJ178" i="5"/>
  <c r="BI178" i="5"/>
  <c r="BH178" i="5"/>
  <c r="F178" i="5"/>
  <c r="BJ177" i="5"/>
  <c r="BI177" i="5"/>
  <c r="BH177" i="5"/>
  <c r="F177" i="5"/>
  <c r="BJ176" i="5"/>
  <c r="BI176" i="5"/>
  <c r="BH176" i="5"/>
  <c r="F176" i="5"/>
  <c r="BJ175" i="5"/>
  <c r="BI175" i="5"/>
  <c r="BH175" i="5"/>
  <c r="F175" i="5"/>
  <c r="BJ174" i="5"/>
  <c r="BI174" i="5"/>
  <c r="BH174" i="5"/>
  <c r="F174" i="5"/>
  <c r="BJ173" i="5"/>
  <c r="BI173" i="5"/>
  <c r="BH173" i="5"/>
  <c r="F173" i="5"/>
  <c r="BJ172" i="5"/>
  <c r="BI172" i="5"/>
  <c r="BH172" i="5"/>
  <c r="F172" i="5"/>
  <c r="BJ171" i="5"/>
  <c r="BI171" i="5"/>
  <c r="BH171" i="5"/>
  <c r="F171" i="5"/>
  <c r="BJ170" i="5"/>
  <c r="BI170" i="5"/>
  <c r="BH170" i="5"/>
  <c r="F170" i="5"/>
  <c r="BJ169" i="5"/>
  <c r="BI169" i="5"/>
  <c r="BH169" i="5"/>
  <c r="F169" i="5"/>
  <c r="BJ168" i="5"/>
  <c r="BI168" i="5"/>
  <c r="BH168" i="5"/>
  <c r="F168" i="5"/>
  <c r="BJ167" i="5"/>
  <c r="BI167" i="5"/>
  <c r="BH167" i="5"/>
  <c r="F167" i="5"/>
  <c r="BJ166" i="5"/>
  <c r="BI166" i="5"/>
  <c r="BH166" i="5"/>
  <c r="F166" i="5"/>
  <c r="BJ165" i="5"/>
  <c r="BI165" i="5"/>
  <c r="BH165" i="5"/>
  <c r="F165" i="5"/>
  <c r="BJ164" i="5"/>
  <c r="BI164" i="5"/>
  <c r="BH164" i="5"/>
  <c r="F164" i="5"/>
  <c r="BJ163" i="5"/>
  <c r="BI163" i="5"/>
  <c r="BH163" i="5"/>
  <c r="F163" i="5"/>
  <c r="BJ162" i="5"/>
  <c r="BI162" i="5"/>
  <c r="BH162" i="5"/>
  <c r="F162" i="5"/>
  <c r="BJ161" i="5"/>
  <c r="BI161" i="5"/>
  <c r="BH161" i="5"/>
  <c r="F161" i="5"/>
  <c r="BJ160" i="5"/>
  <c r="BI160" i="5"/>
  <c r="BH160" i="5"/>
  <c r="F160" i="5"/>
  <c r="BJ159" i="5"/>
  <c r="BI159" i="5"/>
  <c r="BH159" i="5"/>
  <c r="F159" i="5"/>
  <c r="BJ158" i="5"/>
  <c r="BI158" i="5"/>
  <c r="BH158" i="5"/>
  <c r="F158" i="5"/>
  <c r="BJ157" i="5"/>
  <c r="BI157" i="5"/>
  <c r="BH157" i="5"/>
  <c r="F157" i="5"/>
  <c r="BJ156" i="5"/>
  <c r="BI156" i="5"/>
  <c r="BH156" i="5"/>
  <c r="F156" i="5"/>
  <c r="BJ155" i="5"/>
  <c r="BI155" i="5"/>
  <c r="BH155" i="5"/>
  <c r="F155" i="5"/>
  <c r="BJ154" i="5"/>
  <c r="BI154" i="5"/>
  <c r="BH154" i="5"/>
  <c r="F154" i="5"/>
  <c r="BJ153" i="5"/>
  <c r="BI153" i="5"/>
  <c r="BH153" i="5"/>
  <c r="F153" i="5"/>
  <c r="BJ152" i="5"/>
  <c r="BI152" i="5"/>
  <c r="BH152" i="5"/>
  <c r="F152" i="5"/>
  <c r="BJ151" i="5"/>
  <c r="BI151" i="5"/>
  <c r="BH151" i="5"/>
  <c r="F151" i="5"/>
  <c r="BJ150" i="5"/>
  <c r="BI150" i="5"/>
  <c r="BH150" i="5"/>
  <c r="F150" i="5"/>
  <c r="BJ149" i="5"/>
  <c r="BI149" i="5"/>
  <c r="BH149" i="5"/>
  <c r="F149" i="5"/>
  <c r="BJ148" i="5"/>
  <c r="BI148" i="5"/>
  <c r="BH148" i="5"/>
  <c r="F148" i="5"/>
  <c r="BJ147" i="5"/>
  <c r="BI147" i="5"/>
  <c r="BH147" i="5"/>
  <c r="F147" i="5"/>
  <c r="BJ146" i="5"/>
  <c r="BI146" i="5"/>
  <c r="BH146" i="5"/>
  <c r="F146" i="5"/>
  <c r="BJ145" i="5"/>
  <c r="BI145" i="5"/>
  <c r="BH145" i="5"/>
  <c r="F145" i="5"/>
  <c r="BJ144" i="5"/>
  <c r="BI144" i="5"/>
  <c r="BH144" i="5"/>
  <c r="F144" i="5"/>
  <c r="BJ143" i="5"/>
  <c r="BI143" i="5"/>
  <c r="BH143" i="5"/>
  <c r="F143" i="5"/>
  <c r="BJ142" i="5"/>
  <c r="BI142" i="5"/>
  <c r="BH142" i="5"/>
  <c r="F142" i="5"/>
  <c r="BJ141" i="5"/>
  <c r="BI141" i="5"/>
  <c r="BH141" i="5"/>
  <c r="F141" i="5"/>
  <c r="BJ140" i="5"/>
  <c r="BI140" i="5"/>
  <c r="BH140" i="5"/>
  <c r="F140" i="5"/>
  <c r="BJ139" i="5"/>
  <c r="BI139" i="5"/>
  <c r="BH139" i="5"/>
  <c r="F139" i="5"/>
  <c r="BJ138" i="5"/>
  <c r="BI138" i="5"/>
  <c r="BH138" i="5"/>
  <c r="F138" i="5"/>
  <c r="BJ137" i="5"/>
  <c r="BI137" i="5"/>
  <c r="BH137" i="5"/>
  <c r="F137" i="5"/>
  <c r="BJ136" i="5"/>
  <c r="BI136" i="5"/>
  <c r="BH136" i="5"/>
  <c r="F136" i="5"/>
  <c r="BJ135" i="5"/>
  <c r="BI135" i="5"/>
  <c r="BH135" i="5"/>
  <c r="F135" i="5"/>
  <c r="BJ134" i="5"/>
  <c r="BI134" i="5"/>
  <c r="BH134" i="5"/>
  <c r="F134" i="5"/>
  <c r="BJ133" i="5"/>
  <c r="BI133" i="5"/>
  <c r="BH133" i="5"/>
  <c r="F133" i="5"/>
  <c r="BJ132" i="5"/>
  <c r="BI132" i="5"/>
  <c r="BH132" i="5"/>
  <c r="F132" i="5"/>
  <c r="BJ131" i="5"/>
  <c r="BI131" i="5"/>
  <c r="BH131" i="5"/>
  <c r="F131" i="5"/>
  <c r="BJ130" i="5"/>
  <c r="BI130" i="5"/>
  <c r="BH130" i="5"/>
  <c r="F130" i="5"/>
  <c r="BJ129" i="5"/>
  <c r="BI129" i="5"/>
  <c r="BH129" i="5"/>
  <c r="F129" i="5"/>
  <c r="BJ128" i="5"/>
  <c r="BI128" i="5"/>
  <c r="BH128" i="5"/>
  <c r="F128" i="5"/>
  <c r="BJ127" i="5"/>
  <c r="BI127" i="5"/>
  <c r="BH127" i="5"/>
  <c r="F127" i="5"/>
  <c r="BJ126" i="5"/>
  <c r="BI126" i="5"/>
  <c r="BH126" i="5"/>
  <c r="F126" i="5"/>
  <c r="BJ125" i="5"/>
  <c r="BI125" i="5"/>
  <c r="BH125" i="5"/>
  <c r="F125" i="5"/>
  <c r="BJ124" i="5"/>
  <c r="BI124" i="5"/>
  <c r="BH124" i="5"/>
  <c r="F124" i="5"/>
  <c r="BJ123" i="5"/>
  <c r="BI123" i="5"/>
  <c r="BH123" i="5"/>
  <c r="F123" i="5"/>
  <c r="BJ122" i="5"/>
  <c r="BI122" i="5"/>
  <c r="BH122" i="5"/>
  <c r="F122" i="5"/>
  <c r="BJ121" i="5"/>
  <c r="BI121" i="5"/>
  <c r="BH121" i="5"/>
  <c r="F121" i="5"/>
  <c r="BJ120" i="5"/>
  <c r="BI120" i="5"/>
  <c r="BH120" i="5"/>
  <c r="F120" i="5"/>
  <c r="BJ119" i="5"/>
  <c r="BI119" i="5"/>
  <c r="BH119" i="5"/>
  <c r="F119" i="5"/>
  <c r="BJ118" i="5"/>
  <c r="BI118" i="5"/>
  <c r="BH118" i="5"/>
  <c r="F118" i="5"/>
  <c r="BJ117" i="5"/>
  <c r="BI117" i="5"/>
  <c r="BH117" i="5"/>
  <c r="F117" i="5"/>
  <c r="BJ116" i="5"/>
  <c r="BI116" i="5"/>
  <c r="BH116" i="5"/>
  <c r="F116" i="5"/>
  <c r="BJ115" i="5"/>
  <c r="BI115" i="5"/>
  <c r="BH115" i="5"/>
  <c r="F115" i="5"/>
  <c r="BJ114" i="5"/>
  <c r="BI114" i="5"/>
  <c r="BH114" i="5"/>
  <c r="F114" i="5"/>
  <c r="BJ113" i="5"/>
  <c r="BI113" i="5"/>
  <c r="BH113" i="5"/>
  <c r="F113" i="5"/>
  <c r="BJ112" i="5"/>
  <c r="BI112" i="5"/>
  <c r="BH112" i="5"/>
  <c r="F112" i="5"/>
  <c r="BJ111" i="5"/>
  <c r="BI111" i="5"/>
  <c r="BH111" i="5"/>
  <c r="F111" i="5"/>
  <c r="BJ110" i="5"/>
  <c r="BI110" i="5"/>
  <c r="BH110" i="5"/>
  <c r="F110" i="5"/>
  <c r="BJ109" i="5"/>
  <c r="BI109" i="5"/>
  <c r="BH109" i="5"/>
  <c r="F109" i="5"/>
  <c r="BJ108" i="5"/>
  <c r="BI108" i="5"/>
  <c r="BH108" i="5"/>
  <c r="F108" i="5"/>
  <c r="BJ107" i="5"/>
  <c r="BI107" i="5"/>
  <c r="BH107" i="5"/>
  <c r="F107" i="5"/>
  <c r="BJ106" i="5"/>
  <c r="BI106" i="5"/>
  <c r="BH106" i="5"/>
  <c r="F106" i="5"/>
  <c r="BJ105" i="5"/>
  <c r="BI105" i="5"/>
  <c r="BH105" i="5"/>
  <c r="F105" i="5"/>
  <c r="BJ104" i="5"/>
  <c r="BI104" i="5"/>
  <c r="BH104" i="5"/>
  <c r="F104" i="5"/>
  <c r="BJ103" i="5"/>
  <c r="BI103" i="5"/>
  <c r="BH103" i="5"/>
  <c r="F103" i="5"/>
  <c r="BJ102" i="5"/>
  <c r="BI102" i="5"/>
  <c r="BH102" i="5"/>
  <c r="F102" i="5"/>
  <c r="BJ101" i="5"/>
  <c r="BI101" i="5"/>
  <c r="BH101" i="5"/>
  <c r="F101" i="5"/>
  <c r="BJ100" i="5"/>
  <c r="BI100" i="5"/>
  <c r="BH100" i="5"/>
  <c r="F100" i="5"/>
  <c r="BJ99" i="5"/>
  <c r="BI99" i="5"/>
  <c r="BH99" i="5"/>
  <c r="F99" i="5"/>
  <c r="BJ98" i="5"/>
  <c r="BI98" i="5"/>
  <c r="BH98" i="5"/>
  <c r="F98" i="5"/>
  <c r="BJ97" i="5"/>
  <c r="BI97" i="5"/>
  <c r="BH97" i="5"/>
  <c r="F97" i="5"/>
  <c r="BJ96" i="5"/>
  <c r="BI96" i="5"/>
  <c r="BH96" i="5"/>
  <c r="F96" i="5"/>
  <c r="BJ95" i="5"/>
  <c r="BI95" i="5"/>
  <c r="BH95" i="5"/>
  <c r="F95" i="5"/>
  <c r="BJ94" i="5"/>
  <c r="BI94" i="5"/>
  <c r="BH94" i="5"/>
  <c r="F94" i="5"/>
  <c r="BJ93" i="5"/>
  <c r="BI93" i="5"/>
  <c r="BH93" i="5"/>
  <c r="F93" i="5"/>
  <c r="BJ92" i="5"/>
  <c r="BI92" i="5"/>
  <c r="BH92" i="5"/>
  <c r="F92" i="5"/>
  <c r="BJ91" i="5"/>
  <c r="BI91" i="5"/>
  <c r="BH91" i="5"/>
  <c r="F91" i="5"/>
  <c r="BJ90" i="5"/>
  <c r="BI90" i="5"/>
  <c r="BH90" i="5"/>
  <c r="F90" i="5"/>
  <c r="BJ89" i="5"/>
  <c r="BI89" i="5"/>
  <c r="BH89" i="5"/>
  <c r="F89" i="5"/>
  <c r="BJ88" i="5"/>
  <c r="BI88" i="5"/>
  <c r="BH88" i="5"/>
  <c r="F88" i="5"/>
  <c r="BJ87" i="5"/>
  <c r="BI87" i="5"/>
  <c r="BH87" i="5"/>
  <c r="F87" i="5"/>
  <c r="BJ86" i="5"/>
  <c r="BI86" i="5"/>
  <c r="BH86" i="5"/>
  <c r="F86" i="5"/>
  <c r="BJ85" i="5"/>
  <c r="BI85" i="5"/>
  <c r="BH85" i="5"/>
  <c r="F85" i="5"/>
  <c r="BJ84" i="5"/>
  <c r="BI84" i="5"/>
  <c r="BH84" i="5"/>
  <c r="F84" i="5"/>
  <c r="BJ83" i="5"/>
  <c r="BI83" i="5"/>
  <c r="BH83" i="5"/>
  <c r="F83" i="5"/>
  <c r="BJ82" i="5"/>
  <c r="BI82" i="5"/>
  <c r="BH82" i="5"/>
  <c r="F82" i="5"/>
  <c r="BJ81" i="5"/>
  <c r="BI81" i="5"/>
  <c r="BH81" i="5"/>
  <c r="F81" i="5"/>
  <c r="BJ80" i="5"/>
  <c r="BI80" i="5"/>
  <c r="BH80" i="5"/>
  <c r="F80" i="5"/>
  <c r="BJ79" i="5"/>
  <c r="BI79" i="5"/>
  <c r="BH79" i="5"/>
  <c r="F79" i="5"/>
  <c r="BJ78" i="5"/>
  <c r="BI78" i="5"/>
  <c r="BH78" i="5"/>
  <c r="F78" i="5"/>
  <c r="BJ77" i="5"/>
  <c r="BI77" i="5"/>
  <c r="BH77" i="5"/>
  <c r="F77" i="5"/>
  <c r="BJ76" i="5"/>
  <c r="BI76" i="5"/>
  <c r="BH76" i="5"/>
  <c r="F76" i="5"/>
  <c r="BJ75" i="5"/>
  <c r="BI75" i="5"/>
  <c r="BH75" i="5"/>
  <c r="F75" i="5"/>
  <c r="BJ74" i="5"/>
  <c r="BI74" i="5"/>
  <c r="BH74" i="5"/>
  <c r="F74" i="5"/>
  <c r="BJ73" i="5"/>
  <c r="BI73" i="5"/>
  <c r="BH73" i="5"/>
  <c r="F73" i="5"/>
  <c r="BJ72" i="5"/>
  <c r="BI72" i="5"/>
  <c r="BH72" i="5"/>
  <c r="F72" i="5"/>
  <c r="BJ71" i="5"/>
  <c r="BI71" i="5"/>
  <c r="BH71" i="5"/>
  <c r="F71" i="5"/>
  <c r="BJ70" i="5"/>
  <c r="BI70" i="5"/>
  <c r="BH70" i="5"/>
  <c r="F70" i="5"/>
  <c r="BJ69" i="5"/>
  <c r="BI69" i="5"/>
  <c r="BH69" i="5"/>
  <c r="F69" i="5"/>
  <c r="BJ68" i="5"/>
  <c r="BI68" i="5"/>
  <c r="BH68" i="5"/>
  <c r="F68" i="5"/>
  <c r="BJ67" i="5"/>
  <c r="BI67" i="5"/>
  <c r="BH67" i="5"/>
  <c r="F67" i="5"/>
  <c r="BJ66" i="5"/>
  <c r="BI66" i="5"/>
  <c r="BH66" i="5"/>
  <c r="F66" i="5"/>
  <c r="BJ65" i="5"/>
  <c r="BI65" i="5"/>
  <c r="BH65" i="5"/>
  <c r="F65" i="5"/>
  <c r="BJ64" i="5"/>
  <c r="BI64" i="5"/>
  <c r="BH64" i="5"/>
  <c r="F64" i="5"/>
  <c r="BJ63" i="5"/>
  <c r="BI63" i="5"/>
  <c r="BH63" i="5"/>
  <c r="F63" i="5"/>
  <c r="BJ62" i="5"/>
  <c r="BI62" i="5"/>
  <c r="BH62" i="5"/>
  <c r="F62" i="5"/>
  <c r="BJ61" i="5"/>
  <c r="BI61" i="5"/>
  <c r="BH61" i="5"/>
  <c r="F61" i="5"/>
  <c r="BJ60" i="5"/>
  <c r="BI60" i="5"/>
  <c r="BH60" i="5"/>
  <c r="F60" i="5"/>
  <c r="BJ59" i="5"/>
  <c r="BI59" i="5"/>
  <c r="BH59" i="5"/>
  <c r="F59" i="5"/>
  <c r="BJ58" i="5"/>
  <c r="BI58" i="5"/>
  <c r="BH58" i="5"/>
  <c r="F58" i="5"/>
  <c r="BJ57" i="5"/>
  <c r="BI57" i="5"/>
  <c r="BH57" i="5"/>
  <c r="F57" i="5"/>
  <c r="BJ56" i="5"/>
  <c r="BI56" i="5"/>
  <c r="BH56" i="5"/>
  <c r="F56" i="5"/>
  <c r="BJ55" i="5"/>
  <c r="BI55" i="5"/>
  <c r="BH55" i="5"/>
  <c r="F55" i="5"/>
  <c r="BJ54" i="5"/>
  <c r="BI54" i="5"/>
  <c r="BH54" i="5"/>
  <c r="F54" i="5"/>
  <c r="BJ53" i="5"/>
  <c r="BI53" i="5"/>
  <c r="BH53" i="5"/>
  <c r="F53" i="5"/>
  <c r="BJ52" i="5"/>
  <c r="BI52" i="5"/>
  <c r="BH52" i="5"/>
  <c r="F52" i="5"/>
  <c r="BJ51" i="5"/>
  <c r="BI51" i="5"/>
  <c r="BH51" i="5"/>
  <c r="F51" i="5"/>
  <c r="BJ50" i="5"/>
  <c r="BI50" i="5"/>
  <c r="BH50" i="5"/>
  <c r="F50" i="5"/>
  <c r="BJ49" i="5"/>
  <c r="BI49" i="5"/>
  <c r="BH49" i="5"/>
  <c r="F49" i="5"/>
  <c r="BJ48" i="5"/>
  <c r="BI48" i="5"/>
  <c r="BH48" i="5"/>
  <c r="F48" i="5"/>
  <c r="BJ47" i="5"/>
  <c r="BI47" i="5"/>
  <c r="BH47" i="5"/>
  <c r="F47" i="5"/>
  <c r="BJ46" i="5"/>
  <c r="BI46" i="5"/>
  <c r="BH46" i="5"/>
  <c r="F46" i="5"/>
  <c r="BJ45" i="5"/>
  <c r="BI45" i="5"/>
  <c r="BH45" i="5"/>
  <c r="F45" i="5"/>
  <c r="BJ44" i="5"/>
  <c r="BI44" i="5"/>
  <c r="BH44" i="5"/>
  <c r="F44" i="5"/>
  <c r="BJ43" i="5"/>
  <c r="BI43" i="5"/>
  <c r="BH43" i="5"/>
  <c r="F43" i="5"/>
  <c r="BJ42" i="5"/>
  <c r="BI42" i="5"/>
  <c r="BH42" i="5"/>
  <c r="F42" i="5"/>
  <c r="BJ41" i="5"/>
  <c r="BI41" i="5"/>
  <c r="BH41" i="5"/>
  <c r="F41" i="5"/>
  <c r="BJ40" i="5"/>
  <c r="BI40" i="5"/>
  <c r="BH40" i="5"/>
  <c r="F40" i="5"/>
  <c r="BJ39" i="5"/>
  <c r="BI39" i="5"/>
  <c r="BH39" i="5"/>
  <c r="F39" i="5"/>
  <c r="BJ38" i="5"/>
  <c r="BI38" i="5"/>
  <c r="BH38" i="5"/>
  <c r="F38" i="5"/>
  <c r="BJ37" i="5"/>
  <c r="BI37" i="5"/>
  <c r="BH37" i="5"/>
  <c r="F37" i="5"/>
  <c r="BJ36" i="5"/>
  <c r="BI36" i="5"/>
  <c r="BH36" i="5"/>
  <c r="F36" i="5"/>
  <c r="BJ35" i="5"/>
  <c r="BI35" i="5"/>
  <c r="BH35" i="5"/>
  <c r="F35" i="5"/>
  <c r="BJ34" i="5"/>
  <c r="BI34" i="5"/>
  <c r="BH34" i="5"/>
  <c r="F34" i="5"/>
  <c r="BJ33" i="5"/>
  <c r="BI33" i="5"/>
  <c r="BH33" i="5"/>
  <c r="F33" i="5"/>
  <c r="BJ32" i="5"/>
  <c r="BI32" i="5"/>
  <c r="BH32" i="5"/>
  <c r="F32" i="5"/>
  <c r="BJ31" i="5"/>
  <c r="BI31" i="5"/>
  <c r="BH31" i="5"/>
  <c r="F31" i="5"/>
  <c r="BJ30" i="5"/>
  <c r="BI30" i="5"/>
  <c r="BH30" i="5"/>
  <c r="F30" i="5"/>
  <c r="BJ29" i="5"/>
  <c r="BI29" i="5"/>
  <c r="BH29" i="5"/>
  <c r="F29" i="5"/>
  <c r="BJ28" i="5"/>
  <c r="BI28" i="5"/>
  <c r="BH28" i="5"/>
  <c r="F28" i="5"/>
  <c r="BJ27" i="5"/>
  <c r="BI27" i="5"/>
  <c r="BH27" i="5"/>
  <c r="F27" i="5"/>
  <c r="BJ26" i="5"/>
  <c r="BI26" i="5"/>
  <c r="BH26" i="5"/>
  <c r="F26" i="5"/>
  <c r="BJ25" i="5"/>
  <c r="BI25" i="5"/>
  <c r="BH25" i="5"/>
  <c r="F25" i="5"/>
  <c r="BJ24" i="5"/>
  <c r="BI24" i="5"/>
  <c r="BH24" i="5"/>
  <c r="F24" i="5"/>
  <c r="BJ23" i="5"/>
  <c r="BI23" i="5"/>
  <c r="BH23" i="5"/>
  <c r="F23" i="5"/>
  <c r="BJ22" i="5"/>
  <c r="BI22" i="5"/>
  <c r="BH22" i="5"/>
  <c r="F22" i="5"/>
  <c r="BJ21" i="5"/>
  <c r="BI21" i="5"/>
  <c r="BH21" i="5"/>
  <c r="F21" i="5"/>
  <c r="BJ20" i="5"/>
  <c r="BI20" i="5"/>
  <c r="BH20" i="5"/>
  <c r="F20" i="5"/>
  <c r="BJ19" i="5"/>
  <c r="BI19" i="5"/>
  <c r="BH19" i="5"/>
  <c r="F19" i="5"/>
  <c r="BJ18" i="5"/>
  <c r="BI18" i="5"/>
  <c r="BH18" i="5"/>
  <c r="F18" i="5"/>
  <c r="BJ17" i="5"/>
  <c r="BI17" i="5"/>
  <c r="BH17" i="5"/>
  <c r="F17" i="5"/>
  <c r="BJ16" i="5"/>
  <c r="BI16" i="5"/>
  <c r="BH16" i="5"/>
  <c r="F16" i="5"/>
  <c r="BJ15" i="5"/>
  <c r="BI15" i="5"/>
  <c r="BH15" i="5"/>
  <c r="F15" i="5"/>
  <c r="BJ14" i="5"/>
  <c r="BI14" i="5"/>
  <c r="BH14" i="5"/>
  <c r="F14" i="5"/>
  <c r="BJ13" i="5"/>
  <c r="BI13" i="5"/>
  <c r="BH13" i="5"/>
  <c r="F13" i="5"/>
  <c r="BJ12" i="5"/>
  <c r="BI12" i="5"/>
  <c r="BH12" i="5"/>
  <c r="F12" i="5"/>
  <c r="BJ11" i="5"/>
  <c r="BI11" i="5"/>
  <c r="BH11" i="5"/>
  <c r="F11" i="5"/>
  <c r="BJ10" i="5"/>
  <c r="BI10" i="5"/>
  <c r="BH10" i="5"/>
  <c r="F10" i="5"/>
  <c r="BJ9" i="5"/>
  <c r="BI9" i="5"/>
  <c r="BH9" i="5"/>
  <c r="F9" i="5"/>
  <c r="BJ8" i="5"/>
  <c r="BI8" i="5"/>
  <c r="BH8" i="5"/>
  <c r="F8" i="5"/>
  <c r="BJ7" i="5"/>
  <c r="BI7" i="5"/>
  <c r="BH7" i="5"/>
  <c r="F7" i="5"/>
  <c r="BJ6" i="5"/>
  <c r="BI6" i="5"/>
  <c r="BH6" i="5"/>
  <c r="F6" i="5"/>
  <c r="BJ5" i="5"/>
  <c r="BI5" i="5"/>
  <c r="BH5" i="5"/>
  <c r="F5" i="5"/>
  <c r="BJ4" i="5"/>
  <c r="BI4" i="5"/>
  <c r="BH4" i="5"/>
  <c r="F4" i="5"/>
  <c r="BJ3" i="5"/>
  <c r="BI3" i="5"/>
  <c r="BH3" i="5"/>
  <c r="F3" i="5"/>
  <c r="D37" i="2" l="1"/>
  <c r="D36" i="2"/>
  <c r="D35" i="2"/>
  <c r="D34" i="2"/>
  <c r="D32" i="2"/>
  <c r="D31" i="2"/>
  <c r="D30" i="2"/>
  <c r="D28" i="2"/>
  <c r="D27" i="2"/>
  <c r="D26" i="2"/>
  <c r="D25" i="2"/>
  <c r="E25" i="2" s="1"/>
  <c r="F25" i="2"/>
  <c r="D24" i="2"/>
  <c r="D23" i="2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38" i="4"/>
  <c r="B14" i="4"/>
  <c r="B13" i="4"/>
  <c r="B12" i="4"/>
  <c r="B11" i="4"/>
  <c r="B10" i="4"/>
  <c r="B9" i="4"/>
  <c r="B8" i="4"/>
  <c r="B39" i="4"/>
  <c r="B40" i="4"/>
  <c r="B37" i="4"/>
  <c r="B41" i="4"/>
  <c r="B42" i="4"/>
  <c r="B43" i="4"/>
  <c r="B44" i="4"/>
  <c r="B45" i="4"/>
  <c r="B46" i="4"/>
  <c r="B47" i="4"/>
  <c r="B36" i="4"/>
  <c r="B35" i="4"/>
  <c r="B15" i="4"/>
  <c r="C34" i="4" l="1"/>
  <c r="D34" i="4"/>
  <c r="E34" i="4"/>
  <c r="F34" i="4"/>
  <c r="G34" i="4"/>
  <c r="H34" i="4"/>
  <c r="I34" i="4"/>
  <c r="C33" i="4"/>
  <c r="D33" i="4"/>
  <c r="E33" i="4"/>
  <c r="F33" i="4"/>
  <c r="G33" i="4"/>
  <c r="H33" i="4"/>
  <c r="I33" i="4"/>
  <c r="C32" i="4"/>
  <c r="D32" i="4"/>
  <c r="E32" i="4"/>
  <c r="F32" i="4"/>
  <c r="G32" i="4"/>
  <c r="H32" i="4"/>
  <c r="I32" i="4"/>
  <c r="C31" i="4"/>
  <c r="D31" i="4"/>
  <c r="E31" i="4"/>
  <c r="F31" i="4"/>
  <c r="G31" i="4"/>
  <c r="H31" i="4"/>
  <c r="I31" i="4"/>
  <c r="C30" i="4"/>
  <c r="D30" i="4"/>
  <c r="E30" i="4"/>
  <c r="F30" i="4"/>
  <c r="G30" i="4"/>
  <c r="H30" i="4"/>
  <c r="I30" i="4"/>
  <c r="C29" i="4"/>
  <c r="D29" i="4"/>
  <c r="E29" i="4"/>
  <c r="F29" i="4"/>
  <c r="G29" i="4"/>
  <c r="H29" i="4"/>
  <c r="I29" i="4"/>
  <c r="C28" i="4"/>
  <c r="D28" i="4"/>
  <c r="E28" i="4"/>
  <c r="F28" i="4"/>
  <c r="G28" i="4"/>
  <c r="H28" i="4"/>
  <c r="I28" i="4"/>
  <c r="C27" i="4"/>
  <c r="D27" i="4"/>
  <c r="E27" i="4"/>
  <c r="F27" i="4"/>
  <c r="G27" i="4"/>
  <c r="H27" i="4"/>
  <c r="I27" i="4"/>
  <c r="C26" i="4"/>
  <c r="D26" i="4"/>
  <c r="E26" i="4"/>
  <c r="F26" i="4"/>
  <c r="G26" i="4"/>
  <c r="H26" i="4"/>
  <c r="I26" i="4"/>
  <c r="C25" i="4"/>
  <c r="D25" i="4"/>
  <c r="E25" i="4"/>
  <c r="F25" i="4"/>
  <c r="G25" i="4"/>
  <c r="H25" i="4"/>
  <c r="I25" i="4"/>
  <c r="C24" i="4"/>
  <c r="D24" i="4"/>
  <c r="E24" i="4"/>
  <c r="F24" i="4"/>
  <c r="G24" i="4"/>
  <c r="H24" i="4"/>
  <c r="I24" i="4"/>
  <c r="C23" i="4"/>
  <c r="D23" i="4"/>
  <c r="E23" i="4"/>
  <c r="F23" i="4"/>
  <c r="G23" i="4"/>
  <c r="H23" i="4"/>
  <c r="I23" i="4"/>
  <c r="C22" i="4"/>
  <c r="D22" i="4"/>
  <c r="E22" i="4"/>
  <c r="F22" i="4"/>
  <c r="G22" i="4"/>
  <c r="H22" i="4"/>
  <c r="I22" i="4"/>
  <c r="C21" i="4"/>
  <c r="D21" i="4"/>
  <c r="E21" i="4"/>
  <c r="F21" i="4"/>
  <c r="G21" i="4"/>
  <c r="H21" i="4"/>
  <c r="I21" i="4"/>
  <c r="C20" i="4"/>
  <c r="D20" i="4"/>
  <c r="E20" i="4"/>
  <c r="F20" i="4"/>
  <c r="G20" i="4"/>
  <c r="H20" i="4"/>
  <c r="I20" i="4"/>
  <c r="C19" i="4"/>
  <c r="D19" i="4"/>
  <c r="E19" i="4"/>
  <c r="F19" i="4"/>
  <c r="G19" i="4"/>
  <c r="H19" i="4"/>
  <c r="I19" i="4"/>
  <c r="C18" i="4"/>
  <c r="D18" i="4"/>
  <c r="E18" i="4"/>
  <c r="F18" i="4"/>
  <c r="G18" i="4"/>
  <c r="H18" i="4"/>
  <c r="I18" i="4"/>
  <c r="C17" i="4"/>
  <c r="D17" i="4"/>
  <c r="E17" i="4"/>
  <c r="F17" i="4"/>
  <c r="G17" i="4"/>
  <c r="H17" i="4"/>
  <c r="I17" i="4"/>
  <c r="C16" i="4"/>
  <c r="D16" i="4"/>
  <c r="E16" i="4"/>
  <c r="F16" i="4"/>
  <c r="G16" i="4"/>
  <c r="H16" i="4"/>
  <c r="I16" i="4"/>
  <c r="C38" i="4"/>
  <c r="D38" i="4"/>
  <c r="E38" i="4"/>
  <c r="F38" i="4"/>
  <c r="G38" i="4"/>
  <c r="H38" i="4"/>
  <c r="I38" i="4"/>
  <c r="C14" i="4"/>
  <c r="D14" i="4"/>
  <c r="E14" i="4"/>
  <c r="F14" i="4"/>
  <c r="G14" i="4"/>
  <c r="H14" i="4"/>
  <c r="I14" i="4"/>
  <c r="C13" i="4"/>
  <c r="D13" i="4"/>
  <c r="E13" i="4"/>
  <c r="F13" i="4"/>
  <c r="G13" i="4"/>
  <c r="H13" i="4"/>
  <c r="I13" i="4"/>
  <c r="C12" i="4"/>
  <c r="D12" i="4"/>
  <c r="E12" i="4"/>
  <c r="F12" i="4"/>
  <c r="G12" i="4"/>
  <c r="H12" i="4"/>
  <c r="I12" i="4"/>
  <c r="C11" i="4"/>
  <c r="D11" i="4"/>
  <c r="E11" i="4"/>
  <c r="F11" i="4"/>
  <c r="G11" i="4"/>
  <c r="H11" i="4"/>
  <c r="I11" i="4"/>
  <c r="C10" i="4"/>
  <c r="D10" i="4"/>
  <c r="E10" i="4"/>
  <c r="F10" i="4"/>
  <c r="G10" i="4"/>
  <c r="H10" i="4"/>
  <c r="I10" i="4"/>
  <c r="C9" i="4"/>
  <c r="D9" i="4"/>
  <c r="E9" i="4"/>
  <c r="F9" i="4"/>
  <c r="G9" i="4"/>
  <c r="H9" i="4"/>
  <c r="I9" i="4"/>
  <c r="C8" i="4"/>
  <c r="D8" i="4"/>
  <c r="E8" i="4"/>
  <c r="F8" i="4"/>
  <c r="G8" i="4"/>
  <c r="H8" i="4"/>
  <c r="I8" i="4"/>
  <c r="C39" i="4"/>
  <c r="D39" i="4"/>
  <c r="E39" i="4"/>
  <c r="F39" i="4"/>
  <c r="G39" i="4"/>
  <c r="H39" i="4"/>
  <c r="I39" i="4"/>
  <c r="C40" i="4"/>
  <c r="D40" i="4"/>
  <c r="E40" i="4"/>
  <c r="F40" i="4"/>
  <c r="G40" i="4"/>
  <c r="H40" i="4"/>
  <c r="I40" i="4"/>
  <c r="C37" i="4"/>
  <c r="D37" i="4"/>
  <c r="E37" i="4"/>
  <c r="F37" i="4"/>
  <c r="G37" i="4"/>
  <c r="H37" i="4"/>
  <c r="I37" i="4"/>
  <c r="C41" i="4"/>
  <c r="D41" i="4"/>
  <c r="E41" i="4"/>
  <c r="F41" i="4"/>
  <c r="G41" i="4"/>
  <c r="H41" i="4"/>
  <c r="I41" i="4"/>
  <c r="C42" i="4"/>
  <c r="D42" i="4"/>
  <c r="E42" i="4"/>
  <c r="F42" i="4"/>
  <c r="G42" i="4"/>
  <c r="H42" i="4"/>
  <c r="I42" i="4"/>
  <c r="C43" i="4"/>
  <c r="D43" i="4"/>
  <c r="E43" i="4"/>
  <c r="F43" i="4"/>
  <c r="G43" i="4"/>
  <c r="H43" i="4"/>
  <c r="I43" i="4"/>
  <c r="C44" i="4"/>
  <c r="D44" i="4"/>
  <c r="E44" i="4"/>
  <c r="F44" i="4"/>
  <c r="G44" i="4"/>
  <c r="H44" i="4"/>
  <c r="I44" i="4"/>
  <c r="C45" i="4"/>
  <c r="D45" i="4"/>
  <c r="E45" i="4"/>
  <c r="F45" i="4"/>
  <c r="G45" i="4"/>
  <c r="H45" i="4"/>
  <c r="I45" i="4"/>
  <c r="C46" i="4"/>
  <c r="D46" i="4"/>
  <c r="E46" i="4"/>
  <c r="F46" i="4"/>
  <c r="G46" i="4"/>
  <c r="H46" i="4"/>
  <c r="I46" i="4"/>
  <c r="C47" i="4"/>
  <c r="D47" i="4"/>
  <c r="F47" i="4"/>
  <c r="H47" i="4"/>
  <c r="I47" i="4"/>
  <c r="E47" i="4"/>
  <c r="G47" i="4"/>
  <c r="C36" i="4"/>
  <c r="D36" i="4"/>
  <c r="E36" i="4"/>
  <c r="F36" i="4"/>
  <c r="G36" i="4"/>
  <c r="H36" i="4"/>
  <c r="I36" i="4"/>
  <c r="C35" i="4"/>
  <c r="D35" i="4"/>
  <c r="E35" i="4"/>
  <c r="F35" i="4"/>
  <c r="G35" i="4"/>
  <c r="H35" i="4"/>
  <c r="I35" i="4"/>
  <c r="C15" i="4"/>
  <c r="D15" i="4"/>
  <c r="E15" i="4"/>
  <c r="F15" i="4"/>
  <c r="G15" i="4"/>
  <c r="H15" i="4"/>
  <c r="I15" i="4"/>
  <c r="E37" i="2"/>
  <c r="F37" i="2"/>
  <c r="E36" i="2"/>
  <c r="F36" i="2"/>
  <c r="E35" i="2"/>
  <c r="F35" i="2"/>
  <c r="E34" i="2"/>
  <c r="F34" i="2"/>
  <c r="E32" i="2"/>
  <c r="F32" i="2"/>
  <c r="E31" i="2"/>
  <c r="F31" i="2"/>
  <c r="E30" i="2"/>
  <c r="F30" i="2"/>
  <c r="E28" i="2"/>
  <c r="F28" i="2"/>
  <c r="E27" i="2"/>
  <c r="F27" i="2"/>
  <c r="E26" i="2"/>
  <c r="F26" i="2"/>
  <c r="E24" i="2"/>
  <c r="F24" i="2"/>
  <c r="E23" i="2"/>
  <c r="F23" i="2"/>
</calcChain>
</file>

<file path=xl/sharedStrings.xml><?xml version="1.0" encoding="utf-8"?>
<sst xmlns="http://schemas.openxmlformats.org/spreadsheetml/2006/main" count="321" uniqueCount="254">
  <si>
    <r>
      <rPr>
        <b/>
        <sz val="14"/>
        <color rgb="FF1E1B4B"/>
        <rFont val="Cambria"/>
        <family val="1"/>
      </rPr>
      <t xml:space="preserve">SYNK </t>
    </r>
    <r>
      <rPr>
        <b/>
        <sz val="14"/>
        <color rgb="FF1E1B4B"/>
        <rFont val="Noto Sans CJK SC"/>
        <family val="2"/>
      </rPr>
      <t xml:space="preserve">상담 데이터 시트 </t>
    </r>
    <r>
      <rPr>
        <b/>
        <sz val="14"/>
        <color rgb="FF1E1B4B"/>
        <rFont val="Cambria"/>
        <family val="1"/>
      </rPr>
      <t xml:space="preserve">v18 — </t>
    </r>
    <r>
      <rPr>
        <b/>
        <sz val="14"/>
        <color rgb="FF1E1B4B"/>
        <rFont val="Noto Sans CJK SC"/>
        <family val="2"/>
      </rPr>
      <t>사용 안내</t>
    </r>
  </si>
  <si>
    <t>■ 데이터 흐름 (하나만 기억하세요)</t>
  </si>
  <si>
    <t xml:space="preserve">  학생이 구글폼 작성(오프라인이면 상담지 → 폼 대리 입력) → 이 시트에 자동 기록 → 앱(profiles)으로 동기화</t>
  </si>
  <si>
    <t xml:space="preserve">  자유서술(다짐·기대·이전학원·취미·선호작품 등)은 시트가 아니라 노션 케어노트에 — 끝나면 BA열 "입력완료"</t>
  </si>
  <si>
    <t>■ 🚫 절대 규칙 2가지 (학생ID 보호)</t>
  </si>
  <si>
    <r>
      <rPr>
        <sz val="10"/>
        <rFont val="Arial"/>
        <family val="2"/>
        <charset val="1"/>
      </rPr>
      <t xml:space="preserve">  1. </t>
    </r>
    <r>
      <rPr>
        <sz val="10"/>
        <rFont val="Noto Sans CJK SC"/>
        <family val="2"/>
      </rPr>
      <t>행 삭제 금지 — 퇴소는 수강</t>
    </r>
    <r>
      <rPr>
        <sz val="10"/>
        <rFont val="Arial"/>
        <family val="2"/>
        <charset val="1"/>
      </rPr>
      <t>·</t>
    </r>
    <r>
      <rPr>
        <sz val="10"/>
        <rFont val="Noto Sans CJK SC"/>
        <family val="2"/>
      </rPr>
      <t>납입 탭에서 퇴소일만 입력</t>
    </r>
  </si>
  <si>
    <r>
      <rPr>
        <sz val="10"/>
        <rFont val="Arial"/>
        <family val="2"/>
        <charset val="1"/>
      </rPr>
      <t xml:space="preserve">  2. </t>
    </r>
    <r>
      <rPr>
        <sz val="10"/>
        <rFont val="Noto Sans CJK SC"/>
        <family val="2"/>
      </rPr>
      <t xml:space="preserve">정렬 금지 — 필터만 사용 </t>
    </r>
    <r>
      <rPr>
        <sz val="10"/>
        <rFont val="Arial"/>
        <family val="2"/>
        <charset val="1"/>
      </rPr>
      <t>(ID·</t>
    </r>
    <r>
      <rPr>
        <sz val="10"/>
        <rFont val="Noto Sans CJK SC"/>
        <family val="2"/>
      </rPr>
      <t>조회 수식이 행 위치 기반입니다</t>
    </r>
    <r>
      <rPr>
        <sz val="10"/>
        <rFont val="Arial"/>
        <family val="2"/>
        <charset val="1"/>
      </rPr>
      <t>)</t>
    </r>
  </si>
  <si>
    <t xml:space="preserve">  ※ 구글시트 이관 후에는 Claude가 만든 자동 ID 발급기(불변값)로 교체 예정 → 그때부터 걱정 없음</t>
  </si>
  <si>
    <t>■ 반 이름 (v18 신체계)</t>
  </si>
  <si>
    <t xml:space="preserve">  트랙+시간: 메인11 · 집중14 · 심화18 · 주말메인11 … — 반 추가·수정은 [반·설정] 탭 한 곳에서만</t>
  </si>
  <si>
    <t>■ 입력 팁</t>
  </si>
  <si>
    <t xml:space="preserve">  드롭다운 = 클릭 선택(오타 방지) · 코랄색 헤더 6개 = 대시보드 집계 항목 · 나이/ID/위험신호는 자동</t>
  </si>
  <si>
    <t xml:space="preserve">  위험신호 4종 자동 감지: ⚠비자거절 · ⚠가족설득필요 · ⚠목표-수준괴리 · ⚠재정리스크(빠듯함+설득필요)</t>
  </si>
  <si>
    <t>■ 수강·납입은 별도 탭</t>
  </si>
  <si>
    <t xml:space="preserve">  이름 선택 → 수강료·기간·최근납입일 입력 → 미납은 빨간 행 · 대시보드 매출/미납 자동</t>
  </si>
  <si>
    <t>■ 구글시트로 갈아끼우기</t>
  </si>
  <si>
    <t xml:space="preserve">  드라이브 업로드 → 우클릭 → Google Sheets로 열기 → 기존 시트와 교체</t>
  </si>
  <si>
    <t xml:space="preserve">  이관 직후 Claude에게: ① onEdit ID 발급기 ② ARRAYFORMULA 최적화(수식 1만개→40개) ③ 앱 schedule 연결 — 한 세트로 요청</t>
  </si>
  <si>
    <t>■ v18에서 달라진 것</t>
  </si>
  <si>
    <t xml:space="preserve">  89열→62열 · 주값/상세 이중입력 폐지 · (미사용) 잔재 삭제 · 수납 파생열 15개 제거(수강·납입 직참조) · · 영어수업관심(GLOBAL ENGLISH) · 지망대학·전공 2·3순위 부활</t>
  </si>
  <si>
    <t xml:space="preserve">  나이 자동 · 취업비자준비 선택지 · 학습시간 드롭다운 · 반·설정 탭 신설 · 대시보드 슬림(케어는 앱 담당)</t>
  </si>
  <si>
    <r>
      <rPr>
        <b/>
        <sz val="16"/>
        <color rgb="FF1E1B4B"/>
        <rFont val="Malgun Gothic"/>
        <family val="3"/>
        <charset val="129"/>
      </rPr>
      <t xml:space="preserve">🎛 SYNK LAB </t>
    </r>
    <r>
      <rPr>
        <b/>
        <sz val="16"/>
        <color rgb="FF1E1B4B"/>
        <rFont val="Noto Sans CJK SC"/>
        <family val="2"/>
      </rPr>
      <t>경영 대시보드</t>
    </r>
  </si>
  <si>
    <t>입력하면 자동 집계 · 케어(위험·임박)는 앱과 주간 리포트가 담당합니다</t>
  </si>
  <si>
    <t>핵심 지표</t>
  </si>
  <si>
    <t>현재 재원생</t>
  </si>
  <si>
    <t>이달 신규</t>
  </si>
  <si>
    <t>이달 퇴소</t>
  </si>
  <si>
    <t>순증감</t>
  </si>
  <si>
    <t>누적 퇴소</t>
  </si>
  <si>
    <t>이탈률</t>
  </si>
  <si>
    <t>매출 · 수납 (수강·납입 시트 연동)</t>
  </si>
  <si>
    <t>예상 월매출 (MNT)</t>
  </si>
  <si>
    <t>🔴 미납 인원</t>
  </si>
  <si>
    <t>미납액 (MNT)</t>
  </si>
  <si>
    <t>→ 명단은 수강·납입 탭의 빨간 행</t>
  </si>
  <si>
    <t>분포</t>
  </si>
  <si>
    <r>
      <rPr>
        <b/>
        <sz val="10"/>
        <color rgb="FFFFFFFF"/>
        <rFont val="Malgun Gothic"/>
        <family val="3"/>
        <charset val="129"/>
      </rPr>
      <t xml:space="preserve">TOPIK </t>
    </r>
    <r>
      <rPr>
        <b/>
        <sz val="10"/>
        <color rgb="FFFFFFFF"/>
        <rFont val="Noto Sans CJK SC"/>
        <family val="2"/>
      </rPr>
      <t>목표</t>
    </r>
  </si>
  <si>
    <t>한국어 수준</t>
  </si>
  <si>
    <t>진학 시기</t>
  </si>
  <si>
    <r>
      <rPr>
        <sz val="11"/>
        <color theme="1"/>
        <rFont val="Calibri"/>
        <family val="2"/>
        <charset val="1"/>
      </rPr>
      <t>1~2</t>
    </r>
    <r>
      <rPr>
        <sz val="11"/>
        <color theme="1"/>
        <rFont val="Noto Sans CJK SC"/>
        <family val="2"/>
      </rPr>
      <t>급</t>
    </r>
  </si>
  <si>
    <t>완전초보</t>
  </si>
  <si>
    <t>올해</t>
  </si>
  <si>
    <r>
      <rPr>
        <sz val="11"/>
        <color theme="1"/>
        <rFont val="Calibri"/>
        <family val="2"/>
        <charset val="1"/>
      </rPr>
      <t>3~4</t>
    </r>
    <r>
      <rPr>
        <sz val="11"/>
        <color theme="1"/>
        <rFont val="Noto Sans CJK SC"/>
        <family val="2"/>
      </rPr>
      <t>급</t>
    </r>
  </si>
  <si>
    <t>기초</t>
  </si>
  <si>
    <t>내년</t>
  </si>
  <si>
    <r>
      <rPr>
        <sz val="11"/>
        <color theme="1"/>
        <rFont val="Calibri"/>
        <family val="2"/>
        <charset val="1"/>
      </rPr>
      <t>5~6</t>
    </r>
    <r>
      <rPr>
        <sz val="11"/>
        <color theme="1"/>
        <rFont val="Noto Sans CJK SC"/>
        <family val="2"/>
      </rPr>
      <t>급</t>
    </r>
  </si>
  <si>
    <t>초중급</t>
  </si>
  <si>
    <t>기타/미정</t>
  </si>
  <si>
    <t>중급</t>
  </si>
  <si>
    <t>고급</t>
  </si>
  <si>
    <t>🪑 반별 재원 / 정원 / 여석 (반·설정 연동)</t>
  </si>
  <si>
    <t>반</t>
  </si>
  <si>
    <t>정원</t>
  </si>
  <si>
    <t>재원</t>
  </si>
  <si>
    <t>여석</t>
  </si>
  <si>
    <t>재원 시각화 (1칸=2명)</t>
  </si>
  <si>
    <r>
      <rPr>
        <b/>
        <sz val="11"/>
        <color rgb="FFFFFFFF"/>
        <rFont val="Noto Sans CJK SC"/>
        <family val="2"/>
      </rPr>
      <t xml:space="preserve">📊 등록자 인사이트 </t>
    </r>
    <r>
      <rPr>
        <b/>
        <sz val="11"/>
        <color rgb="FFFFFFFF"/>
        <rFont val="Malgun Gothic"/>
        <family val="3"/>
        <charset val="129"/>
      </rPr>
      <t>(</t>
    </r>
    <r>
      <rPr>
        <b/>
        <sz val="11"/>
        <color rgb="FFFFFFFF"/>
        <rFont val="Noto Sans CJK SC"/>
        <family val="2"/>
      </rPr>
      <t>드롭다운 자동 집계</t>
    </r>
    <r>
      <rPr>
        <b/>
        <sz val="11"/>
        <color rgb="FFFFFFFF"/>
        <rFont val="Malgun Gothic"/>
        <family val="3"/>
        <charset val="129"/>
      </rPr>
      <t>)</t>
    </r>
  </si>
  <si>
    <t>인지채널</t>
  </si>
  <si>
    <t>학습배경</t>
  </si>
  <si>
    <r>
      <rPr>
        <b/>
        <sz val="10"/>
        <color rgb="FFFFFFFF"/>
        <rFont val="Noto Sans CJK SC"/>
        <family val="2"/>
      </rPr>
      <t xml:space="preserve">관심 </t>
    </r>
    <r>
      <rPr>
        <b/>
        <sz val="10"/>
        <color rgb="FFFFFFFF"/>
        <rFont val="Malgun Gothic"/>
        <family val="3"/>
        <charset val="129"/>
      </rPr>
      <t>K</t>
    </r>
    <r>
      <rPr>
        <b/>
        <sz val="10"/>
        <color rgb="FFFFFFFF"/>
        <rFont val="Noto Sans CJK SC"/>
        <family val="2"/>
      </rPr>
      <t>분야</t>
    </r>
  </si>
  <si>
    <t>핵심 가치관</t>
  </si>
  <si>
    <t>대표 강점</t>
  </si>
  <si>
    <t>🇬🇧 영어수업 희망</t>
  </si>
  <si>
    <t>릴스</t>
  </si>
  <si>
    <t>독학</t>
  </si>
  <si>
    <t>KPOP</t>
  </si>
  <si>
    <t>안정성</t>
  </si>
  <si>
    <t>리더십</t>
  </si>
  <si>
    <t>매우희망</t>
  </si>
  <si>
    <t>지인추천</t>
  </si>
  <si>
    <t>학원</t>
  </si>
  <si>
    <t>드라마</t>
  </si>
  <si>
    <t>고수입</t>
  </si>
  <si>
    <t>분석력</t>
  </si>
  <si>
    <t>보통</t>
  </si>
  <si>
    <t>광고</t>
  </si>
  <si>
    <t>온라인</t>
  </si>
  <si>
    <t>뷰티패션</t>
  </si>
  <si>
    <t>보람성취</t>
  </si>
  <si>
    <t>예술감각</t>
  </si>
  <si>
    <t>없음</t>
  </si>
  <si>
    <t>기타</t>
  </si>
  <si>
    <r>
      <rPr>
        <sz val="10"/>
        <rFont val="Malgun Gothic"/>
        <family val="3"/>
        <charset val="129"/>
      </rPr>
      <t>K</t>
    </r>
    <r>
      <rPr>
        <sz val="10"/>
        <rFont val="Noto Sans CJK SC"/>
        <family val="2"/>
      </rPr>
      <t>콘텐츠</t>
    </r>
  </si>
  <si>
    <t>음식</t>
  </si>
  <si>
    <t>워라밸</t>
  </si>
  <si>
    <t>추진력</t>
  </si>
  <si>
    <t>창의성</t>
  </si>
  <si>
    <t>소통</t>
  </si>
  <si>
    <t>꼼꼼함</t>
  </si>
  <si>
    <r>
      <rPr>
        <b/>
        <sz val="11"/>
        <color rgb="FFFFFFFF"/>
        <rFont val="Noto Sans CJK SC"/>
        <family val="2"/>
      </rPr>
      <t xml:space="preserve">🚀 핵심비전 </t>
    </r>
    <r>
      <rPr>
        <b/>
        <sz val="11"/>
        <color rgb="FFFFFFFF"/>
        <rFont val="Malgun Gothic"/>
        <family val="3"/>
        <charset val="129"/>
      </rPr>
      <t>(SYNK</t>
    </r>
    <r>
      <rPr>
        <b/>
        <sz val="11"/>
        <color rgb="FFFFFFFF"/>
        <rFont val="Noto Sans CJK SC"/>
        <family val="2"/>
      </rPr>
      <t>에 온 이유</t>
    </r>
    <r>
      <rPr>
        <b/>
        <sz val="11"/>
        <color rgb="FFFFFFFF"/>
        <rFont val="Malgun Gothic"/>
        <family val="3"/>
        <charset val="129"/>
      </rPr>
      <t>)</t>
    </r>
  </si>
  <si>
    <t>토픽고득점</t>
  </si>
  <si>
    <t>유학진학</t>
  </si>
  <si>
    <t>취업비자</t>
  </si>
  <si>
    <r>
      <rPr>
        <sz val="10"/>
        <rFont val="Malgun Gothic"/>
        <family val="3"/>
        <charset val="129"/>
      </rPr>
      <t>K</t>
    </r>
    <r>
      <rPr>
        <sz val="10"/>
        <rFont val="Noto Sans CJK SC"/>
        <family val="2"/>
      </rPr>
      <t>컬처전문가</t>
    </r>
  </si>
  <si>
    <t>비자행정</t>
  </si>
  <si>
    <t>생활회화</t>
  </si>
  <si>
    <t>학생 카드 조회</t>
  </si>
  <si>
    <t>아래 노란 칸에서 학생 이름을 고르면 정보가 자동으로 채워집니다.</t>
  </si>
  <si>
    <t>학생 선택 →</t>
  </si>
  <si>
    <t>기본 정보</t>
  </si>
  <si>
    <t>등록일</t>
  </si>
  <si>
    <t>대학진학시기</t>
  </si>
  <si>
    <t>생년월일</t>
  </si>
  <si>
    <t>거주지역</t>
  </si>
  <si>
    <t>성별</t>
  </si>
  <si>
    <t>최종학력</t>
  </si>
  <si>
    <t>연락처</t>
  </si>
  <si>
    <t>이메일</t>
  </si>
  <si>
    <t>SNS ID</t>
  </si>
  <si>
    <t>담당크루</t>
  </si>
  <si>
    <t>보호자</t>
  </si>
  <si>
    <t>보호자명</t>
  </si>
  <si>
    <t>관계</t>
  </si>
  <si>
    <t>보호자연락처</t>
  </si>
  <si>
    <t>가족지지</t>
  </si>
  <si>
    <t>한국어 / 어학</t>
  </si>
  <si>
    <t>한국어수준</t>
  </si>
  <si>
    <r>
      <rPr>
        <b/>
        <sz val="9"/>
        <color rgb="FF1E1B4B"/>
        <rFont val="Arial"/>
        <family val="2"/>
        <charset val="1"/>
      </rPr>
      <t>TOPIK</t>
    </r>
    <r>
      <rPr>
        <b/>
        <sz val="9"/>
        <color rgb="FF1E1B4B"/>
        <rFont val="Noto Sans CJK SC"/>
        <family val="2"/>
      </rPr>
      <t>급수</t>
    </r>
  </si>
  <si>
    <r>
      <rPr>
        <b/>
        <sz val="9"/>
        <color rgb="FF1E1B4B"/>
        <rFont val="Arial"/>
        <family val="2"/>
        <charset val="1"/>
      </rPr>
      <t>TOPIK</t>
    </r>
    <r>
      <rPr>
        <b/>
        <sz val="9"/>
        <color rgb="FF1E1B4B"/>
        <rFont val="Noto Sans CJK SC"/>
        <family val="2"/>
      </rPr>
      <t>점수</t>
    </r>
  </si>
  <si>
    <r>
      <rPr>
        <b/>
        <sz val="9"/>
        <color rgb="FF1E1B4B"/>
        <rFont val="Arial"/>
        <family val="2"/>
        <charset val="1"/>
      </rPr>
      <t>TOPIK</t>
    </r>
    <r>
      <rPr>
        <b/>
        <sz val="9"/>
        <color rgb="FF1E1B4B"/>
        <rFont val="Noto Sans CJK SC"/>
        <family val="2"/>
      </rPr>
      <t>목표</t>
    </r>
  </si>
  <si>
    <r>
      <rPr>
        <b/>
        <sz val="9"/>
        <color rgb="FF1E1B4B"/>
        <rFont val="Arial"/>
        <family val="2"/>
        <charset val="1"/>
      </rPr>
      <t>TOPIK</t>
    </r>
    <r>
      <rPr>
        <b/>
        <sz val="9"/>
        <color rgb="FF1E1B4B"/>
        <rFont val="Noto Sans CJK SC"/>
        <family val="2"/>
      </rPr>
      <t>목표기한</t>
    </r>
  </si>
  <si>
    <t>기타인증서</t>
  </si>
  <si>
    <t>영어(점수/회화)</t>
  </si>
  <si>
    <t>주_핵심비전</t>
  </si>
  <si>
    <t>목표 / 진로</t>
  </si>
  <si>
    <t>핵심비전</t>
  </si>
  <si>
    <t>졸업후진로</t>
  </si>
  <si>
    <t>희망진학과정</t>
  </si>
  <si>
    <t>희망진학지역</t>
  </si>
  <si>
    <t>현재직업</t>
  </si>
  <si>
    <t>목표달성시기</t>
  </si>
  <si>
    <t>학습가능시간</t>
  </si>
  <si>
    <t>유학예산</t>
  </si>
  <si>
    <t>학비조달주체</t>
  </si>
  <si>
    <t>핵심가치관(주)</t>
  </si>
  <si>
    <t>지망 대학 / 전공</t>
  </si>
  <si>
    <t>지망대학 1</t>
  </si>
  <si>
    <t>지망전공 1</t>
  </si>
  <si>
    <t>지망대학 2</t>
  </si>
  <si>
    <t>지망대학 3</t>
  </si>
  <si>
    <t>비자 / 방문</t>
  </si>
  <si>
    <t>한국방문경험</t>
  </si>
  <si>
    <t>비자신청이력</t>
  </si>
  <si>
    <t>거절비자종류</t>
  </si>
  <si>
    <t>가족한국체류</t>
  </si>
  <si>
    <t>성향 / 학습 스타일</t>
  </si>
  <si>
    <t>성격유형</t>
  </si>
  <si>
    <t>대표강점(주)</t>
  </si>
  <si>
    <t>학습_집중</t>
  </si>
  <si>
    <t>학습_방식</t>
  </si>
  <si>
    <t>학습_태도</t>
  </si>
  <si>
    <r>
      <rPr>
        <b/>
        <sz val="9"/>
        <color rgb="FF1E1B4B"/>
        <rFont val="Arial"/>
        <family val="2"/>
        <charset val="1"/>
      </rPr>
      <t>SYNK</t>
    </r>
    <r>
      <rPr>
        <b/>
        <sz val="9"/>
        <color rgb="FF1E1B4B"/>
        <rFont val="Noto Sans CJK SC"/>
        <family val="2"/>
      </rPr>
      <t>인지경로</t>
    </r>
  </si>
  <si>
    <r>
      <rPr>
        <b/>
        <sz val="11"/>
        <color rgb="FFFFFFFF"/>
        <rFont val="Arial"/>
        <family val="2"/>
        <charset val="1"/>
      </rPr>
      <t>K</t>
    </r>
    <r>
      <rPr>
        <b/>
        <sz val="11"/>
        <color rgb="FFFFFFFF"/>
        <rFont val="Noto Sans CJK SC"/>
        <family val="2"/>
      </rPr>
      <t>컬처 관심</t>
    </r>
  </si>
  <si>
    <t>관심한국문화</t>
  </si>
  <si>
    <t>선호KPOP/드라마</t>
  </si>
  <si>
    <r>
      <rPr>
        <b/>
        <sz val="9"/>
        <color rgb="FF1E1B4B"/>
        <rFont val="Arial"/>
        <family val="2"/>
        <charset val="1"/>
      </rPr>
      <t>KPOP</t>
    </r>
    <r>
      <rPr>
        <b/>
        <sz val="9"/>
        <color rgb="FF1E1B4B"/>
        <rFont val="Noto Sans CJK SC"/>
        <family val="2"/>
      </rPr>
      <t>댄스희망</t>
    </r>
  </si>
  <si>
    <t>보컬트레이닝</t>
  </si>
  <si>
    <t>연기체험</t>
  </si>
  <si>
    <t>K뷰티메이크업</t>
  </si>
  <si>
    <t>학습경로</t>
  </si>
  <si>
    <t>자유서술→노션</t>
  </si>
  <si>
    <t>비고</t>
  </si>
  <si>
    <t>수강 / 납입</t>
  </si>
  <si>
    <t>재원상태</t>
  </si>
  <si>
    <t>수강기간</t>
  </si>
  <si>
    <t>수강료(MNT)</t>
  </si>
  <si>
    <t>최근납입일</t>
  </si>
  <si>
    <t>다음납입예정</t>
  </si>
  <si>
    <t>퇴소일</t>
  </si>
  <si>
    <t>퇴소사유</t>
  </si>
  <si>
    <t>반별 학생 조회</t>
  </si>
  <si>
    <t>반을 고르면 그 반 담당 학생만 아래에 자동으로 표시됩니다. (조회 전용 — 수정은 상담데이터입력 시트에서)</t>
  </si>
  <si>
    <t>반 선택 →</t>
  </si>
  <si>
    <t>인원</t>
  </si>
  <si>
    <t>이름(한)</t>
  </si>
  <si>
    <t>이름(몽)</t>
  </si>
  <si>
    <r>
      <rPr>
        <b/>
        <sz val="10"/>
        <color rgb="FFFFFFFF"/>
        <rFont val="Malgun Gothic"/>
        <family val="3"/>
        <charset val="129"/>
      </rPr>
      <t>TOPIK</t>
    </r>
    <r>
      <rPr>
        <b/>
        <sz val="10"/>
        <color rgb="FFFFFFFF"/>
        <rFont val="Noto Sans CJK SC"/>
        <family val="2"/>
      </rPr>
      <t>목표</t>
    </r>
  </si>
  <si>
    <t>진학시기</t>
  </si>
  <si>
    <t>출결/비고</t>
  </si>
  <si>
    <t>⚠위험신호</t>
  </si>
  <si>
    <t>◆ 관리·기본</t>
  </si>
  <si>
    <r>
      <rPr>
        <b/>
        <sz val="10"/>
        <color rgb="FFFFFFFF"/>
        <rFont val="Malgun Gothic"/>
        <family val="3"/>
        <charset val="129"/>
      </rPr>
      <t xml:space="preserve">PART 1 · </t>
    </r>
    <r>
      <rPr>
        <b/>
        <sz val="10"/>
        <color rgb="FFFFFFFF"/>
        <rFont val="Noto Sans CJK SC"/>
        <family val="2"/>
      </rPr>
      <t>인적사항</t>
    </r>
  </si>
  <si>
    <r>
      <rPr>
        <b/>
        <sz val="10"/>
        <color rgb="FFFFFFFF"/>
        <rFont val="Malgun Gothic"/>
        <family val="3"/>
        <charset val="129"/>
      </rPr>
      <t xml:space="preserve">PART 1 · </t>
    </r>
    <r>
      <rPr>
        <b/>
        <sz val="10"/>
        <color rgb="FFFFFFFF"/>
        <rFont val="Noto Sans CJK SC"/>
        <family val="2"/>
      </rPr>
      <t>어학</t>
    </r>
  </si>
  <si>
    <r>
      <rPr>
        <b/>
        <sz val="10"/>
        <color rgb="FFFFFFFF"/>
        <rFont val="Malgun Gothic"/>
        <family val="3"/>
        <charset val="129"/>
      </rPr>
      <t xml:space="preserve">PART 2 · </t>
    </r>
    <r>
      <rPr>
        <b/>
        <sz val="10"/>
        <color rgb="FFFFFFFF"/>
        <rFont val="Noto Sans CJK SC"/>
        <family val="2"/>
      </rPr>
      <t>동기</t>
    </r>
    <r>
      <rPr>
        <b/>
        <sz val="10"/>
        <color rgb="FFFFFFFF"/>
        <rFont val="Malgun Gothic"/>
        <family val="3"/>
        <charset val="129"/>
      </rPr>
      <t>·</t>
    </r>
    <r>
      <rPr>
        <b/>
        <sz val="10"/>
        <color rgb="FFFFFFFF"/>
        <rFont val="Noto Sans CJK SC"/>
        <family val="2"/>
      </rPr>
      <t>목표</t>
    </r>
  </si>
  <si>
    <r>
      <rPr>
        <b/>
        <sz val="10"/>
        <color rgb="FFFFFFFF"/>
        <rFont val="Malgun Gothic"/>
        <family val="3"/>
        <charset val="129"/>
      </rPr>
      <t xml:space="preserve">PART 3 · </t>
    </r>
    <r>
      <rPr>
        <b/>
        <sz val="10"/>
        <color rgb="FFFFFFFF"/>
        <rFont val="Noto Sans CJK SC"/>
        <family val="2"/>
      </rPr>
      <t>비자</t>
    </r>
    <r>
      <rPr>
        <b/>
        <sz val="10"/>
        <color rgb="FFFFFFFF"/>
        <rFont val="Malgun Gothic"/>
        <family val="3"/>
        <charset val="129"/>
      </rPr>
      <t>·</t>
    </r>
    <r>
      <rPr>
        <b/>
        <sz val="10"/>
        <color rgb="FFFFFFFF"/>
        <rFont val="Noto Sans CJK SC"/>
        <family val="2"/>
      </rPr>
      <t>경험</t>
    </r>
  </si>
  <si>
    <r>
      <rPr>
        <b/>
        <sz val="10"/>
        <color rgb="FFFFFFFF"/>
        <rFont val="Malgun Gothic"/>
        <family val="3"/>
        <charset val="129"/>
      </rPr>
      <t xml:space="preserve">PART 4 · </t>
    </r>
    <r>
      <rPr>
        <b/>
        <sz val="10"/>
        <color rgb="FFFFFFFF"/>
        <rFont val="Noto Sans CJK SC"/>
        <family val="2"/>
      </rPr>
      <t>학업</t>
    </r>
    <r>
      <rPr>
        <b/>
        <sz val="10"/>
        <color rgb="FFFFFFFF"/>
        <rFont val="Malgun Gothic"/>
        <family val="3"/>
        <charset val="129"/>
      </rPr>
      <t>·</t>
    </r>
    <r>
      <rPr>
        <b/>
        <sz val="10"/>
        <color rgb="FFFFFFFF"/>
        <rFont val="Noto Sans CJK SC"/>
        <family val="2"/>
      </rPr>
      <t>재정</t>
    </r>
  </si>
  <si>
    <r>
      <rPr>
        <b/>
        <sz val="10"/>
        <color rgb="FFFFFFFF"/>
        <rFont val="Malgun Gothic"/>
        <family val="3"/>
        <charset val="129"/>
      </rPr>
      <t xml:space="preserve">PART 5 · </t>
    </r>
    <r>
      <rPr>
        <b/>
        <sz val="10"/>
        <color rgb="FFFFFFFF"/>
        <rFont val="Noto Sans CJK SC"/>
        <family val="2"/>
      </rPr>
      <t>성향</t>
    </r>
    <r>
      <rPr>
        <b/>
        <sz val="10"/>
        <color rgb="FFFFFFFF"/>
        <rFont val="Malgun Gothic"/>
        <family val="3"/>
        <charset val="129"/>
      </rPr>
      <t>·K</t>
    </r>
    <r>
      <rPr>
        <b/>
        <sz val="10"/>
        <color rgb="FFFFFFFF"/>
        <rFont val="Noto Sans CJK SC"/>
        <family val="2"/>
      </rPr>
      <t>컬처</t>
    </r>
  </si>
  <si>
    <t>PART 6</t>
  </si>
  <si>
    <t>노션 / 비고</t>
  </si>
  <si>
    <t>자동</t>
  </si>
  <si>
    <t>이름(한국어)</t>
  </si>
  <si>
    <t>이름(몽골어)</t>
  </si>
  <si>
    <t>나이(자동)</t>
  </si>
  <si>
    <t>SNS_ID</t>
  </si>
  <si>
    <t>보호자관계</t>
  </si>
  <si>
    <r>
      <rPr>
        <b/>
        <sz val="9"/>
        <color rgb="FFFFFFFF"/>
        <rFont val="Malgun Gothic"/>
        <family val="3"/>
        <charset val="129"/>
      </rPr>
      <t>TOPIK</t>
    </r>
    <r>
      <rPr>
        <b/>
        <sz val="9"/>
        <color rgb="FFFFFFFF"/>
        <rFont val="Noto Sans CJK SC"/>
        <family val="2"/>
      </rPr>
      <t>급수</t>
    </r>
  </si>
  <si>
    <r>
      <rPr>
        <b/>
        <sz val="9"/>
        <color rgb="FFFFFFFF"/>
        <rFont val="Malgun Gothic"/>
        <family val="3"/>
        <charset val="129"/>
      </rPr>
      <t>TOPIK</t>
    </r>
    <r>
      <rPr>
        <b/>
        <sz val="9"/>
        <color rgb="FFFFFFFF"/>
        <rFont val="Noto Sans CJK SC"/>
        <family val="2"/>
      </rPr>
      <t>점수</t>
    </r>
  </si>
  <si>
    <r>
      <rPr>
        <b/>
        <sz val="9"/>
        <color rgb="FFFFFFFF"/>
        <rFont val="Malgun Gothic"/>
        <family val="3"/>
        <charset val="129"/>
      </rPr>
      <t>TOPIK</t>
    </r>
    <r>
      <rPr>
        <b/>
        <sz val="9"/>
        <color rgb="FFFFFFFF"/>
        <rFont val="Noto Sans CJK SC"/>
        <family val="2"/>
      </rPr>
      <t>목표</t>
    </r>
  </si>
  <si>
    <r>
      <rPr>
        <b/>
        <sz val="9"/>
        <color rgb="FFFFFFFF"/>
        <rFont val="Malgun Gothic"/>
        <family val="3"/>
        <charset val="129"/>
      </rPr>
      <t>TOPIK</t>
    </r>
    <r>
      <rPr>
        <b/>
        <sz val="9"/>
        <color rgb="FFFFFFFF"/>
        <rFont val="Noto Sans CJK SC"/>
        <family val="2"/>
      </rPr>
      <t>목표기한</t>
    </r>
  </si>
  <si>
    <t>핵심가치관</t>
  </si>
  <si>
    <t>지망대학1순위</t>
  </si>
  <si>
    <t>지망대학2순위</t>
  </si>
  <si>
    <t>지망대학3순위</t>
  </si>
  <si>
    <t>지망전공1순위</t>
  </si>
  <si>
    <t>지망전공2순위</t>
  </si>
  <si>
    <t>지망전공3순위</t>
  </si>
  <si>
    <t>대표강점</t>
  </si>
  <si>
    <t>관심K분야</t>
  </si>
  <si>
    <r>
      <rPr>
        <b/>
        <sz val="9"/>
        <color rgb="FFFFFFFF"/>
        <rFont val="Malgun Gothic"/>
        <family val="3"/>
        <charset val="129"/>
      </rPr>
      <t>KPOP</t>
    </r>
    <r>
      <rPr>
        <b/>
        <sz val="9"/>
        <color rgb="FFFFFFFF"/>
        <rFont val="Noto Sans CJK SC"/>
        <family val="2"/>
      </rPr>
      <t>댄스희망</t>
    </r>
  </si>
  <si>
    <r>
      <rPr>
        <b/>
        <sz val="9"/>
        <color rgb="FFFFFFFF"/>
        <rFont val="Malgun Gothic"/>
        <family val="3"/>
        <charset val="129"/>
      </rPr>
      <t>K</t>
    </r>
    <r>
      <rPr>
        <b/>
        <sz val="9"/>
        <color rgb="FFFFFFFF"/>
        <rFont val="Noto Sans CJK SC"/>
        <family val="2"/>
      </rPr>
      <t>뷰티메이크업</t>
    </r>
  </si>
  <si>
    <t>영어수업관심</t>
  </si>
  <si>
    <t>📝자유서술→노션</t>
  </si>
  <si>
    <t>학생ID</t>
  </si>
  <si>
    <t>⚠위험신호(자동)</t>
  </si>
  <si>
    <t>반조회순번(숨김)</t>
  </si>
  <si>
    <r>
      <rPr>
        <b/>
        <sz val="14"/>
        <color rgb="FF1E1B4B"/>
        <rFont val="Malgun Gothic"/>
        <family val="3"/>
        <charset val="129"/>
      </rPr>
      <t xml:space="preserve">SYNK </t>
    </r>
    <r>
      <rPr>
        <b/>
        <sz val="14"/>
        <color rgb="FF1E1B4B"/>
        <rFont val="Noto Sans CJK SC"/>
        <family val="2"/>
      </rPr>
      <t xml:space="preserve">수강 </t>
    </r>
    <r>
      <rPr>
        <b/>
        <sz val="14"/>
        <color rgb="FF1E1B4B"/>
        <rFont val="Malgun Gothic"/>
        <family val="3"/>
        <charset val="129"/>
      </rPr>
      <t xml:space="preserve">· </t>
    </r>
    <r>
      <rPr>
        <b/>
        <sz val="14"/>
        <color rgb="FF1E1B4B"/>
        <rFont val="Noto Sans CJK SC"/>
        <family val="2"/>
      </rPr>
      <t>납입 관리</t>
    </r>
  </si>
  <si>
    <t>① 이름 선택 → ② 초록칸(수강료·기간·최근납입일) 입력 → 끝. 나머지는 자동.  |  날짜는 2026-07-05 형식</t>
  </si>
  <si>
    <t>🔴 예정일 지남(미납) = 빨강 자동표시   |   🟡 7일 이내 납입임박 = 노랑</t>
  </si>
  <si>
    <t>학생ID
(자동)</t>
  </si>
  <si>
    <t>이름(한)
← 선택</t>
  </si>
  <si>
    <t>반
(자동)</t>
  </si>
  <si>
    <t>한국어수준
(자동)</t>
  </si>
  <si>
    <t>수강료(MNT)
★입력</t>
  </si>
  <si>
    <t>수강기간
★입력</t>
  </si>
  <si>
    <t>최근납입일
★입력</t>
  </si>
  <si>
    <t>퇴소일
(비우면 재원중)</t>
  </si>
  <si>
    <t>다음납입예정
(자동)</t>
  </si>
  <si>
    <t>재원상태
(자동)</t>
  </si>
  <si>
    <t>🏫 반 · 설정 (반명 수정은 여기 한 곳만)</t>
  </si>
  <si>
    <t>반명</t>
  </si>
  <si>
    <t>유형</t>
  </si>
  <si>
    <t>시작시간</t>
  </si>
  <si>
    <t>※ 이 표가 상담시트 드롭다운·대시보드 여석·(이관 후) 앱 schedule의 단일 원천입니다.</t>
  </si>
  <si>
    <t>정규반1</t>
  </si>
  <si>
    <t>평일</t>
  </si>
  <si>
    <t>11:00</t>
  </si>
  <si>
    <t>정규반2</t>
  </si>
  <si>
    <t>14:00</t>
  </si>
  <si>
    <t>정규반3</t>
  </si>
  <si>
    <t>15:30</t>
  </si>
  <si>
    <t>정규반4</t>
  </si>
  <si>
    <t>18:00</t>
  </si>
  <si>
    <t>집중반1</t>
  </si>
  <si>
    <t>집중반2</t>
  </si>
  <si>
    <t>집중반3</t>
  </si>
  <si>
    <t>집중반4</t>
  </si>
  <si>
    <t>집중반5</t>
  </si>
  <si>
    <t>집중반6</t>
  </si>
  <si>
    <t>주말정규반1</t>
  </si>
  <si>
    <t>주말</t>
  </si>
  <si>
    <t>주말정규반2</t>
  </si>
  <si>
    <t>주말집중반1</t>
  </si>
  <si>
    <t>주말집중반2</t>
  </si>
  <si>
    <t>주말집중반3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</si>
</sst>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7">
    <font>
      <sz val="11"/>
      <color theme="1"/>
      <name val="Calibri"/>
      <family val="2"/>
      <charset val="1"/>
    </font>
    <font>
      <b/>
      <sz val="14"/>
      <color rgb="FF1E1B4B"/>
      <name val="Cambria"/>
      <charset val="1"/>
    </font>
    <font>
      <b/>
      <sz val="14"/>
      <color rgb="FF1E1B4B"/>
      <name val="Noto Sans CJK SC"/>
      <family val="2"/>
    </font>
    <font>
      <sz val="10"/>
      <name val="Arial"/>
      <family val="2"/>
      <charset val="1"/>
    </font>
    <font>
      <b/>
      <sz val="12"/>
      <color rgb="FF1E1B4B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Noto Sans CJK SC"/>
      <family val="2"/>
    </font>
    <font>
      <b/>
      <sz val="12"/>
      <color rgb="FFF4713F"/>
      <name val="Noto Sans CJK SC"/>
      <family val="2"/>
      <charset val="1"/>
    </font>
    <font>
      <sz val="11"/>
      <color theme="1"/>
      <name val="Noto Sans CJK SC"/>
      <family val="2"/>
      <charset val="1"/>
    </font>
    <font>
      <b/>
      <sz val="10"/>
      <name val="Noto Sans CJK SC"/>
      <family val="2"/>
      <charset val="1"/>
    </font>
    <font>
      <b/>
      <sz val="16"/>
      <color rgb="FF1E1B4B"/>
      <name val="Malgun Gothic"/>
      <family val="3"/>
      <charset val="129"/>
    </font>
    <font>
      <b/>
      <sz val="16"/>
      <color rgb="FF1E1B4B"/>
      <name val="Noto Sans CJK SC"/>
      <family val="2"/>
    </font>
    <font>
      <sz val="9"/>
      <color rgb="FF64748B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b/>
      <sz val="9"/>
      <color rgb="FF64748B"/>
      <name val="Noto Sans CJK SC"/>
      <family val="2"/>
      <charset val="1"/>
    </font>
    <font>
      <b/>
      <sz val="18"/>
      <color rgb="FF4338CA"/>
      <name val="Malgun Gothic"/>
      <family val="3"/>
      <charset val="129"/>
    </font>
    <font>
      <b/>
      <sz val="18"/>
      <color rgb="FFF4713F"/>
      <name val="Malgun Gothic"/>
      <family val="3"/>
      <charset val="129"/>
    </font>
    <font>
      <sz val="8"/>
      <color rgb="FF64748B"/>
      <name val="Noto Sans CJK SC"/>
      <family val="2"/>
      <charset val="1"/>
    </font>
    <font>
      <b/>
      <sz val="15"/>
      <color rgb="FF1E1B4B"/>
      <name val="Malgun Gothic"/>
      <family val="3"/>
      <charset val="129"/>
    </font>
    <font>
      <b/>
      <sz val="15"/>
      <color rgb="FFF4713F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0"/>
      <color rgb="FFFFFFFF"/>
      <name val="Noto Sans CJK SC"/>
      <family val="2"/>
    </font>
    <font>
      <sz val="11"/>
      <color theme="1"/>
      <name val="Noto Sans CJK SC"/>
      <family val="2"/>
    </font>
    <font>
      <b/>
      <sz val="10"/>
      <color rgb="FFFFFFFF"/>
      <name val="Noto Sans CJK SC"/>
      <family val="2"/>
      <charset val="1"/>
    </font>
    <font>
      <sz val="10"/>
      <color rgb="FF4338CA"/>
      <name val="Malgun Gothic"/>
      <family val="3"/>
      <charset val="129"/>
    </font>
    <font>
      <sz val="10"/>
      <color rgb="FF000000"/>
      <name val="Noto Sans CJK SC"/>
      <family val="2"/>
    </font>
    <font>
      <sz val="10"/>
      <color rgb="FF000000"/>
      <name val="Malgun Gothic"/>
      <family val="3"/>
      <charset val="129"/>
    </font>
    <font>
      <sz val="10"/>
      <name val="Malgun Gothic"/>
      <family val="3"/>
      <charset val="129"/>
    </font>
    <font>
      <b/>
      <sz val="11"/>
      <color rgb="FFFFFFFF"/>
      <name val="Noto Sans CJK SC"/>
      <family val="2"/>
    </font>
    <font>
      <b/>
      <sz val="11"/>
      <color rgb="FFFFFFFF"/>
      <name val="Malgun Gothic"/>
      <family val="3"/>
      <charset val="129"/>
    </font>
    <font>
      <b/>
      <sz val="14"/>
      <color rgb="FF1E1B4B"/>
      <name val="Noto Sans CJK SC"/>
      <family val="2"/>
      <charset val="1"/>
    </font>
    <font>
      <b/>
      <sz val="11"/>
      <color rgb="FF1E1B4B"/>
      <name val="Noto Sans CJK SC"/>
      <family val="2"/>
      <charset val="1"/>
    </font>
    <font>
      <b/>
      <sz val="12"/>
      <color rgb="FF1E1B4B"/>
      <name val="Malgun Gothic"/>
      <family val="3"/>
      <charset val="129"/>
    </font>
    <font>
      <b/>
      <sz val="16"/>
      <color rgb="FF4338CA"/>
      <name val="Noto Sans CJK SC"/>
      <family val="2"/>
      <charset val="1"/>
    </font>
    <font>
      <b/>
      <sz val="10"/>
      <color rgb="FFC0392B"/>
      <name val="Noto Sans CJK SC"/>
      <family val="2"/>
      <charset val="1"/>
    </font>
    <font>
      <b/>
      <sz val="9"/>
      <color rgb="FF1E1B4B"/>
      <name val="Noto Sans CJK SC"/>
      <family val="2"/>
      <charset val="1"/>
    </font>
    <font>
      <sz val="11"/>
      <color rgb="FF000000"/>
      <name val="Arial"/>
      <family val="2"/>
      <charset val="1"/>
    </font>
    <font>
      <b/>
      <sz val="9"/>
      <color rgb="FF1E1B4B"/>
      <name val="Arial"/>
      <family val="2"/>
      <charset val="1"/>
    </font>
    <font>
      <b/>
      <sz val="9"/>
      <color rgb="FF1E1B4B"/>
      <name val="Noto Sans CJK SC"/>
      <family val="2"/>
    </font>
    <font>
      <b/>
      <sz val="11"/>
      <color rgb="FFFFFFFF"/>
      <name val="Arial"/>
      <family val="2"/>
      <charset val="1"/>
    </font>
    <font>
      <b/>
      <sz val="14"/>
      <color rgb="FF4338CA"/>
      <name val="Malgun Gothic"/>
      <family val="3"/>
      <charset val="129"/>
    </font>
    <font>
      <sz val="9"/>
      <color rgb="FF000000"/>
      <name val="Noto Sans CJK SC"/>
      <family val="2"/>
      <charset val="1"/>
    </font>
    <font>
      <sz val="9"/>
      <color rgb="FF000000"/>
      <name val="Arial"/>
      <family val="2"/>
      <charset val="1"/>
    </font>
    <font>
      <sz val="9"/>
      <color rgb="FFC0392B"/>
      <name val="Noto Sans CJK SC"/>
      <family val="2"/>
      <charset val="1"/>
    </font>
    <font>
      <sz val="9"/>
      <color rgb="FFC0392B"/>
      <name val="Arial"/>
      <family val="2"/>
      <charset val="1"/>
    </font>
    <font>
      <b/>
      <sz val="9"/>
      <color rgb="FFFFFFFF"/>
      <name val="Noto Sans CJK SC"/>
      <family val="2"/>
      <charset val="1"/>
    </font>
    <font>
      <b/>
      <sz val="9"/>
      <color rgb="FFFFFFFF"/>
      <name val="Malgun Gothic"/>
      <family val="3"/>
      <charset val="129"/>
    </font>
    <font>
      <b/>
      <sz val="9"/>
      <color rgb="FFFFFFFF"/>
      <name val="Noto Sans CJK SC"/>
      <family val="2"/>
    </font>
    <font>
      <b/>
      <sz val="14"/>
      <color rgb="FF1E1B4B"/>
      <name val="Malgun Gothic"/>
      <family val="3"/>
      <charset val="129"/>
    </font>
    <font>
      <b/>
      <sz val="10"/>
      <color rgb="FF54607A"/>
      <name val="Noto Sans CJK SC"/>
      <charset val="1"/>
    </font>
    <font>
      <b/>
      <sz val="9"/>
      <color rgb="FFC0392B"/>
      <name val="Noto Sans CJK SC"/>
      <charset val="1"/>
    </font>
    <font>
      <sz val="10"/>
      <color rgb="FF444444"/>
      <name val="Arial"/>
      <family val="2"/>
      <charset val="1"/>
    </font>
    <font>
      <b/>
      <sz val="10"/>
      <color rgb="FF000000"/>
      <name val="Noto Sans CJK SC"/>
      <family val="2"/>
      <charset val="1"/>
    </font>
    <font>
      <b/>
      <sz val="10"/>
      <color rgb="FF000000"/>
      <name val="Arial"/>
      <family val="2"/>
      <charset val="1"/>
    </font>
    <font>
      <b/>
      <sz val="13"/>
      <color rgb="FF1E1B4B"/>
      <name val="Noto Sans CJK SC"/>
      <family val="2"/>
      <charset val="1"/>
    </font>
    <font>
      <b/>
      <sz val="14"/>
      <color rgb="FF1E1B4B"/>
      <name val="Cambria"/>
      <family val="1"/>
    </font>
    <font>
      <sz val="8"/>
      <name val="돋움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rgb="FF4338CA"/>
        <bgColor rgb="FF7C3AED"/>
      </patternFill>
    </fill>
    <fill>
      <patternFill patternType="solid">
        <fgColor rgb="FFEEF0FB"/>
        <bgColor rgb="FFF0F1FB"/>
      </patternFill>
    </fill>
    <fill>
      <patternFill patternType="solid">
        <fgColor rgb="FFF7F8FE"/>
        <bgColor rgb="FFF7F8FC"/>
      </patternFill>
    </fill>
    <fill>
      <patternFill patternType="solid">
        <fgColor rgb="FFF5A623"/>
        <bgColor rgb="FFF4713F"/>
      </patternFill>
    </fill>
    <fill>
      <patternFill patternType="solid">
        <fgColor rgb="FF0EA5E9"/>
        <bgColor rgb="FF2E9E6B"/>
      </patternFill>
    </fill>
    <fill>
      <patternFill patternType="solid">
        <fgColor rgb="FFF5F6FA"/>
        <bgColor rgb="FFF4F5F7"/>
      </patternFill>
    </fill>
    <fill>
      <patternFill patternType="solid">
        <fgColor rgb="FF1E1B4B"/>
        <bgColor rgb="FF000080"/>
      </patternFill>
    </fill>
    <fill>
      <patternFill patternType="solid">
        <fgColor rgb="FF7C3AED"/>
        <bgColor rgb="FF9333EA"/>
      </patternFill>
    </fill>
    <fill>
      <patternFill patternType="solid">
        <fgColor rgb="FFF4713F"/>
        <bgColor rgb="FFF5A623"/>
      </patternFill>
    </fill>
    <fill>
      <patternFill patternType="solid">
        <fgColor rgb="FFFFF3D6"/>
        <bgColor rgb="FFFFF6E0"/>
      </patternFill>
    </fill>
    <fill>
      <patternFill patternType="solid">
        <fgColor rgb="FFFFF6E5"/>
        <bgColor rgb="FFFFF7E6"/>
      </patternFill>
    </fill>
    <fill>
      <patternFill patternType="solid">
        <fgColor rgb="FFE8EAF6"/>
        <bgColor rgb="FFEEF0FB"/>
      </patternFill>
    </fill>
    <fill>
      <patternFill patternType="solid">
        <fgColor rgb="FFFFFFFF"/>
        <bgColor rgb="FFF7F8FE"/>
      </patternFill>
    </fill>
    <fill>
      <patternFill patternType="solid">
        <fgColor rgb="FF64748B"/>
        <bgColor rgb="FF54607A"/>
      </patternFill>
    </fill>
    <fill>
      <patternFill patternType="solid">
        <fgColor rgb="FF2563EB"/>
        <bgColor rgb="FF4338CA"/>
      </patternFill>
    </fill>
    <fill>
      <patternFill patternType="solid">
        <fgColor rgb="FF2E9E6B"/>
        <bgColor rgb="FF64748B"/>
      </patternFill>
    </fill>
    <fill>
      <patternFill patternType="solid">
        <fgColor rgb="FF9333EA"/>
        <bgColor rgb="FF7C3AED"/>
      </patternFill>
    </fill>
    <fill>
      <patternFill patternType="solid">
        <fgColor rgb="FFF4F5F7"/>
        <bgColor rgb="FFF5F6FA"/>
      </patternFill>
    </fill>
    <fill>
      <patternFill patternType="solid">
        <fgColor rgb="FFF0F1FB"/>
        <bgColor rgb="FFEEF0FB"/>
      </patternFill>
    </fill>
    <fill>
      <patternFill patternType="solid">
        <fgColor rgb="FFEFF4FD"/>
        <bgColor rgb="FFF0F1FB"/>
      </patternFill>
    </fill>
    <fill>
      <patternFill patternType="solid">
        <fgColor rgb="FFFDF3F0"/>
        <bgColor rgb="FFFFF0EA"/>
      </patternFill>
    </fill>
    <fill>
      <patternFill patternType="solid">
        <fgColor rgb="FFF6F1FC"/>
        <bgColor rgb="FFF8F0FD"/>
      </patternFill>
    </fill>
    <fill>
      <patternFill patternType="solid">
        <fgColor rgb="FFFDF7EC"/>
        <bgColor rgb="FFFFF7E6"/>
      </patternFill>
    </fill>
    <fill>
      <patternFill patternType="solid">
        <fgColor rgb="FFEFF8FC"/>
        <bgColor rgb="FFEFF8F3"/>
      </patternFill>
    </fill>
    <fill>
      <patternFill patternType="solid">
        <fgColor rgb="FFF0F0F5"/>
        <bgColor rgb="FFF0F1FB"/>
      </patternFill>
    </fill>
    <fill>
      <patternFill patternType="solid">
        <fgColor rgb="FFEFF8F3"/>
        <bgColor rgb="FFEFF8FC"/>
      </patternFill>
    </fill>
    <fill>
      <patternFill patternType="solid">
        <fgColor rgb="FFF8F0FD"/>
        <bgColor rgb="FFF6F1FC"/>
      </patternFill>
    </fill>
    <fill>
      <patternFill patternType="solid">
        <fgColor rgb="FFFFF0EA"/>
        <bgColor rgb="FFFDF3F0"/>
      </patternFill>
    </fill>
    <fill>
      <patternFill patternType="solid">
        <fgColor rgb="FFFFF7E6"/>
        <bgColor rgb="FFFFF6E5"/>
      </patternFill>
    </fill>
  </fills>
  <borders count="8">
    <border>
      <left/>
      <right/>
      <top/>
      <bottom/>
      <diagonal/>
    </border>
    <border>
      <left style="thin">
        <color rgb="FFD9DCE8"/>
      </left>
      <right style="thin">
        <color rgb="FFD9DCE8"/>
      </right>
      <top style="thin">
        <color rgb="FFEEF0FB"/>
      </top>
      <bottom style="thin">
        <color rgb="FFD9DCE8"/>
      </bottom>
      <diagonal/>
    </border>
    <border>
      <left style="thin">
        <color rgb="FFD9DCE8"/>
      </left>
      <right style="thin">
        <color rgb="FFD9DCE8"/>
      </right>
      <top style="thin">
        <color rgb="FFD9DCE8"/>
      </top>
      <bottom style="thin">
        <color rgb="FFEEF0FB"/>
      </bottom>
      <diagonal/>
    </border>
    <border>
      <left style="thin">
        <color rgb="FFD9DCE8"/>
      </left>
      <right style="thin">
        <color rgb="FFD9DCE8"/>
      </right>
      <top style="thin">
        <color rgb="FFD9DCE8"/>
      </top>
      <bottom style="thin">
        <color rgb="FFD9DCE8"/>
      </bottom>
      <diagonal/>
    </border>
    <border>
      <left style="medium">
        <color rgb="FF4338CA"/>
      </left>
      <right style="medium">
        <color rgb="FF4338CA"/>
      </right>
      <top style="medium">
        <color rgb="FF4338CA"/>
      </top>
      <bottom style="medium">
        <color rgb="FF4338CA"/>
      </bottom>
      <diagonal/>
    </border>
    <border>
      <left style="thin">
        <color rgb="FFD0D2E0"/>
      </left>
      <right style="thin">
        <color rgb="FFD0D2E0"/>
      </right>
      <top style="thin">
        <color rgb="FFD0D2E0"/>
      </top>
      <bottom style="thin">
        <color rgb="FFD0D2E0"/>
      </bottom>
      <diagonal/>
    </border>
    <border>
      <left/>
      <right/>
      <top/>
      <bottom style="hair">
        <color rgb="FFD9D9D9"/>
      </bottom>
      <diagonal/>
    </border>
    <border>
      <left style="thin">
        <color rgb="FFD9DCE6"/>
      </left>
      <right style="thin">
        <color rgb="FFD9DCE6"/>
      </right>
      <top style="thin">
        <color rgb="FFD9DCE6"/>
      </top>
      <bottom style="thin">
        <color rgb="FFD9DCE6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50" fillId="0" borderId="0" xfId="0" applyFont="1"/>
    <xf numFmtId="0" fontId="49" fillId="0" borderId="0" xfId="0" applyFont="1"/>
    <xf numFmtId="0" fontId="48" fillId="0" borderId="0" xfId="0" applyFont="1"/>
    <xf numFmtId="0" fontId="36" fillId="14" borderId="5" xfId="0" applyFont="1" applyFill="1" applyBorder="1" applyAlignment="1">
      <alignment horizontal="left" vertical="center"/>
    </xf>
    <xf numFmtId="0" fontId="39" fillId="10" borderId="0" xfId="0" applyFont="1" applyFill="1" applyAlignment="1">
      <alignment horizontal="left" vertical="center" indent="1"/>
    </xf>
    <xf numFmtId="0" fontId="13" fillId="10" borderId="0" xfId="0" applyFont="1" applyFill="1" applyAlignment="1">
      <alignment horizontal="left" vertical="center" indent="1"/>
    </xf>
    <xf numFmtId="0" fontId="34" fillId="12" borderId="0" xfId="0" applyFont="1" applyFill="1" applyAlignment="1">
      <alignment horizontal="left" vertical="center" wrapText="1" indent="1"/>
    </xf>
    <xf numFmtId="0" fontId="33" fillId="0" borderId="0" xfId="0" applyFont="1" applyAlignment="1">
      <alignment horizontal="left" indent="1"/>
    </xf>
    <xf numFmtId="0" fontId="32" fillId="11" borderId="4" xfId="0" applyFont="1" applyFill="1" applyBorder="1" applyAlignment="1">
      <alignment horizontal="center"/>
    </xf>
    <xf numFmtId="0" fontId="12" fillId="0" borderId="0" xfId="0" applyFont="1" applyAlignment="1">
      <alignment horizontal="left" indent="1"/>
    </xf>
    <xf numFmtId="0" fontId="30" fillId="2" borderId="0" xfId="0" applyFont="1" applyFill="1" applyAlignment="1">
      <alignment horizontal="left" vertical="center" inden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/>
    <xf numFmtId="0" fontId="3" fillId="0" borderId="0" xfId="0" applyFont="1"/>
    <xf numFmtId="0" fontId="9" fillId="0" borderId="0" xfId="0" applyFont="1"/>
    <xf numFmtId="0" fontId="5" fillId="0" borderId="0" xfId="0" applyFont="1"/>
    <xf numFmtId="0" fontId="10" fillId="0" borderId="0" xfId="0" applyFont="1"/>
    <xf numFmtId="0" fontId="12" fillId="0" borderId="0" xfId="0" applyFont="1"/>
    <xf numFmtId="0" fontId="13" fillId="2" borderId="0" xfId="0" applyFont="1" applyFill="1" applyAlignment="1">
      <alignment vertical="center" indent="1"/>
    </xf>
    <xf numFmtId="0" fontId="0" fillId="2" borderId="0" xfId="0" applyFill="1"/>
    <xf numFmtId="0" fontId="14" fillId="3" borderId="1" xfId="0" applyFont="1" applyFill="1" applyBorder="1" applyAlignment="1">
      <alignment horizontal="center"/>
    </xf>
    <xf numFmtId="0" fontId="15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3" fillId="5" borderId="0" xfId="0" applyFont="1" applyFill="1" applyAlignment="1">
      <alignment vertical="center" indent="1"/>
    </xf>
    <xf numFmtId="0" fontId="0" fillId="5" borderId="0" xfId="0" applyFill="1"/>
    <xf numFmtId="0" fontId="14" fillId="3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3" fillId="6" borderId="0" xfId="0" applyFont="1" applyFill="1" applyAlignment="1">
      <alignment vertical="center" indent="1"/>
    </xf>
    <xf numFmtId="0" fontId="0" fillId="6" borderId="0" xfId="0" applyFill="1"/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0" fillId="7" borderId="3" xfId="0" applyFill="1" applyBorder="1"/>
    <xf numFmtId="0" fontId="8" fillId="7" borderId="3" xfId="0" applyFont="1" applyFill="1" applyBorder="1"/>
    <xf numFmtId="0" fontId="0" fillId="0" borderId="3" xfId="0" applyBorder="1"/>
    <xf numFmtId="0" fontId="8" fillId="0" borderId="3" xfId="0" applyFont="1" applyBorder="1"/>
    <xf numFmtId="0" fontId="13" fillId="8" borderId="0" xfId="0" applyFont="1" applyFill="1" applyAlignment="1">
      <alignment vertical="center" indent="1"/>
    </xf>
    <xf numFmtId="0" fontId="0" fillId="8" borderId="0" xfId="0" applyFill="1"/>
    <xf numFmtId="0" fontId="23" fillId="8" borderId="0" xfId="0" applyFont="1" applyFill="1" applyAlignment="1">
      <alignment horizontal="center" vertical="center"/>
    </xf>
    <xf numFmtId="0" fontId="24" fillId="7" borderId="3" xfId="0" applyFont="1" applyFill="1" applyBorder="1"/>
    <xf numFmtId="0" fontId="24" fillId="0" borderId="3" xfId="0" applyFont="1" applyBorder="1"/>
    <xf numFmtId="0" fontId="25" fillId="7" borderId="3" xfId="0" applyFont="1" applyFill="1" applyBorder="1" applyAlignment="1">
      <alignment vertical="center" indent="1"/>
    </xf>
    <xf numFmtId="0" fontId="26" fillId="7" borderId="3" xfId="0" applyFont="1" applyFill="1" applyBorder="1"/>
    <xf numFmtId="0" fontId="0" fillId="9" borderId="0" xfId="0" applyFill="1"/>
    <xf numFmtId="0" fontId="27" fillId="0" borderId="0" xfId="0" applyFont="1"/>
    <xf numFmtId="0" fontId="28" fillId="9" borderId="0" xfId="0" applyFont="1" applyFill="1" applyAlignment="1">
      <alignment vertical="center" indent="1"/>
    </xf>
    <xf numFmtId="0" fontId="27" fillId="9" borderId="0" xfId="0" applyFont="1" applyFill="1"/>
    <xf numFmtId="0" fontId="6" fillId="7" borderId="3" xfId="0" applyFont="1" applyFill="1" applyBorder="1"/>
    <xf numFmtId="0" fontId="27" fillId="7" borderId="3" xfId="0" applyFont="1" applyFill="1" applyBorder="1"/>
    <xf numFmtId="0" fontId="6" fillId="0" borderId="3" xfId="0" applyFont="1" applyBorder="1"/>
    <xf numFmtId="0" fontId="27" fillId="0" borderId="3" xfId="0" applyFont="1" applyBorder="1"/>
    <xf numFmtId="0" fontId="27" fillId="0" borderId="3" xfId="0" applyFont="1" applyBorder="1" applyAlignment="1">
      <alignment vertical="center" indent="1"/>
    </xf>
    <xf numFmtId="0" fontId="28" fillId="10" borderId="0" xfId="0" applyFont="1" applyFill="1" applyAlignment="1">
      <alignment vertical="center" indent="1"/>
    </xf>
    <xf numFmtId="0" fontId="27" fillId="10" borderId="0" xfId="0" applyFont="1" applyFill="1"/>
    <xf numFmtId="0" fontId="31" fillId="0" borderId="0" xfId="0" applyFont="1" applyAlignment="1">
      <alignment horizontal="right" vertical="center"/>
    </xf>
    <xf numFmtId="0" fontId="35" fillId="13" borderId="5" xfId="0" applyFont="1" applyFill="1" applyBorder="1" applyAlignment="1">
      <alignment horizontal="right" vertical="center" indent="1"/>
    </xf>
    <xf numFmtId="176" fontId="36" fillId="14" borderId="5" xfId="0" applyNumberFormat="1" applyFont="1" applyFill="1" applyBorder="1" applyAlignment="1">
      <alignment horizontal="left" vertical="center"/>
    </xf>
    <xf numFmtId="0" fontId="36" fillId="14" borderId="5" xfId="0" applyFont="1" applyFill="1" applyBorder="1" applyAlignment="1">
      <alignment horizontal="left" vertical="center"/>
    </xf>
    <xf numFmtId="0" fontId="37" fillId="13" borderId="5" xfId="0" applyFont="1" applyFill="1" applyBorder="1" applyAlignment="1">
      <alignment horizontal="right" vertical="center" indent="1"/>
    </xf>
    <xf numFmtId="3" fontId="36" fillId="14" borderId="5" xfId="0" applyNumberFormat="1" applyFont="1" applyFill="1" applyBorder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40" fillId="3" borderId="5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41" fillId="7" borderId="3" xfId="0" applyFont="1" applyFill="1" applyBorder="1" applyAlignment="1">
      <alignment horizontal="left" vertical="center"/>
    </xf>
    <xf numFmtId="0" fontId="42" fillId="7" borderId="3" xfId="0" applyFont="1" applyFill="1" applyBorder="1" applyAlignment="1">
      <alignment horizontal="center" vertical="center"/>
    </xf>
    <xf numFmtId="0" fontId="42" fillId="7" borderId="3" xfId="0" applyFont="1" applyFill="1" applyBorder="1" applyAlignment="1">
      <alignment horizontal="left" vertical="center" wrapText="1"/>
    </xf>
    <xf numFmtId="0" fontId="43" fillId="7" borderId="3" xfId="0" applyFont="1" applyFill="1" applyBorder="1" applyAlignment="1">
      <alignment horizontal="left" vertical="center" wrapText="1"/>
    </xf>
    <xf numFmtId="0" fontId="42" fillId="14" borderId="3" xfId="0" applyFont="1" applyFill="1" applyBorder="1" applyAlignment="1">
      <alignment horizontal="left" vertical="center"/>
    </xf>
    <xf numFmtId="0" fontId="42" fillId="14" borderId="3" xfId="0" applyFont="1" applyFill="1" applyBorder="1" applyAlignment="1">
      <alignment horizontal="center" vertical="center"/>
    </xf>
    <xf numFmtId="0" fontId="42" fillId="14" borderId="3" xfId="0" applyFont="1" applyFill="1" applyBorder="1" applyAlignment="1">
      <alignment horizontal="left" vertical="center" wrapText="1"/>
    </xf>
    <xf numFmtId="0" fontId="44" fillId="14" borderId="3" xfId="0" applyFont="1" applyFill="1" applyBorder="1" applyAlignment="1">
      <alignment horizontal="left" vertical="center" wrapText="1"/>
    </xf>
    <xf numFmtId="0" fontId="23" fillId="15" borderId="0" xfId="0" applyFont="1" applyFill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3" fillId="17" borderId="0" xfId="0" applyFont="1" applyFill="1" applyAlignment="1">
      <alignment horizontal="center" vertical="center"/>
    </xf>
    <xf numFmtId="0" fontId="23" fillId="18" borderId="0" xfId="0" applyFont="1" applyFill="1" applyAlignment="1">
      <alignment horizontal="center" vertical="center"/>
    </xf>
    <xf numFmtId="0" fontId="45" fillId="15" borderId="0" xfId="0" applyFont="1" applyFill="1" applyAlignment="1">
      <alignment horizontal="center" vertical="center" wrapText="1"/>
    </xf>
    <xf numFmtId="0" fontId="45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46" fillId="16" borderId="0" xfId="0" applyFont="1" applyFill="1" applyAlignment="1">
      <alignment horizontal="center" vertical="center" wrapText="1"/>
    </xf>
    <xf numFmtId="0" fontId="45" fillId="16" borderId="0" xfId="0" applyFont="1" applyFill="1" applyAlignment="1">
      <alignment horizontal="center" vertical="center" wrapText="1"/>
    </xf>
    <xf numFmtId="0" fontId="45" fillId="10" borderId="0" xfId="0" applyFont="1" applyFill="1" applyAlignment="1">
      <alignment horizontal="center" vertical="center" wrapText="1"/>
    </xf>
    <xf numFmtId="0" fontId="46" fillId="10" borderId="0" xfId="0" applyFont="1" applyFill="1" applyAlignment="1">
      <alignment horizontal="center" vertical="center" wrapText="1"/>
    </xf>
    <xf numFmtId="0" fontId="45" fillId="9" borderId="0" xfId="0" applyFont="1" applyFill="1" applyAlignment="1">
      <alignment horizontal="center" vertical="center" wrapText="1"/>
    </xf>
    <xf numFmtId="0" fontId="45" fillId="5" borderId="0" xfId="0" applyFont="1" applyFill="1" applyAlignment="1">
      <alignment horizontal="center" vertical="center" wrapText="1"/>
    </xf>
    <xf numFmtId="0" fontId="45" fillId="6" borderId="0" xfId="0" applyFont="1" applyFill="1" applyAlignment="1">
      <alignment horizontal="center" vertical="center" wrapText="1"/>
    </xf>
    <xf numFmtId="0" fontId="46" fillId="6" borderId="0" xfId="0" applyFont="1" applyFill="1" applyAlignment="1">
      <alignment horizontal="center" vertical="center" wrapText="1"/>
    </xf>
    <xf numFmtId="0" fontId="45" fillId="8" borderId="0" xfId="0" applyFont="1" applyFill="1" applyAlignment="1">
      <alignment horizontal="center" vertical="center" wrapText="1"/>
    </xf>
    <xf numFmtId="0" fontId="45" fillId="17" borderId="0" xfId="0" applyFont="1" applyFill="1" applyAlignment="1">
      <alignment horizontal="center" vertical="center" wrapText="1"/>
    </xf>
    <xf numFmtId="0" fontId="45" fillId="18" borderId="0" xfId="0" applyFont="1" applyFill="1" applyAlignment="1">
      <alignment horizontal="center" vertical="center" wrapText="1"/>
    </xf>
    <xf numFmtId="0" fontId="8" fillId="19" borderId="6" xfId="0" applyFont="1" applyFill="1" applyBorder="1"/>
    <xf numFmtId="0" fontId="0" fillId="19" borderId="6" xfId="0" applyFill="1" applyBorder="1"/>
    <xf numFmtId="176" fontId="0" fillId="19" borderId="6" xfId="0" applyNumberFormat="1" applyFill="1" applyBorder="1"/>
    <xf numFmtId="176" fontId="0" fillId="20" borderId="6" xfId="0" applyNumberFormat="1" applyFill="1" applyBorder="1"/>
    <xf numFmtId="0" fontId="0" fillId="20" borderId="6" xfId="0" applyFill="1" applyBorder="1"/>
    <xf numFmtId="0" fontId="0" fillId="21" borderId="6" xfId="0" applyFill="1" applyBorder="1"/>
    <xf numFmtId="0" fontId="8" fillId="21" borderId="6" xfId="0" applyFont="1" applyFill="1" applyBorder="1"/>
    <xf numFmtId="0" fontId="0" fillId="22" borderId="6" xfId="0" applyFill="1" applyBorder="1"/>
    <xf numFmtId="0" fontId="0" fillId="23" borderId="6" xfId="0" applyFill="1" applyBorder="1"/>
    <xf numFmtId="0" fontId="0" fillId="24" borderId="6" xfId="0" applyFill="1" applyBorder="1"/>
    <xf numFmtId="0" fontId="8" fillId="24" borderId="6" xfId="0" applyFont="1" applyFill="1" applyBorder="1"/>
    <xf numFmtId="0" fontId="0" fillId="25" borderId="6" xfId="0" applyFill="1" applyBorder="1"/>
    <xf numFmtId="0" fontId="8" fillId="25" borderId="6" xfId="0" applyFont="1" applyFill="1" applyBorder="1"/>
    <xf numFmtId="0" fontId="0" fillId="26" borderId="6" xfId="0" applyFill="1" applyBorder="1"/>
    <xf numFmtId="0" fontId="0" fillId="27" borderId="6" xfId="0" applyFill="1" applyBorder="1"/>
    <xf numFmtId="0" fontId="0" fillId="28" borderId="6" xfId="0" applyFill="1" applyBorder="1"/>
    <xf numFmtId="0" fontId="8" fillId="23" borderId="6" xfId="0" applyFont="1" applyFill="1" applyBorder="1"/>
    <xf numFmtId="0" fontId="45" fillId="8" borderId="7" xfId="0" applyFont="1" applyFill="1" applyBorder="1" applyAlignment="1">
      <alignment horizontal="center" vertical="center" wrapText="1"/>
    </xf>
    <xf numFmtId="0" fontId="51" fillId="0" borderId="7" xfId="0" applyFont="1" applyBorder="1" applyAlignment="1">
      <alignment horizontal="center" vertical="center" wrapText="1"/>
    </xf>
    <xf numFmtId="0" fontId="52" fillId="29" borderId="7" xfId="0" applyFont="1" applyFill="1" applyBorder="1" applyAlignment="1">
      <alignment horizontal="center" vertical="center" wrapText="1"/>
    </xf>
    <xf numFmtId="3" fontId="53" fillId="30" borderId="7" xfId="0" applyNumberFormat="1" applyFont="1" applyFill="1" applyBorder="1" applyAlignment="1">
      <alignment horizontal="center" vertical="center" wrapText="1"/>
    </xf>
    <xf numFmtId="0" fontId="53" fillId="30" borderId="7" xfId="0" applyFont="1" applyFill="1" applyBorder="1" applyAlignment="1">
      <alignment horizontal="center" vertical="center" wrapText="1"/>
    </xf>
    <xf numFmtId="176" fontId="53" fillId="30" borderId="7" xfId="0" applyNumberFormat="1" applyFont="1" applyFill="1" applyBorder="1" applyAlignment="1">
      <alignment horizontal="center" vertical="center" wrapText="1"/>
    </xf>
    <xf numFmtId="0" fontId="53" fillId="30" borderId="7" xfId="0" applyFont="1" applyFill="1" applyBorder="1" applyAlignment="1">
      <alignment horizontal="left" vertical="center"/>
    </xf>
    <xf numFmtId="176" fontId="51" fillId="0" borderId="7" xfId="0" applyNumberFormat="1" applyFont="1" applyBorder="1" applyAlignment="1">
      <alignment horizontal="center" vertical="center" wrapText="1"/>
    </xf>
    <xf numFmtId="0" fontId="53" fillId="29" borderId="7" xfId="0" applyFont="1" applyFill="1" applyBorder="1" applyAlignment="1">
      <alignment horizontal="center" vertical="center" wrapText="1"/>
    </xf>
    <xf numFmtId="0" fontId="54" fillId="0" borderId="0" xfId="0" applyFont="1"/>
    <xf numFmtId="0" fontId="23" fillId="8" borderId="0" xfId="0" applyFont="1" applyFill="1" applyAlignment="1">
      <alignment horizontal="center"/>
    </xf>
  </cellXfs>
  <cellStyles count="1">
    <cellStyle name="표준" xfId="0" builtinId="0"/>
  </cellStyles>
  <dxfs count="6">
    <dxf>
      <fill>
        <patternFill>
          <bgColor rgb="FFF7F8FC"/>
        </patternFill>
      </fill>
    </dxf>
    <dxf>
      <font>
        <sz val="10"/>
        <color rgb="FF999999"/>
        <name val="Arial"/>
        <charset val="1"/>
      </font>
    </dxf>
    <dxf>
      <fill>
        <patternFill>
          <bgColor rgb="FFFFF6E0"/>
        </patternFill>
      </fill>
    </dxf>
    <dxf>
      <font>
        <b/>
        <sz val="10"/>
        <color rgb="FFC0392B"/>
        <name val="Arial"/>
        <charset val="1"/>
      </font>
      <fill>
        <patternFill>
          <bgColor rgb="FFFDE7E7"/>
        </patternFill>
      </fill>
    </dxf>
    <dxf>
      <fill>
        <patternFill>
          <bgColor rgb="FFF5A623"/>
        </patternFill>
      </fill>
    </dxf>
    <dxf>
      <font>
        <b/>
        <color rgb="FFFFFFFF"/>
      </font>
      <fill>
        <patternFill>
          <bgColor rgb="FFF4713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5F6FA"/>
      <rgbColor rgb="FF0000FF"/>
      <rgbColor rgb="FFFFF6E5"/>
      <rgbColor rgb="FFF7F8FE"/>
      <rgbColor rgb="FFEFF4FD"/>
      <rgbColor rgb="FF800000"/>
      <rgbColor rgb="FFFDF7EC"/>
      <rgbColor rgb="FF000080"/>
      <rgbColor rgb="FFF6F1FC"/>
      <rgbColor rgb="FF800080"/>
      <rgbColor rgb="FFF8F0FD"/>
      <rgbColor rgb="FFD9D9D9"/>
      <rgbColor rgb="FF54607A"/>
      <rgbColor rgb="FF8B93E8"/>
      <rgbColor rgb="FF9333EA"/>
      <rgbColor rgb="FFFFF6E0"/>
      <rgbColor rgb="FFEFF8FC"/>
      <rgbColor rgb="FF660066"/>
      <rgbColor rgb="FFF0F0F5"/>
      <rgbColor rgb="FFF7F8FC"/>
      <rgbColor rgb="FFD0D2E0"/>
      <rgbColor rgb="FF000080"/>
      <rgbColor rgb="FFFF00FF"/>
      <rgbColor rgb="FFFFF7E6"/>
      <rgbColor rgb="FFF4F5F7"/>
      <rgbColor rgb="FF800080"/>
      <rgbColor rgb="FF800000"/>
      <rgbColor rgb="FFFDF3F0"/>
      <rgbColor rgb="FF0000FF"/>
      <rgbColor rgb="FF0EA5E9"/>
      <rgbColor rgb="FFEFF8F3"/>
      <rgbColor rgb="FFE8EAF6"/>
      <rgbColor rgb="FFFFF3D6"/>
      <rgbColor rgb="FFD9DCE8"/>
      <rgbColor rgb="FFD9DCE6"/>
      <rgbColor rgb="FFA6A6A6"/>
      <rgbColor rgb="FFFDE7E7"/>
      <rgbColor rgb="FF2563EB"/>
      <rgbColor rgb="FFF0F1FB"/>
      <rgbColor rgb="FFEEF0FB"/>
      <rgbColor rgb="FFFFF0EA"/>
      <rgbColor rgb="FFF5A623"/>
      <rgbColor rgb="FFF4713F"/>
      <rgbColor rgb="FF64748B"/>
      <rgbColor rgb="FF999999"/>
      <rgbColor rgb="FF1E1B4B"/>
      <rgbColor rgb="FF2E9E6B"/>
      <rgbColor rgb="FF003300"/>
      <rgbColor rgb="FF333300"/>
      <rgbColor rgb="FFC0392B"/>
      <rgbColor rgb="FF7C3AED"/>
      <rgbColor rgb="FF4338CA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DCE8"/>
  </sheetPr>
  <dimension ref="A1:A49"/>
  <sheetViews>
    <sheetView showGridLines="0" zoomScaleNormal="100" workbookViewId="0"/>
  </sheetViews>
  <sheetFormatPr defaultColWidth="8.6640625" defaultRowHeight="14.25"/>
  <cols>
    <col min="1" max="1" width="100" customWidth="1"/>
  </cols>
  <sheetData>
    <row r="1" spans="1:1" ht="18.75" customHeight="1">
      <c r="A1" s="12" t="s">
        <v>0</v>
      </c>
    </row>
    <row r="2" spans="1:1" ht="15" customHeight="1">
      <c r="A2" s="13"/>
    </row>
    <row r="3" spans="1:1" ht="18.75" customHeight="1">
      <c r="A3" s="14" t="s">
        <v>1</v>
      </c>
    </row>
    <row r="4" spans="1:1" ht="15" customHeight="1">
      <c r="A4" s="15" t="s">
        <v>2</v>
      </c>
    </row>
    <row r="5" spans="1:1" ht="15" customHeight="1">
      <c r="A5" s="15" t="s">
        <v>3</v>
      </c>
    </row>
    <row r="6" spans="1:1" ht="15" customHeight="1">
      <c r="A6" s="13"/>
    </row>
    <row r="7" spans="1:1" ht="18.75" customHeight="1">
      <c r="A7" s="14" t="s">
        <v>4</v>
      </c>
    </row>
    <row r="8" spans="1:1" ht="15" customHeight="1">
      <c r="A8" s="13" t="s">
        <v>5</v>
      </c>
    </row>
    <row r="9" spans="1:1" ht="15" customHeight="1">
      <c r="A9" s="13" t="s">
        <v>6</v>
      </c>
    </row>
    <row r="10" spans="1:1" ht="15" customHeight="1">
      <c r="A10" s="15" t="s">
        <v>7</v>
      </c>
    </row>
    <row r="11" spans="1:1" ht="15" customHeight="1">
      <c r="A11" s="13"/>
    </row>
    <row r="12" spans="1:1" ht="18.75" customHeight="1">
      <c r="A12" s="16" t="s">
        <v>8</v>
      </c>
    </row>
    <row r="13" spans="1:1" ht="15" customHeight="1">
      <c r="A13" s="15" t="s">
        <v>9</v>
      </c>
    </row>
    <row r="14" spans="1:1" ht="15" customHeight="1">
      <c r="A14" s="15"/>
    </row>
    <row r="15" spans="1:1" ht="15" customHeight="1">
      <c r="A15" s="15" t="s">
        <v>10</v>
      </c>
    </row>
    <row r="16" spans="1:1" ht="15" customHeight="1">
      <c r="A16" s="15" t="s">
        <v>11</v>
      </c>
    </row>
    <row r="17" spans="1:1" ht="18.75" customHeight="1">
      <c r="A17" s="14" t="s">
        <v>12</v>
      </c>
    </row>
    <row r="18" spans="1:1" ht="15" customHeight="1">
      <c r="A18" s="13"/>
    </row>
    <row r="19" spans="1:1" ht="15" customHeight="1">
      <c r="A19" s="15" t="s">
        <v>13</v>
      </c>
    </row>
    <row r="20" spans="1:1" ht="15" customHeight="1">
      <c r="A20" s="15" t="s">
        <v>14</v>
      </c>
    </row>
    <row r="21" spans="1:1" ht="18.75" customHeight="1">
      <c r="A21" s="14"/>
    </row>
    <row r="22" spans="1:1" ht="15" customHeight="1">
      <c r="A22" s="15" t="s">
        <v>15</v>
      </c>
    </row>
    <row r="23" spans="1:1" ht="15" customHeight="1">
      <c r="A23" s="15" t="s">
        <v>16</v>
      </c>
    </row>
    <row r="24" spans="1:1" ht="16.5" customHeight="1">
      <c r="A24" s="17" t="s">
        <v>17</v>
      </c>
    </row>
    <row r="25" spans="1:1" ht="15" customHeight="1">
      <c r="A25" s="18"/>
    </row>
    <row r="26" spans="1:1" ht="15" customHeight="1">
      <c r="A26" s="19" t="s">
        <v>18</v>
      </c>
    </row>
    <row r="27" spans="1:1" ht="15" customHeight="1">
      <c r="A27" s="20" t="s">
        <v>19</v>
      </c>
    </row>
    <row r="28" spans="1:1" ht="15" customHeight="1">
      <c r="A28" s="20" t="s">
        <v>20</v>
      </c>
    </row>
    <row r="29" spans="1:1" ht="15" customHeight="1">
      <c r="A29" s="20"/>
    </row>
    <row r="30" spans="1:1" ht="15" customHeight="1">
      <c r="A30" s="20"/>
    </row>
    <row r="31" spans="1:1" ht="15" customHeight="1">
      <c r="A31" s="18"/>
    </row>
    <row r="32" spans="1:1" ht="15" customHeight="1">
      <c r="A32" s="19"/>
    </row>
    <row r="33" spans="1:1" ht="15" customHeight="1">
      <c r="A33" s="20"/>
    </row>
    <row r="34" spans="1:1" ht="15" customHeight="1">
      <c r="A34" s="20"/>
    </row>
    <row r="35" spans="1:1" ht="15" customHeight="1">
      <c r="A35" s="20"/>
    </row>
    <row r="36" spans="1:1" ht="15" customHeight="1">
      <c r="A36" s="20"/>
    </row>
    <row r="37" spans="1:1" ht="15" customHeight="1">
      <c r="A37" s="18"/>
    </row>
    <row r="38" spans="1:1" ht="15" customHeight="1">
      <c r="A38" s="19"/>
    </row>
    <row r="39" spans="1:1" ht="15" customHeight="1">
      <c r="A39" s="20"/>
    </row>
    <row r="40" spans="1:1" ht="15" customHeight="1">
      <c r="A40" s="20"/>
    </row>
    <row r="41" spans="1:1" ht="15" customHeight="1">
      <c r="A41" s="18"/>
    </row>
    <row r="42" spans="1:1" ht="15" customHeight="1">
      <c r="A42" s="19"/>
    </row>
    <row r="43" spans="1:1" ht="15" customHeight="1">
      <c r="A43" s="20"/>
    </row>
    <row r="44" spans="1:1" ht="15" customHeight="1">
      <c r="A44" s="20"/>
    </row>
    <row r="45" spans="1:1" ht="15" customHeight="1">
      <c r="A45" s="20"/>
    </row>
    <row r="46" spans="1:1" ht="15" customHeight="1">
      <c r="A46" s="18"/>
    </row>
    <row r="47" spans="1:1" ht="15" customHeight="1">
      <c r="A47" s="19"/>
    </row>
    <row r="48" spans="1:1" ht="15" customHeight="1">
      <c r="A48" s="20"/>
    </row>
    <row r="49" spans="1:1" ht="15" customHeight="1">
      <c r="A49" s="20"/>
    </row>
  </sheetData>
  <phoneticPr fontId="5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338CA"/>
  </sheetPr>
  <dimension ref="B2:M5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25"/>
  <cols>
    <col min="1" max="1" width="3" customWidth="1"/>
    <col min="2" max="2" width="14" customWidth="1"/>
    <col min="3" max="3" width="9" customWidth="1"/>
    <col min="4" max="4" width="12" customWidth="1"/>
    <col min="5" max="5" width="11" customWidth="1"/>
    <col min="6" max="6" width="24" customWidth="1"/>
    <col min="7" max="7" width="11" customWidth="1"/>
    <col min="8" max="8" width="10" customWidth="1"/>
    <col min="9" max="9" width="9" customWidth="1"/>
    <col min="10" max="10" width="11" customWidth="1"/>
    <col min="11" max="11" width="9" customWidth="1"/>
    <col min="12" max="12" width="13" customWidth="1"/>
    <col min="13" max="13" width="9" customWidth="1"/>
  </cols>
  <sheetData>
    <row r="2" spans="2:12" ht="21" customHeight="1">
      <c r="B2" s="21" t="s">
        <v>21</v>
      </c>
    </row>
    <row r="3" spans="2:12" ht="15" customHeight="1">
      <c r="B3" s="22" t="s">
        <v>22</v>
      </c>
    </row>
    <row r="5" spans="2:12" ht="21.75" customHeight="1">
      <c r="B5" s="23" t="s">
        <v>23</v>
      </c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2:12" ht="15" customHeight="1">
      <c r="B6" s="25" t="s">
        <v>24</v>
      </c>
      <c r="C6" s="25" t="s">
        <v>25</v>
      </c>
      <c r="D6" s="25" t="s">
        <v>26</v>
      </c>
      <c r="E6" s="25" t="s">
        <v>27</v>
      </c>
      <c r="F6" s="25" t="s">
        <v>28</v>
      </c>
      <c r="G6" s="25" t="s">
        <v>29</v>
      </c>
    </row>
    <row r="7" spans="2:12" ht="30" customHeight="1">
      <c r="B7" s="26">
        <f>COUNTIF(수강납입!K5:K504,"재원중")</f>
        <v>0</v>
      </c>
      <c r="C7" s="26">
        <f ca="1">SUMPRODUCT((상담데이터입력!$A$3:$A$502&lt;&gt;"")*(TEXT(상담데이터입력!$C$3:$C$502,"yyyy-mm")=TEXT(TODAY(),"yyyy-mm")))</f>
        <v>0</v>
      </c>
      <c r="D7" s="27">
        <f ca="1">SUMPRODUCT((수강납입!$H$5:$H$504&lt;&gt;"")*(TEXT(수강납입!$H$5:$H$504,"yyyy-mm")=TEXT(TODAY(),"yyyy-mm")))</f>
        <v>0</v>
      </c>
      <c r="E7" s="26">
        <f ca="1">C7-D7</f>
        <v>0</v>
      </c>
      <c r="F7" s="27">
        <f>COUNTIF(수강납입!K5:K504,"퇴소")</f>
        <v>0</v>
      </c>
      <c r="G7" s="27" t="str">
        <f>IF(B7+F7=0,"-",TEXT(F7/(B7+F7),"0.0%"))</f>
        <v>-</v>
      </c>
    </row>
    <row r="9" spans="2:12" ht="21.75" customHeight="1">
      <c r="B9" s="28" t="s">
        <v>30</v>
      </c>
      <c r="C9" s="29"/>
      <c r="D9" s="29"/>
      <c r="E9" s="29"/>
      <c r="F9" s="29"/>
      <c r="G9" s="29"/>
      <c r="H9" s="29"/>
      <c r="I9" s="29"/>
      <c r="J9" s="29"/>
      <c r="K9" s="29"/>
      <c r="L9" s="29"/>
    </row>
    <row r="10" spans="2:12" ht="15" customHeight="1">
      <c r="B10" s="30" t="s">
        <v>31</v>
      </c>
      <c r="D10" s="30" t="s">
        <v>32</v>
      </c>
      <c r="E10" s="30" t="s">
        <v>33</v>
      </c>
      <c r="F10" s="31" t="s">
        <v>34</v>
      </c>
    </row>
    <row r="11" spans="2:12" ht="15.75" customHeight="1">
      <c r="B11" s="32">
        <f>SUMIFS(수강납입!E5:E504,수강납입!K5:K504,"재원중")</f>
        <v>0</v>
      </c>
      <c r="D11" s="33">
        <f ca="1">SUMPRODUCT((수강납입!$K$5:$K$504="재원중")*(수강납입!$J$5:$J$504&lt;&gt;"")*(수강납입!$J$5:$J$504&lt;TODAY()))</f>
        <v>0</v>
      </c>
      <c r="E11" s="33">
        <f ca="1">SUMPRODUCT((수강납입!$K$5:$K$504="재원중")*(수강납입!$J$5:$J$504&lt;&gt;"")*(수강납입!$J$5:$J$504&lt;TODAY())*수강납입!$E$5:$E$504)</f>
        <v>0</v>
      </c>
    </row>
    <row r="13" spans="2:12" ht="21.75" customHeight="1">
      <c r="B13" s="34" t="s">
        <v>35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</row>
    <row r="14" spans="2:12" ht="16.5" customHeight="1">
      <c r="B14" s="36" t="s">
        <v>36</v>
      </c>
      <c r="E14" s="37" t="s">
        <v>37</v>
      </c>
      <c r="H14" s="37" t="s">
        <v>38</v>
      </c>
    </row>
    <row r="15" spans="2:12" ht="16.5" customHeight="1">
      <c r="B15" s="38" t="s">
        <v>39</v>
      </c>
      <c r="C15" s="38">
        <f>COUNTIF(상담데이터입력!$W$3:$W$502,B15)</f>
        <v>0</v>
      </c>
      <c r="E15" s="39" t="s">
        <v>40</v>
      </c>
      <c r="F15" s="38">
        <f>COUNTIF(상담데이터입력!$S$3:$S$502,E15)</f>
        <v>0</v>
      </c>
      <c r="H15" s="39" t="s">
        <v>41</v>
      </c>
      <c r="I15" s="38">
        <f>COUNTIF(상담데이터입력!$Y$3:$Y$502,H15)</f>
        <v>0</v>
      </c>
    </row>
    <row r="16" spans="2:12" ht="16.5" customHeight="1">
      <c r="B16" s="40" t="s">
        <v>42</v>
      </c>
      <c r="C16" s="40">
        <f>COUNTIF(상담데이터입력!$W$3:$W$502,B16)</f>
        <v>0</v>
      </c>
      <c r="E16" s="41" t="s">
        <v>43</v>
      </c>
      <c r="F16" s="40">
        <f>COUNTIF(상담데이터입력!$S$3:$S$502,E16)</f>
        <v>0</v>
      </c>
      <c r="H16" s="41" t="s">
        <v>44</v>
      </c>
      <c r="I16" s="40">
        <f>COUNTIF(상담데이터입력!$Y$3:$Y$502,H16)</f>
        <v>0</v>
      </c>
    </row>
    <row r="17" spans="2:12" ht="16.5" customHeight="1">
      <c r="B17" s="38" t="s">
        <v>45</v>
      </c>
      <c r="C17" s="38">
        <f>COUNTIF(상담데이터입력!$W$3:$W$502,B17)</f>
        <v>0</v>
      </c>
      <c r="E17" s="39" t="s">
        <v>46</v>
      </c>
      <c r="F17" s="38">
        <f>COUNTIF(상담데이터입력!$S$3:$S$502,E17)</f>
        <v>0</v>
      </c>
      <c r="H17" s="39" t="s">
        <v>47</v>
      </c>
      <c r="I17" s="38">
        <f>COUNTIF(상담데이터입력!$Y$3:$Y$502,H17)</f>
        <v>0</v>
      </c>
    </row>
    <row r="18" spans="2:12" ht="15" customHeight="1">
      <c r="B18" s="40"/>
      <c r="C18" s="40"/>
      <c r="E18" s="41" t="s">
        <v>48</v>
      </c>
      <c r="F18" s="40">
        <f>COUNTIF(상담데이터입력!$S$3:$S$502,E18)</f>
        <v>0</v>
      </c>
    </row>
    <row r="19" spans="2:12" ht="15" customHeight="1">
      <c r="B19" s="38"/>
      <c r="C19" s="38"/>
      <c r="E19" s="39" t="s">
        <v>49</v>
      </c>
      <c r="F19" s="38">
        <f>COUNTIF(상담데이터입력!$S$3:$S$502,E19)</f>
        <v>0</v>
      </c>
    </row>
    <row r="21" spans="2:12" ht="21.75" customHeight="1">
      <c r="B21" s="42" t="s">
        <v>50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2:12" ht="15" customHeight="1">
      <c r="B22" s="44" t="s">
        <v>51</v>
      </c>
      <c r="C22" s="44" t="s">
        <v>52</v>
      </c>
      <c r="D22" s="44" t="s">
        <v>53</v>
      </c>
      <c r="E22" s="44" t="s">
        <v>54</v>
      </c>
      <c r="F22" s="44" t="s">
        <v>55</v>
      </c>
    </row>
    <row r="23" spans="2:12" ht="16.5" customHeight="1">
      <c r="B23" s="38" t="str">
        <f>반설정!A4</f>
        <v>정규반1</v>
      </c>
      <c r="C23" s="38">
        <f>반설정!D4</f>
        <v>20</v>
      </c>
      <c r="D23" s="38">
        <f>COUNTIFS(수강납입!$C$5:$C$504,$B23,수강납입!$K$5:$K$504,"재원중")</f>
        <v>0</v>
      </c>
      <c r="E23" s="38">
        <f t="shared" ref="E23:E37" si="0">C23-D23</f>
        <v>20</v>
      </c>
      <c r="F23" s="45" t="str">
        <f t="shared" ref="F23:F37" si="1">IF(B23="","",REPT("▮",ROUND(D23/2,0))&amp;REPT("▯",ROUNDUP(E23/2,0)))</f>
        <v>▯▯▯▯▯▯▯▯▯▯</v>
      </c>
    </row>
    <row r="24" spans="2:12" ht="16.5" customHeight="1">
      <c r="B24" s="40" t="str">
        <f>반설정!A5</f>
        <v>정규반2</v>
      </c>
      <c r="C24" s="40">
        <f>반설정!D5</f>
        <v>20</v>
      </c>
      <c r="D24" s="40">
        <f>COUNTIFS(수강납입!$C$5:$C$504,$B24,수강납입!$K$5:$K$504,"재원중")</f>
        <v>0</v>
      </c>
      <c r="E24" s="40">
        <f t="shared" si="0"/>
        <v>20</v>
      </c>
      <c r="F24" s="46" t="str">
        <f t="shared" si="1"/>
        <v>▯▯▯▯▯▯▯▯▯▯</v>
      </c>
    </row>
    <row r="25" spans="2:12" ht="16.5" customHeight="1">
      <c r="B25" s="38" t="str">
        <f>반설정!A6</f>
        <v>정규반3</v>
      </c>
      <c r="C25" s="38">
        <f>반설정!D6</f>
        <v>20</v>
      </c>
      <c r="D25" s="38">
        <f>COUNTIFS(수강납입!$C$5:$C$504,$B25,수강납입!$K$5:$K$504,"재원중")</f>
        <v>0</v>
      </c>
      <c r="E25" s="38">
        <f t="shared" si="0"/>
        <v>20</v>
      </c>
      <c r="F25" s="45" t="str">
        <f t="shared" si="1"/>
        <v>▯▯▯▯▯▯▯▯▯▯</v>
      </c>
    </row>
    <row r="26" spans="2:12" ht="16.5" customHeight="1">
      <c r="B26" s="40" t="str">
        <f>반설정!A7</f>
        <v>정규반4</v>
      </c>
      <c r="C26" s="40">
        <f>반설정!D7</f>
        <v>20</v>
      </c>
      <c r="D26" s="40">
        <f>COUNTIFS(수강납입!$C$5:$C$504,$B26,수강납입!$K$5:$K$504,"재원중")</f>
        <v>0</v>
      </c>
      <c r="E26" s="40">
        <f t="shared" si="0"/>
        <v>20</v>
      </c>
      <c r="F26" s="46" t="str">
        <f t="shared" si="1"/>
        <v>▯▯▯▯▯▯▯▯▯▯</v>
      </c>
    </row>
    <row r="27" spans="2:12" ht="16.5" customHeight="1">
      <c r="B27" s="38" t="str">
        <f>반설정!A8</f>
        <v>집중반1</v>
      </c>
      <c r="C27" s="38">
        <f>반설정!D8</f>
        <v>10</v>
      </c>
      <c r="D27" s="38">
        <f>COUNTIFS(수강납입!$C$5:$C$504,$B27,수강납입!$K$5:$K$504,"재원중")</f>
        <v>0</v>
      </c>
      <c r="E27" s="38">
        <f t="shared" si="0"/>
        <v>10</v>
      </c>
      <c r="F27" s="45" t="str">
        <f t="shared" si="1"/>
        <v>▯▯▯▯▯</v>
      </c>
    </row>
    <row r="28" spans="2:12" ht="16.5" customHeight="1">
      <c r="B28" s="40" t="str">
        <f>반설정!A9</f>
        <v>집중반2</v>
      </c>
      <c r="C28" s="40">
        <f>반설정!D9</f>
        <v>10</v>
      </c>
      <c r="D28" s="40">
        <f>COUNTIFS(수강납입!$C$5:$C$504,$B28,수강납입!$K$5:$K$504,"재원중")</f>
        <v>0</v>
      </c>
      <c r="E28" s="40">
        <f t="shared" si="0"/>
        <v>10</v>
      </c>
      <c r="F28" s="46" t="str">
        <f t="shared" si="1"/>
        <v>▯▯▯▯▯</v>
      </c>
    </row>
    <row r="29" spans="2:12" ht="16.5" customHeight="1">
      <c r="B29" s="38" t="str">
        <f>반설정!A10</f>
        <v>집중반3</v>
      </c>
      <c r="C29" s="38">
        <f>반설정!D10</f>
        <v>10</v>
      </c>
      <c r="D29" s="38">
        <f>COUNTIFS(수강납입!$C$5:$C$504,$B29,수강납입!$K$5:$K$504,"재원중")</f>
        <v>0</v>
      </c>
      <c r="E29" s="38">
        <f t="shared" si="0"/>
        <v>10</v>
      </c>
      <c r="F29" s="45" t="str">
        <f t="shared" si="1"/>
        <v>▯▯▯▯▯</v>
      </c>
    </row>
    <row r="30" spans="2:12" ht="16.5" customHeight="1">
      <c r="B30" s="40" t="str">
        <f>반설정!A11</f>
        <v>집중반4</v>
      </c>
      <c r="C30" s="40">
        <f>반설정!D11</f>
        <v>10</v>
      </c>
      <c r="D30" s="40">
        <f>COUNTIFS(수강납입!$C$5:$C$504,$B30,수강납입!$K$5:$K$504,"재원중")</f>
        <v>0</v>
      </c>
      <c r="E30" s="40">
        <f t="shared" si="0"/>
        <v>10</v>
      </c>
      <c r="F30" s="46" t="str">
        <f t="shared" si="1"/>
        <v>▯▯▯▯▯</v>
      </c>
    </row>
    <row r="31" spans="2:12" ht="16.5" customHeight="1">
      <c r="B31" s="38" t="str">
        <f>반설정!A12</f>
        <v>집중반5</v>
      </c>
      <c r="C31" s="38">
        <f>반설정!D12</f>
        <v>10</v>
      </c>
      <c r="D31" s="38">
        <f>COUNTIFS(수강납입!$C$5:$C$504,$B31,수강납입!$K$5:$K$504,"재원중")</f>
        <v>0</v>
      </c>
      <c r="E31" s="38">
        <f t="shared" si="0"/>
        <v>10</v>
      </c>
      <c r="F31" s="45" t="str">
        <f t="shared" si="1"/>
        <v>▯▯▯▯▯</v>
      </c>
    </row>
    <row r="32" spans="2:12" ht="16.5" customHeight="1">
      <c r="B32" s="40" t="str">
        <f>반설정!A13</f>
        <v>집중반6</v>
      </c>
      <c r="C32" s="40">
        <f>반설정!D13</f>
        <v>10</v>
      </c>
      <c r="D32" s="40">
        <f>COUNTIFS(수강납입!$C$5:$C$504,$B32,수강납입!$K$5:$K$504,"재원중")</f>
        <v>0</v>
      </c>
      <c r="E32" s="40">
        <f t="shared" si="0"/>
        <v>10</v>
      </c>
      <c r="F32" s="46" t="str">
        <f t="shared" si="1"/>
        <v>▯▯▯▯▯</v>
      </c>
    </row>
    <row r="33" spans="2:13" ht="16.5" customHeight="1">
      <c r="B33" s="38" t="str">
        <f>반설정!A14</f>
        <v>주말정규반1</v>
      </c>
      <c r="C33" s="38">
        <f>반설정!D14</f>
        <v>20</v>
      </c>
      <c r="D33" s="38">
        <f>COUNTIFS(수강납입!$C$5:$C$504,$B33,수강납입!$K$5:$K$504,"재원중")</f>
        <v>0</v>
      </c>
      <c r="E33" s="38">
        <f t="shared" si="0"/>
        <v>20</v>
      </c>
      <c r="F33" s="45" t="str">
        <f t="shared" si="1"/>
        <v>▯▯▯▯▯▯▯▯▯▯</v>
      </c>
    </row>
    <row r="34" spans="2:13" ht="16.5" customHeight="1">
      <c r="B34" s="40" t="str">
        <f>반설정!A15</f>
        <v>주말정규반2</v>
      </c>
      <c r="C34" s="40">
        <f>반설정!D15</f>
        <v>20</v>
      </c>
      <c r="D34" s="40">
        <f>COUNTIFS(수강납입!$C$5:$C$504,$B34,수강납입!$K$5:$K$504,"재원중")</f>
        <v>0</v>
      </c>
      <c r="E34" s="40">
        <f t="shared" si="0"/>
        <v>20</v>
      </c>
      <c r="F34" s="46" t="str">
        <f t="shared" si="1"/>
        <v>▯▯▯▯▯▯▯▯▯▯</v>
      </c>
    </row>
    <row r="35" spans="2:13" ht="16.5" customHeight="1">
      <c r="B35" s="38" t="str">
        <f>반설정!A16</f>
        <v>주말집중반1</v>
      </c>
      <c r="C35" s="38">
        <f>반설정!D16</f>
        <v>10</v>
      </c>
      <c r="D35" s="38">
        <f>COUNTIFS(수강납입!$C$5:$C$504,$B35,수강납입!$K$5:$K$504,"재원중")</f>
        <v>0</v>
      </c>
      <c r="E35" s="38">
        <f t="shared" si="0"/>
        <v>10</v>
      </c>
      <c r="F35" s="45" t="str">
        <f t="shared" si="1"/>
        <v>▯▯▯▯▯</v>
      </c>
    </row>
    <row r="36" spans="2:13" ht="16.5" customHeight="1">
      <c r="B36" s="41" t="str">
        <f>반설정!A17</f>
        <v>주말집중반2</v>
      </c>
      <c r="C36" s="41">
        <f>반설정!D17</f>
        <v>10</v>
      </c>
      <c r="D36" s="41">
        <f>COUNTIFS(수강납입!$C$5:$C$504,$B36,수강납입!$K$5:$K$504,"재원중")</f>
        <v>0</v>
      </c>
      <c r="E36" s="40">
        <f t="shared" si="0"/>
        <v>10</v>
      </c>
      <c r="F36" s="46" t="str">
        <f t="shared" si="1"/>
        <v>▯▯▯▯▯</v>
      </c>
    </row>
    <row r="37" spans="2:13" ht="21.75" customHeight="1">
      <c r="B37" s="47" t="str">
        <f>반설정!A18</f>
        <v>주말집중반3</v>
      </c>
      <c r="C37" s="48">
        <f>반설정!D18</f>
        <v>10</v>
      </c>
      <c r="D37" s="48">
        <f>COUNTIFS(수강납입!$C$5:$C$504,$B37,수강납입!$K$5:$K$504,"재원중")</f>
        <v>0</v>
      </c>
      <c r="E37" s="48">
        <f t="shared" si="0"/>
        <v>10</v>
      </c>
      <c r="F37" s="45" t="str">
        <f t="shared" si="1"/>
        <v>▯▯▯▯▯</v>
      </c>
      <c r="G37" s="49"/>
      <c r="H37" s="49"/>
      <c r="I37" s="49"/>
      <c r="J37" s="49"/>
      <c r="K37" s="49"/>
      <c r="L37" s="49"/>
    </row>
    <row r="38" spans="2:13" ht="16.5" customHeight="1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</row>
    <row r="39" spans="2:13" ht="21.75" customHeight="1">
      <c r="B39" s="51" t="s">
        <v>56</v>
      </c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0"/>
    </row>
    <row r="40" spans="2:13" ht="15" customHeight="1">
      <c r="B40" s="37" t="s">
        <v>57</v>
      </c>
      <c r="C40" s="50"/>
      <c r="D40" s="37" t="s">
        <v>58</v>
      </c>
      <c r="E40" s="50"/>
      <c r="F40" s="37" t="s">
        <v>59</v>
      </c>
      <c r="G40" s="50"/>
      <c r="H40" s="37" t="s">
        <v>60</v>
      </c>
      <c r="I40" s="50"/>
      <c r="J40" s="37" t="s">
        <v>61</v>
      </c>
      <c r="K40" s="50"/>
      <c r="L40" s="37" t="s">
        <v>62</v>
      </c>
      <c r="M40" s="50"/>
    </row>
    <row r="41" spans="2:13" ht="15" customHeight="1">
      <c r="B41" s="53" t="s">
        <v>63</v>
      </c>
      <c r="C41" s="53">
        <f>COUNTIF(상담데이터입력!$BE$3:$BE$502,B41)</f>
        <v>0</v>
      </c>
      <c r="D41" s="53" t="s">
        <v>64</v>
      </c>
      <c r="E41" s="53">
        <f>COUNTIF(상담데이터입력!$U$3:$U$502,D41)</f>
        <v>0</v>
      </c>
      <c r="F41" s="54" t="s">
        <v>65</v>
      </c>
      <c r="G41" s="53">
        <f>COUNTIF(상담데이터입력!$AY$3:$AY$502,F41)</f>
        <v>0</v>
      </c>
      <c r="H41" s="53" t="s">
        <v>66</v>
      </c>
      <c r="I41" s="53">
        <f>COUNTIF(상담데이터입력!$AJ$3:$AJ$502,H41)</f>
        <v>0</v>
      </c>
      <c r="J41" s="53" t="s">
        <v>67</v>
      </c>
      <c r="K41" s="53">
        <f>COUNTIF(상담데이터입력!$AX$3:$AX$502,J41)</f>
        <v>0</v>
      </c>
      <c r="L41" s="53" t="s">
        <v>68</v>
      </c>
      <c r="M41" s="53">
        <f>COUNTIF(상담데이터입력!$BD$3:$BD$502,L41)</f>
        <v>0</v>
      </c>
    </row>
    <row r="42" spans="2:13" ht="16.5" customHeight="1">
      <c r="B42" s="55" t="s">
        <v>69</v>
      </c>
      <c r="C42" s="55">
        <f>COUNTIF(상담데이터입력!$BE$3:$BE$502,B42)</f>
        <v>0</v>
      </c>
      <c r="D42" s="55" t="s">
        <v>70</v>
      </c>
      <c r="E42" s="55">
        <f>COUNTIF(상담데이터입력!$U$3:$U$502,D42)</f>
        <v>0</v>
      </c>
      <c r="F42" s="55" t="s">
        <v>71</v>
      </c>
      <c r="G42" s="55">
        <f>COUNTIF(상담데이터입력!$AY$3:$AY$502,F42)</f>
        <v>0</v>
      </c>
      <c r="H42" s="55" t="s">
        <v>72</v>
      </c>
      <c r="I42" s="55">
        <f>COUNTIF(상담데이터입력!$AJ$3:$AJ$502,H42)</f>
        <v>0</v>
      </c>
      <c r="J42" s="55" t="s">
        <v>73</v>
      </c>
      <c r="K42" s="55">
        <f>COUNTIF(상담데이터입력!$AX$3:$AX$502,J42)</f>
        <v>0</v>
      </c>
      <c r="L42" s="55" t="s">
        <v>74</v>
      </c>
      <c r="M42" s="55">
        <f>COUNTIF(상담데이터입력!$BD$3:$BD$502,L42)</f>
        <v>0</v>
      </c>
    </row>
    <row r="43" spans="2:13" ht="15" customHeight="1">
      <c r="B43" s="53" t="s">
        <v>75</v>
      </c>
      <c r="C43" s="53">
        <f>COUNTIF(상담데이터입력!$BE$3:$BE$502,B43)</f>
        <v>0</v>
      </c>
      <c r="D43" s="53" t="s">
        <v>76</v>
      </c>
      <c r="E43" s="53">
        <f>COUNTIF(상담데이터입력!$U$3:$U$502,D43)</f>
        <v>0</v>
      </c>
      <c r="F43" s="53" t="s">
        <v>77</v>
      </c>
      <c r="G43" s="53">
        <f>COUNTIF(상담데이터입력!$AY$3:$AY$502,F43)</f>
        <v>0</v>
      </c>
      <c r="H43" s="53" t="s">
        <v>78</v>
      </c>
      <c r="I43" s="53">
        <f>COUNTIF(상담데이터입력!$AJ$3:$AJ$502,H43)</f>
        <v>0</v>
      </c>
      <c r="J43" s="53" t="s">
        <v>79</v>
      </c>
      <c r="K43" s="53">
        <f>COUNTIF(상담데이터입력!$AX$3:$AX$502,J43)</f>
        <v>0</v>
      </c>
      <c r="L43" s="53" t="s">
        <v>80</v>
      </c>
      <c r="M43" s="53">
        <f>COUNTIF(상담데이터입력!$BD$3:$BD$502,L43)</f>
        <v>0</v>
      </c>
    </row>
    <row r="44" spans="2:13" ht="15" customHeight="1">
      <c r="B44" s="55" t="s">
        <v>81</v>
      </c>
      <c r="C44" s="55">
        <f>COUNTIF(상담데이터입력!$BE$3:$BE$502,B44)</f>
        <v>0</v>
      </c>
      <c r="D44" s="56" t="s">
        <v>82</v>
      </c>
      <c r="E44" s="55">
        <f>COUNTIF(상담데이터입력!$U$3:$U$502,D44)</f>
        <v>0</v>
      </c>
      <c r="F44" s="55" t="s">
        <v>83</v>
      </c>
      <c r="G44" s="55">
        <f>COUNTIF(상담데이터입력!$AY$3:$AY$502,F44)</f>
        <v>0</v>
      </c>
      <c r="H44" s="55" t="s">
        <v>84</v>
      </c>
      <c r="I44" s="55">
        <f>COUNTIF(상담데이터입력!$AJ$3:$AJ$502,H44)</f>
        <v>0</v>
      </c>
      <c r="J44" s="55" t="s">
        <v>85</v>
      </c>
      <c r="K44" s="55">
        <f>COUNTIF(상담데이터입력!$AX$3:$AX$502,J44)</f>
        <v>0</v>
      </c>
      <c r="L44" s="50"/>
      <c r="M44" s="50"/>
    </row>
    <row r="45" spans="2:13" ht="15" customHeight="1">
      <c r="B45" s="53"/>
      <c r="C45" s="53"/>
      <c r="D45" s="50"/>
      <c r="E45" s="50"/>
      <c r="F45" s="50"/>
      <c r="G45" s="50"/>
      <c r="H45" s="50"/>
      <c r="I45" s="50"/>
      <c r="J45" s="53" t="s">
        <v>86</v>
      </c>
      <c r="K45" s="53">
        <f>COUNTIF(상담데이터입력!$AX$3:$AX$502,J45)</f>
        <v>0</v>
      </c>
      <c r="L45" s="50"/>
      <c r="M45" s="50"/>
    </row>
    <row r="46" spans="2:13" ht="15" customHeight="1">
      <c r="B46" s="55"/>
      <c r="C46" s="55"/>
      <c r="D46" s="50"/>
      <c r="E46" s="50"/>
      <c r="F46" s="50"/>
      <c r="G46" s="50"/>
      <c r="H46" s="50"/>
      <c r="I46" s="50"/>
      <c r="J46" s="55" t="s">
        <v>87</v>
      </c>
      <c r="K46" s="55">
        <f>COUNTIF(상담데이터입력!$AX$3:$AX$502,J46)</f>
        <v>0</v>
      </c>
      <c r="L46" s="50"/>
      <c r="M46" s="50"/>
    </row>
    <row r="47" spans="2:13" ht="15.75">
      <c r="B47" s="53"/>
      <c r="C47" s="53"/>
      <c r="D47" s="50"/>
      <c r="E47" s="50"/>
      <c r="F47" s="50"/>
      <c r="G47" s="50"/>
      <c r="H47" s="50"/>
      <c r="I47" s="50"/>
      <c r="J47" s="53" t="s">
        <v>88</v>
      </c>
      <c r="K47" s="53">
        <f>COUNTIF(상담데이터입력!$AX$3:$AX$502,J47)</f>
        <v>0</v>
      </c>
      <c r="L47" s="50"/>
      <c r="M47" s="50"/>
    </row>
    <row r="48" spans="2:13" ht="21.75" customHeight="1">
      <c r="B48" s="57"/>
      <c r="C48" s="55"/>
      <c r="D48" s="50"/>
      <c r="E48" s="50"/>
      <c r="F48" s="50"/>
      <c r="G48" s="50"/>
      <c r="H48" s="50"/>
      <c r="I48" s="50"/>
      <c r="J48" s="55" t="s">
        <v>81</v>
      </c>
      <c r="K48" s="55">
        <f>COUNTIF(상담데이터입력!$AX$3:$AX$502,J48)</f>
        <v>0</v>
      </c>
      <c r="L48" s="50"/>
      <c r="M48" s="50"/>
    </row>
    <row r="49" spans="2:13" ht="15" customHeight="1"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2:13" ht="21.75" customHeight="1">
      <c r="B50" s="58" t="s">
        <v>89</v>
      </c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0"/>
    </row>
    <row r="51" spans="2:13" ht="15" customHeight="1">
      <c r="B51" s="53" t="s">
        <v>90</v>
      </c>
      <c r="C51" s="53">
        <f>COUNTIF(상담데이터입력!$V$3:$V$502,B51)</f>
        <v>0</v>
      </c>
      <c r="D51" s="50"/>
      <c r="E51" s="50"/>
      <c r="F51" s="50"/>
      <c r="G51" s="50"/>
      <c r="H51" s="50"/>
      <c r="I51" s="50"/>
      <c r="J51" s="50"/>
      <c r="K51" s="50"/>
      <c r="L51" s="50"/>
      <c r="M51" s="50"/>
    </row>
    <row r="52" spans="2:13" ht="16.5" customHeight="1">
      <c r="B52" s="55" t="s">
        <v>91</v>
      </c>
      <c r="C52" s="55">
        <f>COUNTIF(상담데이터입력!$V$3:$V$502,B52)</f>
        <v>0</v>
      </c>
      <c r="D52" s="50"/>
      <c r="E52" s="50"/>
      <c r="F52" s="50"/>
      <c r="G52" s="50"/>
      <c r="H52" s="50"/>
      <c r="I52" s="50"/>
      <c r="J52" s="50"/>
      <c r="K52" s="50"/>
      <c r="L52" s="50"/>
      <c r="M52" s="50"/>
    </row>
    <row r="53" spans="2:13" ht="15" customHeight="1">
      <c r="B53" s="53" t="s">
        <v>92</v>
      </c>
      <c r="C53" s="53">
        <f>COUNTIF(상담데이터입력!$V$3:$V$502,B53)</f>
        <v>0</v>
      </c>
      <c r="D53" s="50"/>
      <c r="E53" s="50"/>
      <c r="F53" s="50"/>
      <c r="G53" s="50"/>
      <c r="H53" s="50"/>
      <c r="I53" s="50"/>
      <c r="J53" s="50"/>
      <c r="K53" s="50"/>
      <c r="L53" s="50"/>
      <c r="M53" s="50"/>
    </row>
    <row r="54" spans="2:13" ht="15" customHeight="1">
      <c r="B54" s="56" t="s">
        <v>93</v>
      </c>
      <c r="C54" s="55">
        <f>COUNTIF(상담데이터입력!$V$3:$V$502,B54)</f>
        <v>0</v>
      </c>
      <c r="D54" s="50"/>
      <c r="E54" s="50"/>
      <c r="F54" s="50"/>
      <c r="G54" s="50"/>
      <c r="H54" s="50"/>
      <c r="I54" s="50"/>
      <c r="J54" s="50"/>
      <c r="K54" s="50"/>
      <c r="L54" s="50"/>
      <c r="M54" s="50"/>
    </row>
    <row r="55" spans="2:13" ht="15.75">
      <c r="B55" s="53" t="s">
        <v>94</v>
      </c>
      <c r="C55" s="53">
        <f>COUNTIF(상담데이터입력!$V$3:$V$502,B55)</f>
        <v>0</v>
      </c>
      <c r="D55" s="50"/>
      <c r="E55" s="50"/>
      <c r="F55" s="50"/>
      <c r="G55" s="50"/>
      <c r="H55" s="50"/>
      <c r="I55" s="50"/>
      <c r="J55" s="50"/>
      <c r="K55" s="50"/>
      <c r="L55" s="50"/>
      <c r="M55" s="50"/>
    </row>
    <row r="56" spans="2:13" ht="15.75">
      <c r="B56" s="55" t="s">
        <v>95</v>
      </c>
      <c r="C56" s="55">
        <f>COUNTIF(상담데이터입력!$V$3:$V$502,B56)</f>
        <v>0</v>
      </c>
      <c r="D56" s="50"/>
      <c r="E56" s="50"/>
      <c r="F56" s="50"/>
      <c r="G56" s="50"/>
      <c r="H56" s="50"/>
      <c r="I56" s="50"/>
      <c r="J56" s="50"/>
      <c r="K56" s="50"/>
      <c r="L56" s="50"/>
      <c r="M56" s="50"/>
    </row>
  </sheetData>
  <phoneticPr fontId="56" type="noConversion"/>
  <conditionalFormatting sqref="E23:E37">
    <cfRule type="expression" dxfId="5" priority="2">
      <formula>AND($B23&lt;&gt;"",$E23&lt;=0)</formula>
    </cfRule>
    <cfRule type="expression" dxfId="4" priority="3">
      <formula>AND($B23&lt;&gt;"",$E23&gt;=1,$E23&lt;=3)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93E8"/>
  </sheetPr>
  <dimension ref="B2:F61"/>
  <sheetViews>
    <sheetView showGridLines="0" zoomScaleNormal="100" workbookViewId="0">
      <selection activeCell="C5" sqref="C5:D5"/>
    </sheetView>
  </sheetViews>
  <sheetFormatPr defaultColWidth="8.6640625" defaultRowHeight="14.25"/>
  <cols>
    <col min="1" max="1" width="3" customWidth="1"/>
    <col min="2" max="2" width="14" customWidth="1"/>
    <col min="3" max="3" width="22" customWidth="1"/>
    <col min="4" max="4" width="14" customWidth="1"/>
    <col min="5" max="5" width="22" customWidth="1"/>
    <col min="6" max="6" width="12" customWidth="1"/>
  </cols>
  <sheetData>
    <row r="2" spans="2:6" ht="37.5" customHeight="1">
      <c r="B2" s="11" t="s">
        <v>96</v>
      </c>
      <c r="C2" s="11"/>
      <c r="D2" s="11"/>
      <c r="E2" s="11"/>
      <c r="F2" s="11"/>
    </row>
    <row r="3" spans="2:6" ht="15" customHeight="1">
      <c r="B3" s="10" t="s">
        <v>97</v>
      </c>
      <c r="C3" s="10"/>
      <c r="D3" s="10"/>
      <c r="E3" s="10"/>
      <c r="F3" s="10"/>
    </row>
    <row r="5" spans="2:6" ht="17.25" customHeight="1">
      <c r="B5" s="60" t="s">
        <v>98</v>
      </c>
      <c r="C5" s="9"/>
      <c r="D5" s="9"/>
    </row>
    <row r="7" spans="2:6" ht="30" customHeight="1">
      <c r="B7" s="8" t="str">
        <f>IF($C$5="","(학생을 선택하세요)",$C$5 &amp; "  /  " &amp; IFERROR(INDEX(상담데이터입력!B3:B502,MATCH($C$5,상담데이터입력!A3:A502,0)),""))</f>
        <v>(학생을 선택하세요)</v>
      </c>
      <c r="C7" s="8"/>
      <c r="D7" s="8"/>
      <c r="E7" s="8"/>
      <c r="F7" s="8"/>
    </row>
    <row r="8" spans="2:6" ht="21.75" customHeight="1">
      <c r="B8" s="7" t="str">
        <f>IF($C$5="","",IFERROR(INDEX(상담데이터입력!BI3:BI502,MATCH($C$5,상담데이터입력!A3:A502,0)),""))</f>
        <v/>
      </c>
      <c r="C8" s="7"/>
      <c r="D8" s="7"/>
      <c r="E8" s="7"/>
      <c r="F8" s="7"/>
    </row>
    <row r="10" spans="2:6" ht="15" customHeight="1">
      <c r="B10" s="6" t="s">
        <v>99</v>
      </c>
      <c r="C10" s="6"/>
      <c r="D10" s="6"/>
      <c r="E10" s="6"/>
      <c r="F10" s="6"/>
    </row>
    <row r="11" spans="2:6" ht="15" customHeight="1">
      <c r="B11" s="61" t="s">
        <v>100</v>
      </c>
      <c r="C11" s="62" t="str">
        <f>IF($C$5="","",IFERROR(INDEX(상담데이터입력!C3:C502,MATCH($C$5,상담데이터입력!A3:A502,0)),""))</f>
        <v/>
      </c>
      <c r="D11" s="61" t="s">
        <v>101</v>
      </c>
      <c r="E11" s="63" t="str">
        <f>IF($C$5="","",IFERROR(INDEX(상담데이터입력!Z3:Z502,MATCH($C$5,상담데이터입력!A3:A502,0)),""))</f>
        <v/>
      </c>
    </row>
    <row r="12" spans="2:6" ht="15" customHeight="1">
      <c r="B12" s="61" t="s">
        <v>102</v>
      </c>
      <c r="C12" s="62" t="str">
        <f>IF($C$5="","",IFERROR(INDEX(상담데이터입력!E3:E502,MATCH($C$5,상담데이터입력!A3:A502,0)),""))</f>
        <v/>
      </c>
      <c r="D12" s="61" t="s">
        <v>103</v>
      </c>
      <c r="E12" s="63" t="str">
        <f>IF($C$5="","",IFERROR(INDEX(상담데이터입력!J3:J502,MATCH($C$5,상담데이터입력!A3:A502,0)),""))</f>
        <v/>
      </c>
    </row>
    <row r="13" spans="2:6" ht="15" customHeight="1">
      <c r="B13" s="61" t="s">
        <v>104</v>
      </c>
      <c r="C13" s="63" t="str">
        <f>IF($C$5="","",IFERROR(INDEX(상담데이터입력!G3:G502,MATCH($C$5,상담데이터입력!A3:A502,0)),""))</f>
        <v/>
      </c>
      <c r="D13" s="61" t="s">
        <v>105</v>
      </c>
      <c r="E13" s="63" t="str">
        <f>IF($C$5="","",IFERROR(INDEX(상담데이터입력!K3:K502,MATCH($C$5,상담데이터입력!A3:A502,0)),""))</f>
        <v/>
      </c>
    </row>
    <row r="14" spans="2:6" ht="15" customHeight="1">
      <c r="B14" s="61" t="s">
        <v>106</v>
      </c>
      <c r="C14" s="63" t="str">
        <f>IF($C$5="","",IFERROR(INDEX(상담데이터입력!H3:H502,MATCH($C$5,상담데이터입력!A3:A502,0)),""))</f>
        <v/>
      </c>
      <c r="D14" s="61" t="s">
        <v>107</v>
      </c>
      <c r="E14" s="63" t="str">
        <f>IF($C$5="","",IFERROR(INDEX(상담데이터입력!I3:I502,MATCH($C$5,상담데이터입력!A3:A502,0)),""))</f>
        <v/>
      </c>
    </row>
    <row r="15" spans="2:6" ht="15" customHeight="1">
      <c r="B15" s="64" t="s">
        <v>108</v>
      </c>
      <c r="C15" s="63" t="str">
        <f>IF($C$5="","",IFERROR(INDEX(상담데이터입력!I3:I502,MATCH($C$5,상담데이터입력!A3:A502,0)),""))</f>
        <v/>
      </c>
      <c r="D15" s="61" t="s">
        <v>109</v>
      </c>
      <c r="E15" s="63" t="str">
        <f>IF($C$5="","",IFERROR(INDEX(상담데이터입력!D3:D502,MATCH($C$5,상담데이터입력!A3:A502,0)),""))</f>
        <v/>
      </c>
    </row>
    <row r="17" spans="2:6" ht="15" customHeight="1">
      <c r="B17" s="6" t="s">
        <v>110</v>
      </c>
      <c r="C17" s="6"/>
      <c r="D17" s="6"/>
      <c r="E17" s="6"/>
      <c r="F17" s="6"/>
    </row>
    <row r="18" spans="2:6" ht="15" customHeight="1">
      <c r="B18" s="61" t="s">
        <v>111</v>
      </c>
      <c r="C18" s="63" t="str">
        <f>IF($C$5="","",IFERROR(INDEX(상담데이터입력!M3:M502,MATCH($C$5,상담데이터입력!A3:A502,0)),""))</f>
        <v/>
      </c>
      <c r="D18" s="61" t="s">
        <v>112</v>
      </c>
      <c r="E18" s="63" t="str">
        <f>IF($C$5="","",IFERROR(INDEX(상담데이터입력!M3:M502,MATCH($C$5,상담데이터입력!A3:A502,0)),""))</f>
        <v/>
      </c>
    </row>
    <row r="19" spans="2:6" ht="15" customHeight="1">
      <c r="B19" s="61" t="s">
        <v>113</v>
      </c>
      <c r="C19" s="63" t="str">
        <f>IF($C$5="","",IFERROR(INDEX(상담데이터입력!O3:O502,MATCH($C$5,상담데이터입력!A3:A502,0)),""))</f>
        <v/>
      </c>
      <c r="D19" s="61" t="s">
        <v>114</v>
      </c>
      <c r="E19" s="63" t="str">
        <f>IF($C$5="","",IFERROR(INDEX(상담데이터입력!AT3:AT502,MATCH($C$5,상담데이터입력!A3:A502,0)),""))</f>
        <v/>
      </c>
    </row>
    <row r="21" spans="2:6" ht="16.5" customHeight="1">
      <c r="B21" s="6" t="s">
        <v>115</v>
      </c>
      <c r="C21" s="6"/>
      <c r="D21" s="6"/>
      <c r="E21" s="6"/>
      <c r="F21" s="6"/>
    </row>
    <row r="22" spans="2:6" ht="15" customHeight="1">
      <c r="B22" s="61" t="s">
        <v>116</v>
      </c>
      <c r="C22" s="63" t="str">
        <f>IF($C$5="","",IFERROR(INDEX(상담데이터입력!S3:S502,MATCH($C$5,상담데이터입력!A3:A502,0)),""))</f>
        <v/>
      </c>
      <c r="D22" s="64" t="s">
        <v>117</v>
      </c>
      <c r="E22" s="63" t="str">
        <f>IF($C$5="","",IFERROR(INDEX(상담데이터입력!O3:O502,MATCH($C$5,상담데이터입력!A3:A502,0)),""))</f>
        <v/>
      </c>
    </row>
    <row r="23" spans="2:6" ht="15" customHeight="1">
      <c r="B23" s="64" t="s">
        <v>118</v>
      </c>
      <c r="C23" s="63" t="str">
        <f>IF($C$5="","",IFERROR(INDEX(상담데이터입력!Q3:Q502,MATCH($C$5,상담데이터입력!A3:A502,0)),""))</f>
        <v/>
      </c>
      <c r="D23" s="64" t="s">
        <v>119</v>
      </c>
      <c r="E23" s="63" t="str">
        <f>IF($C$5="","",IFERROR(INDEX(상담데이터입력!W3:W502,MATCH($C$5,상담데이터입력!A3:A502,0)),""))</f>
        <v/>
      </c>
    </row>
    <row r="24" spans="2:6" ht="15" customHeight="1">
      <c r="B24" s="64" t="s">
        <v>120</v>
      </c>
      <c r="C24" s="63" t="str">
        <f>IF($C$5="","",IFERROR(INDEX(상담데이터입력!X3:X502,MATCH($C$5,상담데이터입력!A3:A502,0)),""))</f>
        <v/>
      </c>
      <c r="D24" s="61" t="s">
        <v>121</v>
      </c>
      <c r="E24" s="63" t="str">
        <f>IF($C$5="","",IFERROR(INDEX(상담데이터입력!Q3:Q502,MATCH($C$5,상담데이터입력!A3:A502,0)),""))</f>
        <v/>
      </c>
    </row>
    <row r="25" spans="2:6" ht="15" customHeight="1">
      <c r="B25" s="61" t="s">
        <v>122</v>
      </c>
      <c r="C25" s="63" t="str">
        <f>IF($C$5="","",IFERROR(INDEX(상담데이터입력!T3:T502,MATCH($C$5,상담데이터입력!A3:A502,0)),""))</f>
        <v/>
      </c>
      <c r="D25" s="61" t="s">
        <v>123</v>
      </c>
      <c r="E25" s="63" t="str">
        <f>IF($C$5="","",IFERROR(INDEX(상담데이터입력!$CK$3:$CK$502,MATCH($C$5,상담데이터입력!$A$3:$A$502,0)),""))</f>
        <v/>
      </c>
    </row>
    <row r="27" spans="2:6" ht="16.5" customHeight="1">
      <c r="B27" s="6" t="s">
        <v>124</v>
      </c>
      <c r="C27" s="6"/>
      <c r="D27" s="6"/>
      <c r="E27" s="6"/>
      <c r="F27" s="6"/>
    </row>
    <row r="28" spans="2:6" ht="15" customHeight="1">
      <c r="B28" s="61" t="s">
        <v>125</v>
      </c>
      <c r="C28" s="63" t="str">
        <f>IF($C$5="","",IFERROR(INDEX(상담데이터입력!V3:V502,MATCH($C$5,상담데이터입력!A3:A502,0)),""))</f>
        <v/>
      </c>
      <c r="D28" s="61" t="s">
        <v>126</v>
      </c>
      <c r="E28" s="63" t="str">
        <f>IF($C$5="","",IFERROR(INDEX(상담데이터입력!AJ3:AJ502,MATCH($C$5,상담데이터입력!A3:A502,0)),""))</f>
        <v/>
      </c>
    </row>
    <row r="29" spans="2:6" ht="15" customHeight="1">
      <c r="B29" s="61" t="s">
        <v>127</v>
      </c>
      <c r="C29" s="63" t="str">
        <f>IF($C$5="","",IFERROR(INDEX(상담데이터입력!AD3:AD502,MATCH($C$5,상담데이터입력!A3:A502,0)),""))</f>
        <v/>
      </c>
      <c r="D29" s="61" t="s">
        <v>128</v>
      </c>
      <c r="E29" s="63" t="str">
        <f>IF($C$5="","",IFERROR(INDEX(상담데이터입력!AF3:AF502,MATCH($C$5,상담데이터입력!A3:A502,0)),""))</f>
        <v/>
      </c>
    </row>
    <row r="30" spans="2:6" ht="15" customHeight="1">
      <c r="B30" s="61" t="s">
        <v>129</v>
      </c>
      <c r="C30" s="63" t="str">
        <f>IF($C$5="","",IFERROR(INDEX(상담데이터입력!AF3:AF502,MATCH($C$5,상담데이터입력!A3:A502,0)),""))</f>
        <v/>
      </c>
      <c r="D30" s="61" t="s">
        <v>130</v>
      </c>
      <c r="E30" s="63" t="str">
        <f>IF($C$5="","",IFERROR(INDEX(상담데이터입력!AI3:AI502,MATCH($C$5,상담데이터입력!A3:A502,0)),""))</f>
        <v/>
      </c>
    </row>
    <row r="31" spans="2:6" ht="15" customHeight="1">
      <c r="B31" s="61" t="s">
        <v>131</v>
      </c>
      <c r="C31" s="63" t="str">
        <f>IF($C$5="","",IFERROR(INDEX(상담데이터입력!AG3:AG502,MATCH($C$5,상담데이터입력!A3:A502,0)),""))</f>
        <v/>
      </c>
      <c r="D31" s="61" t="s">
        <v>132</v>
      </c>
      <c r="E31" s="63" t="str">
        <f>IF($C$5="","",IFERROR(INDEX(상담데이터입력!AR3:AR502,MATCH($C$5,상담데이터입력!A3:A502,0)),""))</f>
        <v/>
      </c>
    </row>
    <row r="32" spans="2:6" ht="15" customHeight="1">
      <c r="B32" s="61" t="s">
        <v>133</v>
      </c>
      <c r="C32" s="63" t="str">
        <f>IF($C$5="","",IFERROR(INDEX(상담데이터입력!AR3:AR502,MATCH($C$5,상담데이터입력!A3:A502,0)),""))</f>
        <v/>
      </c>
      <c r="D32" s="61" t="s">
        <v>134</v>
      </c>
      <c r="E32" s="63" t="str">
        <f>IF($C$5="","",IFERROR(INDEX(상담데이터입력!$CJ$3:$CJ$502,MATCH($C$5,상담데이터입력!$A$3:$A$502,0)),""))</f>
        <v/>
      </c>
    </row>
    <row r="34" spans="2:6" ht="16.5" customHeight="1">
      <c r="B34" s="6" t="s">
        <v>135</v>
      </c>
      <c r="C34" s="6"/>
      <c r="D34" s="6"/>
      <c r="E34" s="6"/>
      <c r="F34" s="6"/>
    </row>
    <row r="35" spans="2:6" ht="15" customHeight="1">
      <c r="B35" s="61" t="s">
        <v>136</v>
      </c>
      <c r="C35" s="63" t="str">
        <f>IF($C$5="","",IFERROR(INDEX(상담데이터입력!AK3:AK502,MATCH($C$5,상담데이터입력!A3:A502,0)),""))</f>
        <v/>
      </c>
      <c r="D35" s="61" t="s">
        <v>137</v>
      </c>
      <c r="E35" s="63" t="str">
        <f>IF($C$5="","",IFERROR(INDEX(상담데이터입력!AO3:AO502,MATCH($C$5,상담데이터입력!A3:A502,0)),""))</f>
        <v/>
      </c>
    </row>
    <row r="36" spans="2:6" ht="15" customHeight="1">
      <c r="B36" s="61" t="s">
        <v>138</v>
      </c>
      <c r="C36" s="63" t="str">
        <f>IF($C$5="","",IFERROR(INDEX(상담데이터입력!AL3:AL502,MATCH($C$5,상담데이터입력!A3:A502,0)),""))</f>
        <v/>
      </c>
      <c r="D36" s="61"/>
      <c r="E36" s="63"/>
    </row>
    <row r="37" spans="2:6" ht="15" customHeight="1">
      <c r="B37" s="61" t="s">
        <v>139</v>
      </c>
      <c r="C37" s="63" t="str">
        <f>IF($C$5="","",IFERROR(INDEX(상담데이터입력!AM3:AM502,MATCH($C$5,상담데이터입력!A3:A502,0)),""))</f>
        <v/>
      </c>
      <c r="D37" s="61"/>
      <c r="E37" s="63"/>
    </row>
    <row r="39" spans="2:6" ht="16.5" customHeight="1">
      <c r="B39" s="6" t="s">
        <v>140</v>
      </c>
      <c r="C39" s="6"/>
      <c r="D39" s="6"/>
      <c r="E39" s="6"/>
      <c r="F39" s="6"/>
    </row>
    <row r="40" spans="2:6" ht="15" customHeight="1">
      <c r="B40" s="61" t="s">
        <v>141</v>
      </c>
      <c r="C40" s="63" t="str">
        <f>IF($C$5="","",IFERROR(INDEX(상담데이터입력!Z3:Z502,MATCH($C$5,상담데이터입력!A3:A502,0)),""))</f>
        <v/>
      </c>
      <c r="D40" s="61" t="s">
        <v>142</v>
      </c>
      <c r="E40" s="63" t="str">
        <f>IF($C$5="","",IFERROR(INDEX(상담데이터입력!AB3:AB502,MATCH($C$5,상담데이터입력!A3:A502,0)),""))</f>
        <v/>
      </c>
    </row>
    <row r="41" spans="2:6" ht="15" customHeight="1">
      <c r="B41" s="61" t="s">
        <v>143</v>
      </c>
      <c r="C41" s="63" t="str">
        <f>IF($C$5="","",IFERROR(INDEX(상담데이터입력!AB3:AB502,MATCH($C$5,상담데이터입력!A3:A502,0)),""))</f>
        <v/>
      </c>
      <c r="D41" s="61" t="s">
        <v>144</v>
      </c>
      <c r="E41" s="63" t="str">
        <f>IF($C$5="","",IFERROR(INDEX(상담데이터입력!AD3:AD502,MATCH($C$5,상담데이터입력!A3:A502,0)),""))</f>
        <v/>
      </c>
    </row>
    <row r="43" spans="2:6" ht="16.5" customHeight="1">
      <c r="B43" s="6" t="s">
        <v>145</v>
      </c>
      <c r="C43" s="6"/>
      <c r="D43" s="6"/>
      <c r="E43" s="6"/>
      <c r="F43" s="6"/>
    </row>
    <row r="44" spans="2:6" ht="15" customHeight="1">
      <c r="B44" s="61" t="s">
        <v>146</v>
      </c>
      <c r="C44" s="63" t="str">
        <f>IF($C$5="","",IFERROR(INDEX(상담데이터입력!AT3:AT502,MATCH($C$5,상담데이터입력!A3:A502,0)),""))</f>
        <v/>
      </c>
      <c r="D44" s="61" t="s">
        <v>147</v>
      </c>
      <c r="E44" s="63" t="str">
        <f>IF($C$5="","",IFERROR(INDEX(상담데이터입력!$CI$3:$CI$502,MATCH($C$5,상담데이터입력!$A$3:$A$502,0)),""))</f>
        <v/>
      </c>
    </row>
    <row r="45" spans="2:6" ht="15" customHeight="1">
      <c r="B45" s="61" t="s">
        <v>148</v>
      </c>
      <c r="C45" s="63" t="str">
        <f>IF($C$5="","",IFERROR(INDEX(상담데이터입력!AU3:AU502,MATCH($C$5,상담데이터입력!A3:A502,0)),""))</f>
        <v/>
      </c>
      <c r="D45" s="61" t="s">
        <v>149</v>
      </c>
      <c r="E45" s="63" t="str">
        <f>IF($C$5="","",IFERROR(INDEX(상담데이터입력!AW3:AW502,MATCH($C$5,상담데이터입력!A3:A502,0)),""))</f>
        <v/>
      </c>
    </row>
    <row r="46" spans="2:6" ht="15" customHeight="1">
      <c r="B46" s="61" t="s">
        <v>150</v>
      </c>
      <c r="C46" s="63" t="str">
        <f>IF($C$5="","",IFERROR(INDEX(상담데이터입력!AW3:AW502,MATCH($C$5,상담데이터입력!A3:A502,0)),""))</f>
        <v/>
      </c>
      <c r="D46" s="64" t="s">
        <v>151</v>
      </c>
      <c r="E46" s="63" t="str">
        <f>IF($C$5="","",IFERROR(INDEX(상담데이터입력!BF3:BF502,MATCH($C$5,상담데이터입력!A3:A502,0)),""))</f>
        <v/>
      </c>
    </row>
    <row r="48" spans="2:6" ht="16.5" customHeight="1">
      <c r="B48" s="5" t="s">
        <v>152</v>
      </c>
      <c r="C48" s="5"/>
      <c r="D48" s="5"/>
      <c r="E48" s="5"/>
      <c r="F48" s="5"/>
    </row>
    <row r="49" spans="2:6" ht="15" customHeight="1">
      <c r="B49" s="61" t="s">
        <v>153</v>
      </c>
      <c r="C49" s="63" t="str">
        <f>IF($C$5="","",IFERROR(INDEX(상담데이터입력!AY3:AY502,MATCH($C$5,상담데이터입력!A3:A502,0)),""))</f>
        <v/>
      </c>
      <c r="D49" s="61" t="s">
        <v>154</v>
      </c>
      <c r="E49" s="63" t="str">
        <f>IF($C$5="","",IFERROR(INDEX(상담데이터입력!BA3:BA502,MATCH($C$5,상담데이터입력!A3:A502,0)),""))</f>
        <v/>
      </c>
    </row>
    <row r="50" spans="2:6" ht="15" customHeight="1">
      <c r="B50" s="64" t="s">
        <v>155</v>
      </c>
      <c r="C50" s="63" t="str">
        <f>IF($C$5="","",IFERROR(INDEX(상담데이터입력!AZ3:AZ502,MATCH($C$5,상담데이터입력!A3:A502,0)),""))</f>
        <v/>
      </c>
      <c r="D50" s="61" t="s">
        <v>156</v>
      </c>
      <c r="E50" s="63" t="str">
        <f>IF($C$5="","",IFERROR(INDEX(상담데이터입력!BC3:BC502,MATCH($C$5,상담데이터입력!A3:A502,0)),""))</f>
        <v/>
      </c>
    </row>
    <row r="51" spans="2:6" ht="15" customHeight="1">
      <c r="B51" s="61" t="s">
        <v>157</v>
      </c>
      <c r="C51" s="63" t="str">
        <f>IF($C$5="","",IFERROR(INDEX(상담데이터입력!BB3:BB502,MATCH($C$5,상담데이터입력!A3:A502,0)),""))</f>
        <v/>
      </c>
      <c r="D51" s="61" t="s">
        <v>158</v>
      </c>
      <c r="E51" s="63" t="str">
        <f>IF($C$5="","",IFERROR(INDEX(상담데이터입력!BE3:BE502,MATCH($C$5,상담데이터입력!A3:A502,0)),""))</f>
        <v/>
      </c>
    </row>
    <row r="53" spans="2:6" ht="15" customHeight="1">
      <c r="B53" s="6" t="s">
        <v>81</v>
      </c>
      <c r="C53" s="6"/>
      <c r="D53" s="6"/>
      <c r="E53" s="6"/>
      <c r="F53" s="6"/>
    </row>
    <row r="54" spans="2:6" ht="15" customHeight="1">
      <c r="B54" s="61" t="s">
        <v>159</v>
      </c>
      <c r="C54" s="63" t="str">
        <f>IF($C$5="","",IFERROR(INDEX(상담데이터입력!U3:U502,MATCH($C$5,상담데이터입력!A3:A502,0)),""))</f>
        <v/>
      </c>
      <c r="D54" s="61" t="s">
        <v>160</v>
      </c>
      <c r="E54" s="63" t="str">
        <f>IF($C$5="","",IFERROR(INDEX(상담데이터입력!BG3:BG502,MATCH($C$5,상담데이터입력!A3:A502,0)),""))</f>
        <v/>
      </c>
    </row>
    <row r="55" spans="2:6" ht="15" customHeight="1">
      <c r="B55" s="61" t="s">
        <v>161</v>
      </c>
      <c r="C55" s="4" t="str">
        <f>IF($C$5="","",IFERROR(INDEX(상담데이터입력!BG3:BG502,MATCH($C$5,상담데이터입력!A3:A502,0)),""))</f>
        <v/>
      </c>
      <c r="D55" s="4"/>
      <c r="E55" s="4"/>
      <c r="F55" s="4"/>
    </row>
    <row r="57" spans="2:6" ht="16.5" customHeight="1">
      <c r="B57" s="6" t="s">
        <v>162</v>
      </c>
      <c r="C57" s="6"/>
      <c r="D57" s="6"/>
      <c r="E57" s="6"/>
      <c r="F57" s="6"/>
    </row>
    <row r="58" spans="2:6" ht="15" customHeight="1">
      <c r="B58" s="61" t="s">
        <v>163</v>
      </c>
      <c r="C58" s="63" t="str">
        <f>IF($C$5="","",IFERROR(INDEX(수강납입!$K$5:$K$504,MATCH(INDEX(상담데이터입력!$BH$3:$BH$502,MATCH($C$5,상담데이터입력!$A$3:$A$502,0)),수강납입!$A$5:$A$504,0)),""))</f>
        <v/>
      </c>
      <c r="D58" s="61" t="s">
        <v>164</v>
      </c>
      <c r="E58" s="63" t="str">
        <f>IF($C$5="","",IFERROR(INDEX(상담데이터입력!BQ3:BQ502,MATCH($C$5,상담데이터입력!A3:A502,0)),""))</f>
        <v/>
      </c>
    </row>
    <row r="59" spans="2:6" ht="15" customHeight="1">
      <c r="B59" s="61" t="s">
        <v>165</v>
      </c>
      <c r="C59" s="65" t="str">
        <f>IF($C$5="","",IFERROR(INDEX(수강납입!$E$5:$E$504,MATCH(INDEX(상담데이터입력!$BH$3:$BH$502,MATCH($C$5,상담데이터입력!$A$3:$A$502,0)),수강납입!$A$5:$A$504,0)),""))</f>
        <v/>
      </c>
      <c r="D59" s="61" t="s">
        <v>166</v>
      </c>
      <c r="E59" s="63" t="str">
        <f>IF($C$5="","",IFERROR(INDEX(상담데이터입력!BR3:BR502,MATCH($C$5,상담데이터입력!A3:A502,0)),""))</f>
        <v/>
      </c>
    </row>
    <row r="60" spans="2:6" ht="15" customHeight="1">
      <c r="B60" s="61" t="s">
        <v>167</v>
      </c>
      <c r="C60" s="62" t="str">
        <f>IF($C$5="","",IFERROR(INDEX(수강납입!$J$5:$J$504,MATCH(INDEX(상담데이터입력!$BH$3:$BH$502,MATCH($C$5,상담데이터입력!$A$3:$A$502,0)),수강납입!$A$5:$A$504,0)),""))</f>
        <v/>
      </c>
      <c r="D60" s="61" t="s">
        <v>168</v>
      </c>
      <c r="E60" s="63" t="str">
        <f>IF($C$5="","",IFERROR(INDEX(상담데이터입력!BN3:BN502,MATCH($C$5,상담데이터입력!A3:A502,0)),""))</f>
        <v/>
      </c>
    </row>
    <row r="61" spans="2:6" ht="15" customHeight="1">
      <c r="B61" s="61" t="s">
        <v>169</v>
      </c>
      <c r="C61" s="4" t="str">
        <f>IF($C$5="","",IFERROR(INDEX(수강납입!$I$5:$I$504,MATCH(INDEX(상담데이터입력!$BH$3:$BH$502,MATCH($C$5,상담데이터입력!$A$3:$A$502,0)),수강납입!$A$5:$A$504,0)),""))</f>
        <v/>
      </c>
      <c r="D61" s="4"/>
      <c r="E61" s="4"/>
      <c r="F61" s="4"/>
    </row>
  </sheetData>
  <mergeCells count="17">
    <mergeCell ref="B57:F57"/>
    <mergeCell ref="C61:F61"/>
    <mergeCell ref="B39:F39"/>
    <mergeCell ref="B43:F43"/>
    <mergeCell ref="B48:F48"/>
    <mergeCell ref="B53:F53"/>
    <mergeCell ref="C55:F55"/>
    <mergeCell ref="B10:F10"/>
    <mergeCell ref="B17:F17"/>
    <mergeCell ref="B21:F21"/>
    <mergeCell ref="B27:F27"/>
    <mergeCell ref="B34:F34"/>
    <mergeCell ref="B2:F2"/>
    <mergeCell ref="B3:F3"/>
    <mergeCell ref="C5:D5"/>
    <mergeCell ref="B7:F7"/>
    <mergeCell ref="B8:F8"/>
  </mergeCells>
  <phoneticPr fontId="56" type="noConversion"/>
  <dataValidations count="1">
    <dataValidation type="list" allowBlank="1" showInputMessage="1" promptTitle="선택" prompt="학생 이름을 선택하세요" sqref="C5" xr:uid="{00000000-0002-0000-0200-000000000000}">
      <formula1>학생명단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93E8"/>
  </sheetPr>
  <dimension ref="B2:J47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C5" sqref="C5:D5"/>
    </sheetView>
  </sheetViews>
  <sheetFormatPr defaultColWidth="8.6640625" defaultRowHeight="14.25"/>
  <cols>
    <col min="1" max="1" width="3" customWidth="1"/>
    <col min="2" max="4" width="13" customWidth="1"/>
    <col min="5" max="5" width="12" customWidth="1"/>
    <col min="6" max="7" width="11" customWidth="1"/>
    <col min="8" max="8" width="16" customWidth="1"/>
    <col min="9" max="9" width="26" customWidth="1"/>
    <col min="10" max="10" width="3" customWidth="1"/>
  </cols>
  <sheetData>
    <row r="2" spans="2:10" ht="37.5" customHeight="1">
      <c r="B2" s="11" t="s">
        <v>170</v>
      </c>
      <c r="C2" s="11"/>
      <c r="D2" s="11"/>
      <c r="E2" s="11"/>
      <c r="F2" s="11"/>
      <c r="G2" s="11"/>
      <c r="H2" s="11"/>
      <c r="I2" s="11"/>
      <c r="J2" s="11"/>
    </row>
    <row r="3" spans="2:10" ht="15" customHeight="1">
      <c r="B3" s="10" t="s">
        <v>171</v>
      </c>
      <c r="C3" s="10"/>
      <c r="D3" s="10"/>
      <c r="E3" s="10"/>
      <c r="F3" s="10"/>
      <c r="G3" s="10"/>
      <c r="H3" s="10"/>
      <c r="I3" s="10"/>
      <c r="J3" s="10"/>
    </row>
    <row r="5" spans="2:10" ht="24" customHeight="1">
      <c r="B5" s="60" t="s">
        <v>172</v>
      </c>
      <c r="C5" s="9"/>
      <c r="D5" s="9"/>
      <c r="F5" s="66" t="s">
        <v>173</v>
      </c>
      <c r="G5" s="67">
        <f>IF($C$5="",0,COUNTIF(상담데이터입력!D3:D502,$C$5))</f>
        <v>0</v>
      </c>
    </row>
    <row r="7" spans="2:10" ht="15" customHeight="1">
      <c r="B7" s="68" t="s">
        <v>174</v>
      </c>
      <c r="C7" s="68" t="s">
        <v>175</v>
      </c>
      <c r="D7" s="68" t="s">
        <v>106</v>
      </c>
      <c r="E7" s="68" t="s">
        <v>116</v>
      </c>
      <c r="F7" s="69" t="s">
        <v>176</v>
      </c>
      <c r="G7" s="68" t="s">
        <v>177</v>
      </c>
      <c r="H7" s="68" t="s">
        <v>178</v>
      </c>
      <c r="I7" s="68" t="s">
        <v>179</v>
      </c>
    </row>
    <row r="8" spans="2:10" ht="15" customHeight="1">
      <c r="B8" s="70" t="str">
        <f>IFERROR(INDEX(상담데이터입력!A3:A502,MATCH(1,상담데이터입력!$BJ$3:$BJ$502,0)),"")</f>
        <v/>
      </c>
      <c r="C8" s="70" t="str">
        <f>IF($B8="","",IFERROR(INDEX(상담데이터입력!B3:B502,MATCH($B8,상담데이터입력!A3:A502,0)),""))</f>
        <v/>
      </c>
      <c r="D8" s="71" t="str">
        <f>IF($B8="","",IFERROR(INDEX(상담데이터입력!H3:H502,MATCH($B8,상담데이터입력!A3:A502,0)),""))</f>
        <v/>
      </c>
      <c r="E8" s="71" t="str">
        <f>IF($B8="","",IFERROR(INDEX(상담데이터입력!S3:S502,MATCH($B8,상담데이터입력!A3:A502,0)),""))</f>
        <v/>
      </c>
      <c r="F8" s="71" t="str">
        <f>IF($B8="","",IFERROR(INDEX(상담데이터입력!W3:W502,MATCH($B8,상담데이터입력!A3:A502,0)),""))</f>
        <v/>
      </c>
      <c r="G8" s="71" t="str">
        <f>IF($B8="","",IFERROR(INDEX(상담데이터입력!Y3:Y502,MATCH($B8,상담데이터입력!A3:A502,0)),""))</f>
        <v/>
      </c>
      <c r="H8" s="72" t="str">
        <f>IF($B8="","",IFERROR(INDEX(상담데이터입력!BG3:BG502,MATCH($B8,상담데이터입력!A3:A502,0)),""))</f>
        <v/>
      </c>
      <c r="I8" s="73" t="str">
        <f>IF($B8="","",IFERROR(INDEX(상담데이터입력!BI3:BI502,MATCH($B8,상담데이터입력!A3:A502,0)),""))</f>
        <v/>
      </c>
    </row>
    <row r="9" spans="2:10" ht="15" customHeight="1">
      <c r="B9" s="74" t="str">
        <f>IFERROR(INDEX(상담데이터입력!A3:A502,MATCH(2,상담데이터입력!$BJ$3:$BJ$502,0)),"")</f>
        <v/>
      </c>
      <c r="C9" s="74" t="str">
        <f>IF($B9="","",IFERROR(INDEX(상담데이터입력!B3:B502,MATCH($B9,상담데이터입력!A3:A502,0)),""))</f>
        <v/>
      </c>
      <c r="D9" s="75" t="str">
        <f>IF($B9="","",IFERROR(INDEX(상담데이터입력!H3:H502,MATCH($B9,상담데이터입력!A3:A502,0)),""))</f>
        <v/>
      </c>
      <c r="E9" s="75" t="str">
        <f>IF($B9="","",IFERROR(INDEX(상담데이터입력!S3:S502,MATCH($B9,상담데이터입력!A3:A502,0)),""))</f>
        <v/>
      </c>
      <c r="F9" s="75" t="str">
        <f>IF($B9="","",IFERROR(INDEX(상담데이터입력!W3:W502,MATCH($B9,상담데이터입력!A3:A502,0)),""))</f>
        <v/>
      </c>
      <c r="G9" s="75" t="str">
        <f>IF($B9="","",IFERROR(INDEX(상담데이터입력!Y3:Y502,MATCH($B9,상담데이터입력!A3:A502,0)),""))</f>
        <v/>
      </c>
      <c r="H9" s="76" t="str">
        <f>IF($B9="","",IFERROR(INDEX(상담데이터입력!BG3:BG502,MATCH($B9,상담데이터입력!A3:A502,0)),""))</f>
        <v/>
      </c>
      <c r="I9" s="77" t="str">
        <f>IF($B9="","",IFERROR(INDEX(상담데이터입력!BI3:BI502,MATCH($B9,상담데이터입력!A3:A502,0)),""))</f>
        <v/>
      </c>
    </row>
    <row r="10" spans="2:10" ht="15" customHeight="1">
      <c r="B10" s="70" t="str">
        <f>IFERROR(INDEX(상담데이터입력!A3:A502,MATCH(3,상담데이터입력!$BJ$3:$BJ$502,0)),"")</f>
        <v/>
      </c>
      <c r="C10" s="70" t="str">
        <f>IF($B10="","",IFERROR(INDEX(상담데이터입력!B3:B502,MATCH($B10,상담데이터입력!A3:A502,0)),""))</f>
        <v/>
      </c>
      <c r="D10" s="71" t="str">
        <f>IF($B10="","",IFERROR(INDEX(상담데이터입력!H3:H502,MATCH($B10,상담데이터입력!A3:A502,0)),""))</f>
        <v/>
      </c>
      <c r="E10" s="71" t="str">
        <f>IF($B10="","",IFERROR(INDEX(상담데이터입력!S3:S502,MATCH($B10,상담데이터입력!A3:A502,0)),""))</f>
        <v/>
      </c>
      <c r="F10" s="71" t="str">
        <f>IF($B10="","",IFERROR(INDEX(상담데이터입력!W3:W502,MATCH($B10,상담데이터입력!A3:A502,0)),""))</f>
        <v/>
      </c>
      <c r="G10" s="71" t="str">
        <f>IF($B10="","",IFERROR(INDEX(상담데이터입력!Y3:Y502,MATCH($B10,상담데이터입력!A3:A502,0)),""))</f>
        <v/>
      </c>
      <c r="H10" s="72" t="str">
        <f>IF($B10="","",IFERROR(INDEX(상담데이터입력!BG3:BG502,MATCH($B10,상담데이터입력!A3:A502,0)),""))</f>
        <v/>
      </c>
      <c r="I10" s="73" t="str">
        <f>IF($B10="","",IFERROR(INDEX(상담데이터입력!BI3:BI502,MATCH($B10,상담데이터입력!A3:A502,0)),""))</f>
        <v/>
      </c>
    </row>
    <row r="11" spans="2:10" ht="15" customHeight="1">
      <c r="B11" s="74" t="str">
        <f>IFERROR(INDEX(상담데이터입력!A3:A502,MATCH(4,상담데이터입력!$BJ$3:$BJ$502,0)),"")</f>
        <v/>
      </c>
      <c r="C11" s="74" t="str">
        <f>IF($B11="","",IFERROR(INDEX(상담데이터입력!B3:B502,MATCH($B11,상담데이터입력!A3:A502,0)),""))</f>
        <v/>
      </c>
      <c r="D11" s="75" t="str">
        <f>IF($B11="","",IFERROR(INDEX(상담데이터입력!H3:H502,MATCH($B11,상담데이터입력!A3:A502,0)),""))</f>
        <v/>
      </c>
      <c r="E11" s="75" t="str">
        <f>IF($B11="","",IFERROR(INDEX(상담데이터입력!S3:S502,MATCH($B11,상담데이터입력!A3:A502,0)),""))</f>
        <v/>
      </c>
      <c r="F11" s="75" t="str">
        <f>IF($B11="","",IFERROR(INDEX(상담데이터입력!W3:W502,MATCH($B11,상담데이터입력!A3:A502,0)),""))</f>
        <v/>
      </c>
      <c r="G11" s="75" t="str">
        <f>IF($B11="","",IFERROR(INDEX(상담데이터입력!Y3:Y502,MATCH($B11,상담데이터입력!A3:A502,0)),""))</f>
        <v/>
      </c>
      <c r="H11" s="76" t="str">
        <f>IF($B11="","",IFERROR(INDEX(상담데이터입력!BG3:BG502,MATCH($B11,상담데이터입력!A3:A502,0)),""))</f>
        <v/>
      </c>
      <c r="I11" s="77" t="str">
        <f>IF($B11="","",IFERROR(INDEX(상담데이터입력!BI3:BI502,MATCH($B11,상담데이터입력!A3:A502,0)),""))</f>
        <v/>
      </c>
    </row>
    <row r="12" spans="2:10" ht="15" customHeight="1">
      <c r="B12" s="70" t="str">
        <f>IFERROR(INDEX(상담데이터입력!A3:A502,MATCH(5,상담데이터입력!$BJ$3:$BJ$502,0)),"")</f>
        <v/>
      </c>
      <c r="C12" s="70" t="str">
        <f>IF($B12="","",IFERROR(INDEX(상담데이터입력!B3:B502,MATCH($B12,상담데이터입력!A3:A502,0)),""))</f>
        <v/>
      </c>
      <c r="D12" s="71" t="str">
        <f>IF($B12="","",IFERROR(INDEX(상담데이터입력!H3:H502,MATCH($B12,상담데이터입력!A3:A502,0)),""))</f>
        <v/>
      </c>
      <c r="E12" s="71" t="str">
        <f>IF($B12="","",IFERROR(INDEX(상담데이터입력!S3:S502,MATCH($B12,상담데이터입력!A3:A502,0)),""))</f>
        <v/>
      </c>
      <c r="F12" s="71" t="str">
        <f>IF($B12="","",IFERROR(INDEX(상담데이터입력!W3:W502,MATCH($B12,상담데이터입력!A3:A502,0)),""))</f>
        <v/>
      </c>
      <c r="G12" s="71" t="str">
        <f>IF($B12="","",IFERROR(INDEX(상담데이터입력!Y3:Y502,MATCH($B12,상담데이터입력!A3:A502,0)),""))</f>
        <v/>
      </c>
      <c r="H12" s="72" t="str">
        <f>IF($B12="","",IFERROR(INDEX(상담데이터입력!BG3:BG502,MATCH($B12,상담데이터입력!A3:A502,0)),""))</f>
        <v/>
      </c>
      <c r="I12" s="73" t="str">
        <f>IF($B12="","",IFERROR(INDEX(상담데이터입력!BI3:BI502,MATCH($B12,상담데이터입력!A3:A502,0)),""))</f>
        <v/>
      </c>
    </row>
    <row r="13" spans="2:10" ht="15" customHeight="1">
      <c r="B13" s="74" t="str">
        <f>IFERROR(INDEX(상담데이터입력!A3:A502,MATCH(6,상담데이터입력!$BJ$3:$BJ$502,0)),"")</f>
        <v/>
      </c>
      <c r="C13" s="74" t="str">
        <f>IF($B13="","",IFERROR(INDEX(상담데이터입력!B3:B502,MATCH($B13,상담데이터입력!A3:A502,0)),""))</f>
        <v/>
      </c>
      <c r="D13" s="75" t="str">
        <f>IF($B13="","",IFERROR(INDEX(상담데이터입력!H3:H502,MATCH($B13,상담데이터입력!A3:A502,0)),""))</f>
        <v/>
      </c>
      <c r="E13" s="75" t="str">
        <f>IF($B13="","",IFERROR(INDEX(상담데이터입력!S3:S502,MATCH($B13,상담데이터입력!A3:A502,0)),""))</f>
        <v/>
      </c>
      <c r="F13" s="75" t="str">
        <f>IF($B13="","",IFERROR(INDEX(상담데이터입력!W3:W502,MATCH($B13,상담데이터입력!A3:A502,0)),""))</f>
        <v/>
      </c>
      <c r="G13" s="75" t="str">
        <f>IF($B13="","",IFERROR(INDEX(상담데이터입력!Y3:Y502,MATCH($B13,상담데이터입력!A3:A502,0)),""))</f>
        <v/>
      </c>
      <c r="H13" s="76" t="str">
        <f>IF($B13="","",IFERROR(INDEX(상담데이터입력!BG3:BG502,MATCH($B13,상담데이터입력!A3:A502,0)),""))</f>
        <v/>
      </c>
      <c r="I13" s="77" t="str">
        <f>IF($B13="","",IFERROR(INDEX(상담데이터입력!BI3:BI502,MATCH($B13,상담데이터입력!A3:A502,0)),""))</f>
        <v/>
      </c>
    </row>
    <row r="14" spans="2:10" ht="15" customHeight="1">
      <c r="B14" s="70" t="str">
        <f>IFERROR(INDEX(상담데이터입력!A3:A502,MATCH(7,상담데이터입력!$BJ$3:$BJ$502,0)),"")</f>
        <v/>
      </c>
      <c r="C14" s="70" t="str">
        <f>IF($B14="","",IFERROR(INDEX(상담데이터입력!B3:B502,MATCH($B14,상담데이터입력!A3:A502,0)),""))</f>
        <v/>
      </c>
      <c r="D14" s="71" t="str">
        <f>IF($B14="","",IFERROR(INDEX(상담데이터입력!H3:H502,MATCH($B14,상담데이터입력!A3:A502,0)),""))</f>
        <v/>
      </c>
      <c r="E14" s="71" t="str">
        <f>IF($B14="","",IFERROR(INDEX(상담데이터입력!S3:S502,MATCH($B14,상담데이터입력!A3:A502,0)),""))</f>
        <v/>
      </c>
      <c r="F14" s="71" t="str">
        <f>IF($B14="","",IFERROR(INDEX(상담데이터입력!W3:W502,MATCH($B14,상담데이터입력!A3:A502,0)),""))</f>
        <v/>
      </c>
      <c r="G14" s="71" t="str">
        <f>IF($B14="","",IFERROR(INDEX(상담데이터입력!Y3:Y502,MATCH($B14,상담데이터입력!A3:A502,0)),""))</f>
        <v/>
      </c>
      <c r="H14" s="72" t="str">
        <f>IF($B14="","",IFERROR(INDEX(상담데이터입력!BG3:BG502,MATCH($B14,상담데이터입력!A3:A502,0)),""))</f>
        <v/>
      </c>
      <c r="I14" s="73" t="str">
        <f>IF($B14="","",IFERROR(INDEX(상담데이터입력!BI3:BI502,MATCH($B14,상담데이터입력!A3:A502,0)),""))</f>
        <v/>
      </c>
    </row>
    <row r="15" spans="2:10" ht="15" customHeight="1">
      <c r="B15" s="74" t="str">
        <f>IFERROR(INDEX(상담데이터입력!A3:A502,MATCH(8,상담데이터입력!$BJ$3:$BJ$502,0)),"")</f>
        <v/>
      </c>
      <c r="C15" s="74" t="str">
        <f>IF($B15="","",IFERROR(INDEX(상담데이터입력!B3:B502,MATCH($B15,상담데이터입력!A3:A502,0)),""))</f>
        <v/>
      </c>
      <c r="D15" s="75" t="str">
        <f>IF($B15="","",IFERROR(INDEX(상담데이터입력!H3:H502,MATCH($B15,상담데이터입력!A3:A502,0)),""))</f>
        <v/>
      </c>
      <c r="E15" s="75" t="str">
        <f>IF($B15="","",IFERROR(INDEX(상담데이터입력!S3:S502,MATCH($B15,상담데이터입력!A3:A502,0)),""))</f>
        <v/>
      </c>
      <c r="F15" s="75" t="str">
        <f>IF($B15="","",IFERROR(INDEX(상담데이터입력!W3:W502,MATCH($B15,상담데이터입력!A3:A502,0)),""))</f>
        <v/>
      </c>
      <c r="G15" s="75" t="str">
        <f>IF($B15="","",IFERROR(INDEX(상담데이터입력!Y3:Y502,MATCH($B15,상담데이터입력!A3:A502,0)),""))</f>
        <v/>
      </c>
      <c r="H15" s="76" t="str">
        <f>IF($B15="","",IFERROR(INDEX(상담데이터입력!BG3:BG502,MATCH($B15,상담데이터입력!A3:A502,0)),""))</f>
        <v/>
      </c>
      <c r="I15" s="77" t="str">
        <f>IF($B15="","",IFERROR(INDEX(상담데이터입력!BI3:BI502,MATCH($B15,상담데이터입력!A3:A502,0)),""))</f>
        <v/>
      </c>
    </row>
    <row r="16" spans="2:10" ht="15" customHeight="1">
      <c r="B16" s="70" t="str">
        <f>IFERROR(INDEX(상담데이터입력!A3:A502,MATCH(9,상담데이터입력!$BJ$3:$BJ$502,0)),"")</f>
        <v/>
      </c>
      <c r="C16" s="70" t="str">
        <f>IF($B16="","",IFERROR(INDEX(상담데이터입력!B3:B502,MATCH($B16,상담데이터입력!A3:A502,0)),""))</f>
        <v/>
      </c>
      <c r="D16" s="71" t="str">
        <f>IF($B16="","",IFERROR(INDEX(상담데이터입력!H3:H502,MATCH($B16,상담데이터입력!A3:A502,0)),""))</f>
        <v/>
      </c>
      <c r="E16" s="71" t="str">
        <f>IF($B16="","",IFERROR(INDEX(상담데이터입력!S3:S502,MATCH($B16,상담데이터입력!A3:A502,0)),""))</f>
        <v/>
      </c>
      <c r="F16" s="71" t="str">
        <f>IF($B16="","",IFERROR(INDEX(상담데이터입력!W3:W502,MATCH($B16,상담데이터입력!A3:A502,0)),""))</f>
        <v/>
      </c>
      <c r="G16" s="71" t="str">
        <f>IF($B16="","",IFERROR(INDEX(상담데이터입력!Y3:Y502,MATCH($B16,상담데이터입력!A3:A502,0)),""))</f>
        <v/>
      </c>
      <c r="H16" s="72" t="str">
        <f>IF($B16="","",IFERROR(INDEX(상담데이터입력!BG3:BG502,MATCH($B16,상담데이터입력!A3:A502,0)),""))</f>
        <v/>
      </c>
      <c r="I16" s="73" t="str">
        <f>IF($B16="","",IFERROR(INDEX(상담데이터입력!BI3:BI502,MATCH($B16,상담데이터입력!A3:A502,0)),""))</f>
        <v/>
      </c>
    </row>
    <row r="17" spans="2:9" ht="15" customHeight="1">
      <c r="B17" s="74" t="str">
        <f>IFERROR(INDEX(상담데이터입력!A3:A502,MATCH(10,상담데이터입력!$BJ$3:$BJ$502,0)),"")</f>
        <v/>
      </c>
      <c r="C17" s="74" t="str">
        <f>IF($B17="","",IFERROR(INDEX(상담데이터입력!B3:B502,MATCH($B17,상담데이터입력!A3:A502,0)),""))</f>
        <v/>
      </c>
      <c r="D17" s="75" t="str">
        <f>IF($B17="","",IFERROR(INDEX(상담데이터입력!H3:H502,MATCH($B17,상담데이터입력!A3:A502,0)),""))</f>
        <v/>
      </c>
      <c r="E17" s="75" t="str">
        <f>IF($B17="","",IFERROR(INDEX(상담데이터입력!S3:S502,MATCH($B17,상담데이터입력!A3:A502,0)),""))</f>
        <v/>
      </c>
      <c r="F17" s="75" t="str">
        <f>IF($B17="","",IFERROR(INDEX(상담데이터입력!W3:W502,MATCH($B17,상담데이터입력!A3:A502,0)),""))</f>
        <v/>
      </c>
      <c r="G17" s="75" t="str">
        <f>IF($B17="","",IFERROR(INDEX(상담데이터입력!Y3:Y502,MATCH($B17,상담데이터입력!A3:A502,0)),""))</f>
        <v/>
      </c>
      <c r="H17" s="76" t="str">
        <f>IF($B17="","",IFERROR(INDEX(상담데이터입력!BG3:BG502,MATCH($B17,상담데이터입력!A3:A502,0)),""))</f>
        <v/>
      </c>
      <c r="I17" s="77" t="str">
        <f>IF($B17="","",IFERROR(INDEX(상담데이터입력!BI3:BI502,MATCH($B17,상담데이터입력!A3:A502,0)),""))</f>
        <v/>
      </c>
    </row>
    <row r="18" spans="2:9" ht="15" customHeight="1">
      <c r="B18" s="70" t="str">
        <f>IFERROR(INDEX(상담데이터입력!A3:A502,MATCH(11,상담데이터입력!$BJ$3:$BJ$502,0)),"")</f>
        <v/>
      </c>
      <c r="C18" s="70" t="str">
        <f>IF($B18="","",IFERROR(INDEX(상담데이터입력!B3:B502,MATCH($B18,상담데이터입력!A3:A502,0)),""))</f>
        <v/>
      </c>
      <c r="D18" s="71" t="str">
        <f>IF($B18="","",IFERROR(INDEX(상담데이터입력!H3:H502,MATCH($B18,상담데이터입력!A3:A502,0)),""))</f>
        <v/>
      </c>
      <c r="E18" s="71" t="str">
        <f>IF($B18="","",IFERROR(INDEX(상담데이터입력!S3:S502,MATCH($B18,상담데이터입력!A3:A502,0)),""))</f>
        <v/>
      </c>
      <c r="F18" s="71" t="str">
        <f>IF($B18="","",IFERROR(INDEX(상담데이터입력!W3:W502,MATCH($B18,상담데이터입력!A3:A502,0)),""))</f>
        <v/>
      </c>
      <c r="G18" s="71" t="str">
        <f>IF($B18="","",IFERROR(INDEX(상담데이터입력!Y3:Y502,MATCH($B18,상담데이터입력!A3:A502,0)),""))</f>
        <v/>
      </c>
      <c r="H18" s="72" t="str">
        <f>IF($B18="","",IFERROR(INDEX(상담데이터입력!BG3:BG502,MATCH($B18,상담데이터입력!A3:A502,0)),""))</f>
        <v/>
      </c>
      <c r="I18" s="73" t="str">
        <f>IF($B18="","",IFERROR(INDEX(상담데이터입력!BI3:BI502,MATCH($B18,상담데이터입력!A3:A502,0)),""))</f>
        <v/>
      </c>
    </row>
    <row r="19" spans="2:9" ht="15" customHeight="1">
      <c r="B19" s="74" t="str">
        <f>IFERROR(INDEX(상담데이터입력!A3:A502,MATCH(12,상담데이터입력!$BJ$3:$BJ$502,0)),"")</f>
        <v/>
      </c>
      <c r="C19" s="74" t="str">
        <f>IF($B19="","",IFERROR(INDEX(상담데이터입력!B3:B502,MATCH($B19,상담데이터입력!A3:A502,0)),""))</f>
        <v/>
      </c>
      <c r="D19" s="75" t="str">
        <f>IF($B19="","",IFERROR(INDEX(상담데이터입력!H3:H502,MATCH($B19,상담데이터입력!A3:A502,0)),""))</f>
        <v/>
      </c>
      <c r="E19" s="75" t="str">
        <f>IF($B19="","",IFERROR(INDEX(상담데이터입력!S3:S502,MATCH($B19,상담데이터입력!A3:A502,0)),""))</f>
        <v/>
      </c>
      <c r="F19" s="75" t="str">
        <f>IF($B19="","",IFERROR(INDEX(상담데이터입력!W3:W502,MATCH($B19,상담데이터입력!A3:A502,0)),""))</f>
        <v/>
      </c>
      <c r="G19" s="75" t="str">
        <f>IF($B19="","",IFERROR(INDEX(상담데이터입력!Y3:Y502,MATCH($B19,상담데이터입력!A3:A502,0)),""))</f>
        <v/>
      </c>
      <c r="H19" s="76" t="str">
        <f>IF($B19="","",IFERROR(INDEX(상담데이터입력!BG3:BG502,MATCH($B19,상담데이터입력!A3:A502,0)),""))</f>
        <v/>
      </c>
      <c r="I19" s="77" t="str">
        <f>IF($B19="","",IFERROR(INDEX(상담데이터입력!BI3:BI502,MATCH($B19,상담데이터입력!A3:A502,0)),""))</f>
        <v/>
      </c>
    </row>
    <row r="20" spans="2:9" ht="15" customHeight="1">
      <c r="B20" s="70" t="str">
        <f>IFERROR(INDEX(상담데이터입력!A3:A502,MATCH(13,상담데이터입력!$BJ$3:$BJ$502,0)),"")</f>
        <v/>
      </c>
      <c r="C20" s="70" t="str">
        <f>IF($B20="","",IFERROR(INDEX(상담데이터입력!B3:B502,MATCH($B20,상담데이터입력!A3:A502,0)),""))</f>
        <v/>
      </c>
      <c r="D20" s="71" t="str">
        <f>IF($B20="","",IFERROR(INDEX(상담데이터입력!H3:H502,MATCH($B20,상담데이터입력!A3:A502,0)),""))</f>
        <v/>
      </c>
      <c r="E20" s="71" t="str">
        <f>IF($B20="","",IFERROR(INDEX(상담데이터입력!S3:S502,MATCH($B20,상담데이터입력!A3:A502,0)),""))</f>
        <v/>
      </c>
      <c r="F20" s="71" t="str">
        <f>IF($B20="","",IFERROR(INDEX(상담데이터입력!W3:W502,MATCH($B20,상담데이터입력!A3:A502,0)),""))</f>
        <v/>
      </c>
      <c r="G20" s="71" t="str">
        <f>IF($B20="","",IFERROR(INDEX(상담데이터입력!Y3:Y502,MATCH($B20,상담데이터입력!A3:A502,0)),""))</f>
        <v/>
      </c>
      <c r="H20" s="72" t="str">
        <f>IF($B20="","",IFERROR(INDEX(상담데이터입력!BG3:BG502,MATCH($B20,상담데이터입력!A3:A502,0)),""))</f>
        <v/>
      </c>
      <c r="I20" s="73" t="str">
        <f>IF($B20="","",IFERROR(INDEX(상담데이터입력!BI3:BI502,MATCH($B20,상담데이터입력!A3:A502,0)),""))</f>
        <v/>
      </c>
    </row>
    <row r="21" spans="2:9" ht="15" customHeight="1">
      <c r="B21" s="74" t="str">
        <f>IFERROR(INDEX(상담데이터입력!A3:A502,MATCH(14,상담데이터입력!$BJ$3:$BJ$502,0)),"")</f>
        <v/>
      </c>
      <c r="C21" s="74" t="str">
        <f>IF($B21="","",IFERROR(INDEX(상담데이터입력!B3:B502,MATCH($B21,상담데이터입력!A3:A502,0)),""))</f>
        <v/>
      </c>
      <c r="D21" s="75" t="str">
        <f>IF($B21="","",IFERROR(INDEX(상담데이터입력!H3:H502,MATCH($B21,상담데이터입력!A3:A502,0)),""))</f>
        <v/>
      </c>
      <c r="E21" s="75" t="str">
        <f>IF($B21="","",IFERROR(INDEX(상담데이터입력!S3:S502,MATCH($B21,상담데이터입력!A3:A502,0)),""))</f>
        <v/>
      </c>
      <c r="F21" s="75" t="str">
        <f>IF($B21="","",IFERROR(INDEX(상담데이터입력!W3:W502,MATCH($B21,상담데이터입력!A3:A502,0)),""))</f>
        <v/>
      </c>
      <c r="G21" s="75" t="str">
        <f>IF($B21="","",IFERROR(INDEX(상담데이터입력!Y3:Y502,MATCH($B21,상담데이터입력!A3:A502,0)),""))</f>
        <v/>
      </c>
      <c r="H21" s="76" t="str">
        <f>IF($B21="","",IFERROR(INDEX(상담데이터입력!BG3:BG502,MATCH($B21,상담데이터입력!A3:A502,0)),""))</f>
        <v/>
      </c>
      <c r="I21" s="77" t="str">
        <f>IF($B21="","",IFERROR(INDEX(상담데이터입력!BI3:BI502,MATCH($B21,상담데이터입력!A3:A502,0)),""))</f>
        <v/>
      </c>
    </row>
    <row r="22" spans="2:9" ht="15" customHeight="1">
      <c r="B22" s="70" t="str">
        <f>IFERROR(INDEX(상담데이터입력!A3:A502,MATCH(15,상담데이터입력!$BJ$3:$BJ$502,0)),"")</f>
        <v/>
      </c>
      <c r="C22" s="70" t="str">
        <f>IF($B22="","",IFERROR(INDEX(상담데이터입력!B3:B502,MATCH($B22,상담데이터입력!A3:A502,0)),""))</f>
        <v/>
      </c>
      <c r="D22" s="71" t="str">
        <f>IF($B22="","",IFERROR(INDEX(상담데이터입력!H3:H502,MATCH($B22,상담데이터입력!A3:A502,0)),""))</f>
        <v/>
      </c>
      <c r="E22" s="71" t="str">
        <f>IF($B22="","",IFERROR(INDEX(상담데이터입력!S3:S502,MATCH($B22,상담데이터입력!A3:A502,0)),""))</f>
        <v/>
      </c>
      <c r="F22" s="71" t="str">
        <f>IF($B22="","",IFERROR(INDEX(상담데이터입력!W3:W502,MATCH($B22,상담데이터입력!A3:A502,0)),""))</f>
        <v/>
      </c>
      <c r="G22" s="71" t="str">
        <f>IF($B22="","",IFERROR(INDEX(상담데이터입력!Y3:Y502,MATCH($B22,상담데이터입력!A3:A502,0)),""))</f>
        <v/>
      </c>
      <c r="H22" s="72" t="str">
        <f>IF($B22="","",IFERROR(INDEX(상담데이터입력!BG3:BG502,MATCH($B22,상담데이터입력!A3:A502,0)),""))</f>
        <v/>
      </c>
      <c r="I22" s="73" t="str">
        <f>IF($B22="","",IFERROR(INDEX(상담데이터입력!BI3:BI502,MATCH($B22,상담데이터입력!A3:A502,0)),""))</f>
        <v/>
      </c>
    </row>
    <row r="23" spans="2:9" ht="15" customHeight="1">
      <c r="B23" s="74" t="str">
        <f>IFERROR(INDEX(상담데이터입력!A3:A502,MATCH(16,상담데이터입력!$BJ$3:$BJ$502,0)),"")</f>
        <v/>
      </c>
      <c r="C23" s="74" t="str">
        <f>IF($B23="","",IFERROR(INDEX(상담데이터입력!B3:B502,MATCH($B23,상담데이터입력!A3:A502,0)),""))</f>
        <v/>
      </c>
      <c r="D23" s="75" t="str">
        <f>IF($B23="","",IFERROR(INDEX(상담데이터입력!H3:H502,MATCH($B23,상담데이터입력!A3:A502,0)),""))</f>
        <v/>
      </c>
      <c r="E23" s="75" t="str">
        <f>IF($B23="","",IFERROR(INDEX(상담데이터입력!S3:S502,MATCH($B23,상담데이터입력!A3:A502,0)),""))</f>
        <v/>
      </c>
      <c r="F23" s="75" t="str">
        <f>IF($B23="","",IFERROR(INDEX(상담데이터입력!W3:W502,MATCH($B23,상담데이터입력!A3:A502,0)),""))</f>
        <v/>
      </c>
      <c r="G23" s="75" t="str">
        <f>IF($B23="","",IFERROR(INDEX(상담데이터입력!Y3:Y502,MATCH($B23,상담데이터입력!A3:A502,0)),""))</f>
        <v/>
      </c>
      <c r="H23" s="76" t="str">
        <f>IF($B23="","",IFERROR(INDEX(상담데이터입력!BG3:BG502,MATCH($B23,상담데이터입력!A3:A502,0)),""))</f>
        <v/>
      </c>
      <c r="I23" s="77" t="str">
        <f>IF($B23="","",IFERROR(INDEX(상담데이터입력!BI3:BI502,MATCH($B23,상담데이터입력!A3:A502,0)),""))</f>
        <v/>
      </c>
    </row>
    <row r="24" spans="2:9" ht="15" customHeight="1">
      <c r="B24" s="70" t="str">
        <f>IFERROR(INDEX(상담데이터입력!A3:A502,MATCH(17,상담데이터입력!$BJ$3:$BJ$502,0)),"")</f>
        <v/>
      </c>
      <c r="C24" s="70" t="str">
        <f>IF($B24="","",IFERROR(INDEX(상담데이터입력!B3:B502,MATCH($B24,상담데이터입력!A3:A502,0)),""))</f>
        <v/>
      </c>
      <c r="D24" s="71" t="str">
        <f>IF($B24="","",IFERROR(INDEX(상담데이터입력!H3:H502,MATCH($B24,상담데이터입력!A3:A502,0)),""))</f>
        <v/>
      </c>
      <c r="E24" s="71" t="str">
        <f>IF($B24="","",IFERROR(INDEX(상담데이터입력!S3:S502,MATCH($B24,상담데이터입력!A3:A502,0)),""))</f>
        <v/>
      </c>
      <c r="F24" s="71" t="str">
        <f>IF($B24="","",IFERROR(INDEX(상담데이터입력!W3:W502,MATCH($B24,상담데이터입력!A3:A502,0)),""))</f>
        <v/>
      </c>
      <c r="G24" s="71" t="str">
        <f>IF($B24="","",IFERROR(INDEX(상담데이터입력!Y3:Y502,MATCH($B24,상담데이터입력!A3:A502,0)),""))</f>
        <v/>
      </c>
      <c r="H24" s="72" t="str">
        <f>IF($B24="","",IFERROR(INDEX(상담데이터입력!BG3:BG502,MATCH($B24,상담데이터입력!A3:A502,0)),""))</f>
        <v/>
      </c>
      <c r="I24" s="73" t="str">
        <f>IF($B24="","",IFERROR(INDEX(상담데이터입력!BI3:BI502,MATCH($B24,상담데이터입력!A3:A502,0)),""))</f>
        <v/>
      </c>
    </row>
    <row r="25" spans="2:9" ht="15" customHeight="1">
      <c r="B25" s="74" t="str">
        <f>IFERROR(INDEX(상담데이터입력!A3:A502,MATCH(18,상담데이터입력!$BJ$3:$BJ$502,0)),"")</f>
        <v/>
      </c>
      <c r="C25" s="74" t="str">
        <f>IF($B25="","",IFERROR(INDEX(상담데이터입력!B3:B502,MATCH($B25,상담데이터입력!A3:A502,0)),""))</f>
        <v/>
      </c>
      <c r="D25" s="75" t="str">
        <f>IF($B25="","",IFERROR(INDEX(상담데이터입력!H3:H502,MATCH($B25,상담데이터입력!A3:A502,0)),""))</f>
        <v/>
      </c>
      <c r="E25" s="75" t="str">
        <f>IF($B25="","",IFERROR(INDEX(상담데이터입력!S3:S502,MATCH($B25,상담데이터입력!A3:A502,0)),""))</f>
        <v/>
      </c>
      <c r="F25" s="75" t="str">
        <f>IF($B25="","",IFERROR(INDEX(상담데이터입력!W3:W502,MATCH($B25,상담데이터입력!A3:A502,0)),""))</f>
        <v/>
      </c>
      <c r="G25" s="75" t="str">
        <f>IF($B25="","",IFERROR(INDEX(상담데이터입력!Y3:Y502,MATCH($B25,상담데이터입력!A3:A502,0)),""))</f>
        <v/>
      </c>
      <c r="H25" s="76" t="str">
        <f>IF($B25="","",IFERROR(INDEX(상담데이터입력!BG3:BG502,MATCH($B25,상담데이터입력!A3:A502,0)),""))</f>
        <v/>
      </c>
      <c r="I25" s="77" t="str">
        <f>IF($B25="","",IFERROR(INDEX(상담데이터입력!BI3:BI502,MATCH($B25,상담데이터입력!A3:A502,0)),""))</f>
        <v/>
      </c>
    </row>
    <row r="26" spans="2:9" ht="15" customHeight="1">
      <c r="B26" s="70" t="str">
        <f>IFERROR(INDEX(상담데이터입력!A3:A502,MATCH(19,상담데이터입력!$BJ$3:$BJ$502,0)),"")</f>
        <v/>
      </c>
      <c r="C26" s="70" t="str">
        <f>IF($B26="","",IFERROR(INDEX(상담데이터입력!B3:B502,MATCH($B26,상담데이터입력!A3:A502,0)),""))</f>
        <v/>
      </c>
      <c r="D26" s="71" t="str">
        <f>IF($B26="","",IFERROR(INDEX(상담데이터입력!H3:H502,MATCH($B26,상담데이터입력!A3:A502,0)),""))</f>
        <v/>
      </c>
      <c r="E26" s="71" t="str">
        <f>IF($B26="","",IFERROR(INDEX(상담데이터입력!S3:S502,MATCH($B26,상담데이터입력!A3:A502,0)),""))</f>
        <v/>
      </c>
      <c r="F26" s="71" t="str">
        <f>IF($B26="","",IFERROR(INDEX(상담데이터입력!W3:W502,MATCH($B26,상담데이터입력!A3:A502,0)),""))</f>
        <v/>
      </c>
      <c r="G26" s="71" t="str">
        <f>IF($B26="","",IFERROR(INDEX(상담데이터입력!Y3:Y502,MATCH($B26,상담데이터입력!A3:A502,0)),""))</f>
        <v/>
      </c>
      <c r="H26" s="72" t="str">
        <f>IF($B26="","",IFERROR(INDEX(상담데이터입력!BG3:BG502,MATCH($B26,상담데이터입력!A3:A502,0)),""))</f>
        <v/>
      </c>
      <c r="I26" s="73" t="str">
        <f>IF($B26="","",IFERROR(INDEX(상담데이터입력!BI3:BI502,MATCH($B26,상담데이터입력!A3:A502,0)),""))</f>
        <v/>
      </c>
    </row>
    <row r="27" spans="2:9" ht="15" customHeight="1">
      <c r="B27" s="74" t="str">
        <f>IFERROR(INDEX(상담데이터입력!A3:A502,MATCH(20,상담데이터입력!$BJ$3:$BJ$502,0)),"")</f>
        <v/>
      </c>
      <c r="C27" s="74" t="str">
        <f>IF($B27="","",IFERROR(INDEX(상담데이터입력!B3:B502,MATCH($B27,상담데이터입력!A3:A502,0)),""))</f>
        <v/>
      </c>
      <c r="D27" s="75" t="str">
        <f>IF($B27="","",IFERROR(INDEX(상담데이터입력!H3:H502,MATCH($B27,상담데이터입력!A3:A502,0)),""))</f>
        <v/>
      </c>
      <c r="E27" s="75" t="str">
        <f>IF($B27="","",IFERROR(INDEX(상담데이터입력!S3:S502,MATCH($B27,상담데이터입력!A3:A502,0)),""))</f>
        <v/>
      </c>
      <c r="F27" s="75" t="str">
        <f>IF($B27="","",IFERROR(INDEX(상담데이터입력!W3:W502,MATCH($B27,상담데이터입력!A3:A502,0)),""))</f>
        <v/>
      </c>
      <c r="G27" s="75" t="str">
        <f>IF($B27="","",IFERROR(INDEX(상담데이터입력!Y3:Y502,MATCH($B27,상담데이터입력!A3:A502,0)),""))</f>
        <v/>
      </c>
      <c r="H27" s="76" t="str">
        <f>IF($B27="","",IFERROR(INDEX(상담데이터입력!BG3:BG502,MATCH($B27,상담데이터입력!A3:A502,0)),""))</f>
        <v/>
      </c>
      <c r="I27" s="77" t="str">
        <f>IF($B27="","",IFERROR(INDEX(상담데이터입력!BI3:BI502,MATCH($B27,상담데이터입력!A3:A502,0)),""))</f>
        <v/>
      </c>
    </row>
    <row r="28" spans="2:9" ht="15" customHeight="1">
      <c r="B28" s="70" t="str">
        <f>IFERROR(INDEX(상담데이터입력!A3:A502,MATCH(21,상담데이터입력!$BJ$3:$BJ$502,0)),"")</f>
        <v/>
      </c>
      <c r="C28" s="70" t="str">
        <f>IF($B28="","",IFERROR(INDEX(상담데이터입력!B3:B502,MATCH($B28,상담데이터입력!A3:A502,0)),""))</f>
        <v/>
      </c>
      <c r="D28" s="71" t="str">
        <f>IF($B28="","",IFERROR(INDEX(상담데이터입력!H3:H502,MATCH($B28,상담데이터입력!A3:A502,0)),""))</f>
        <v/>
      </c>
      <c r="E28" s="71" t="str">
        <f>IF($B28="","",IFERROR(INDEX(상담데이터입력!S3:S502,MATCH($B28,상담데이터입력!A3:A502,0)),""))</f>
        <v/>
      </c>
      <c r="F28" s="71" t="str">
        <f>IF($B28="","",IFERROR(INDEX(상담데이터입력!W3:W502,MATCH($B28,상담데이터입력!A3:A502,0)),""))</f>
        <v/>
      </c>
      <c r="G28" s="71" t="str">
        <f>IF($B28="","",IFERROR(INDEX(상담데이터입력!Y3:Y502,MATCH($B28,상담데이터입력!A3:A502,0)),""))</f>
        <v/>
      </c>
      <c r="H28" s="72" t="str">
        <f>IF($B28="","",IFERROR(INDEX(상담데이터입력!BG3:BG502,MATCH($B28,상담데이터입력!A3:A502,0)),""))</f>
        <v/>
      </c>
      <c r="I28" s="73" t="str">
        <f>IF($B28="","",IFERROR(INDEX(상담데이터입력!BI3:BI502,MATCH($B28,상담데이터입력!A3:A502,0)),""))</f>
        <v/>
      </c>
    </row>
    <row r="29" spans="2:9" ht="15" customHeight="1">
      <c r="B29" s="74" t="str">
        <f>IFERROR(INDEX(상담데이터입력!A3:A502,MATCH(22,상담데이터입력!$BJ$3:$BJ$502,0)),"")</f>
        <v/>
      </c>
      <c r="C29" s="74" t="str">
        <f>IF($B29="","",IFERROR(INDEX(상담데이터입력!B3:B502,MATCH($B29,상담데이터입력!A3:A502,0)),""))</f>
        <v/>
      </c>
      <c r="D29" s="75" t="str">
        <f>IF($B29="","",IFERROR(INDEX(상담데이터입력!H3:H502,MATCH($B29,상담데이터입력!A3:A502,0)),""))</f>
        <v/>
      </c>
      <c r="E29" s="75" t="str">
        <f>IF($B29="","",IFERROR(INDEX(상담데이터입력!S3:S502,MATCH($B29,상담데이터입력!A3:A502,0)),""))</f>
        <v/>
      </c>
      <c r="F29" s="75" t="str">
        <f>IF($B29="","",IFERROR(INDEX(상담데이터입력!W3:W502,MATCH($B29,상담데이터입력!A3:A502,0)),""))</f>
        <v/>
      </c>
      <c r="G29" s="75" t="str">
        <f>IF($B29="","",IFERROR(INDEX(상담데이터입력!Y3:Y502,MATCH($B29,상담데이터입력!A3:A502,0)),""))</f>
        <v/>
      </c>
      <c r="H29" s="76" t="str">
        <f>IF($B29="","",IFERROR(INDEX(상담데이터입력!BG3:BG502,MATCH($B29,상담데이터입력!A3:A502,0)),""))</f>
        <v/>
      </c>
      <c r="I29" s="77" t="str">
        <f>IF($B29="","",IFERROR(INDEX(상담데이터입력!BI3:BI502,MATCH($B29,상담데이터입력!A3:A502,0)),""))</f>
        <v/>
      </c>
    </row>
    <row r="30" spans="2:9" ht="15" customHeight="1">
      <c r="B30" s="70" t="str">
        <f>IFERROR(INDEX(상담데이터입력!A3:A502,MATCH(23,상담데이터입력!$BJ$3:$BJ$502,0)),"")</f>
        <v/>
      </c>
      <c r="C30" s="70" t="str">
        <f>IF($B30="","",IFERROR(INDEX(상담데이터입력!B3:B502,MATCH($B30,상담데이터입력!A3:A502,0)),""))</f>
        <v/>
      </c>
      <c r="D30" s="71" t="str">
        <f>IF($B30="","",IFERROR(INDEX(상담데이터입력!H3:H502,MATCH($B30,상담데이터입력!A3:A502,0)),""))</f>
        <v/>
      </c>
      <c r="E30" s="71" t="str">
        <f>IF($B30="","",IFERROR(INDEX(상담데이터입력!S3:S502,MATCH($B30,상담데이터입력!A3:A502,0)),""))</f>
        <v/>
      </c>
      <c r="F30" s="71" t="str">
        <f>IF($B30="","",IFERROR(INDEX(상담데이터입력!W3:W502,MATCH($B30,상담데이터입력!A3:A502,0)),""))</f>
        <v/>
      </c>
      <c r="G30" s="71" t="str">
        <f>IF($B30="","",IFERROR(INDEX(상담데이터입력!Y3:Y502,MATCH($B30,상담데이터입력!A3:A502,0)),""))</f>
        <v/>
      </c>
      <c r="H30" s="72" t="str">
        <f>IF($B30="","",IFERROR(INDEX(상담데이터입력!BG3:BG502,MATCH($B30,상담데이터입력!A3:A502,0)),""))</f>
        <v/>
      </c>
      <c r="I30" s="73" t="str">
        <f>IF($B30="","",IFERROR(INDEX(상담데이터입력!BI3:BI502,MATCH($B30,상담데이터입력!A3:A502,0)),""))</f>
        <v/>
      </c>
    </row>
    <row r="31" spans="2:9" ht="15" customHeight="1">
      <c r="B31" s="74" t="str">
        <f>IFERROR(INDEX(상담데이터입력!A3:A502,MATCH(24,상담데이터입력!$BJ$3:$BJ$502,0)),"")</f>
        <v/>
      </c>
      <c r="C31" s="74" t="str">
        <f>IF($B31="","",IFERROR(INDEX(상담데이터입력!B3:B502,MATCH($B31,상담데이터입력!A3:A502,0)),""))</f>
        <v/>
      </c>
      <c r="D31" s="75" t="str">
        <f>IF($B31="","",IFERROR(INDEX(상담데이터입력!H3:H502,MATCH($B31,상담데이터입력!A3:A502,0)),""))</f>
        <v/>
      </c>
      <c r="E31" s="75" t="str">
        <f>IF($B31="","",IFERROR(INDEX(상담데이터입력!S3:S502,MATCH($B31,상담데이터입력!A3:A502,0)),""))</f>
        <v/>
      </c>
      <c r="F31" s="75" t="str">
        <f>IF($B31="","",IFERROR(INDEX(상담데이터입력!W3:W502,MATCH($B31,상담데이터입력!A3:A502,0)),""))</f>
        <v/>
      </c>
      <c r="G31" s="75" t="str">
        <f>IF($B31="","",IFERROR(INDEX(상담데이터입력!Y3:Y502,MATCH($B31,상담데이터입력!A3:A502,0)),""))</f>
        <v/>
      </c>
      <c r="H31" s="76" t="str">
        <f>IF($B31="","",IFERROR(INDEX(상담데이터입력!BG3:BG502,MATCH($B31,상담데이터입력!A3:A502,0)),""))</f>
        <v/>
      </c>
      <c r="I31" s="77" t="str">
        <f>IF($B31="","",IFERROR(INDEX(상담데이터입력!BI3:BI502,MATCH($B31,상담데이터입력!A3:A502,0)),""))</f>
        <v/>
      </c>
    </row>
    <row r="32" spans="2:9" ht="15" customHeight="1">
      <c r="B32" s="70" t="str">
        <f>IFERROR(INDEX(상담데이터입력!A3:A502,MATCH(25,상담데이터입력!$BJ$3:$BJ$502,0)),"")</f>
        <v/>
      </c>
      <c r="C32" s="70" t="str">
        <f>IF($B32="","",IFERROR(INDEX(상담데이터입력!B3:B502,MATCH($B32,상담데이터입력!A3:A502,0)),""))</f>
        <v/>
      </c>
      <c r="D32" s="71" t="str">
        <f>IF($B32="","",IFERROR(INDEX(상담데이터입력!H3:H502,MATCH($B32,상담데이터입력!A3:A502,0)),""))</f>
        <v/>
      </c>
      <c r="E32" s="71" t="str">
        <f>IF($B32="","",IFERROR(INDEX(상담데이터입력!S3:S502,MATCH($B32,상담데이터입력!A3:A502,0)),""))</f>
        <v/>
      </c>
      <c r="F32" s="71" t="str">
        <f>IF($B32="","",IFERROR(INDEX(상담데이터입력!W3:W502,MATCH($B32,상담데이터입력!A3:A502,0)),""))</f>
        <v/>
      </c>
      <c r="G32" s="71" t="str">
        <f>IF($B32="","",IFERROR(INDEX(상담데이터입력!Y3:Y502,MATCH($B32,상담데이터입력!A3:A502,0)),""))</f>
        <v/>
      </c>
      <c r="H32" s="72" t="str">
        <f>IF($B32="","",IFERROR(INDEX(상담데이터입력!BG3:BG502,MATCH($B32,상담데이터입력!A3:A502,0)),""))</f>
        <v/>
      </c>
      <c r="I32" s="73" t="str">
        <f>IF($B32="","",IFERROR(INDEX(상담데이터입력!BI3:BI502,MATCH($B32,상담데이터입력!A3:A502,0)),""))</f>
        <v/>
      </c>
    </row>
    <row r="33" spans="2:9" ht="15" customHeight="1">
      <c r="B33" s="74" t="str">
        <f>IFERROR(INDEX(상담데이터입력!A3:A502,MATCH(26,상담데이터입력!$BJ$3:$BJ$502,0)),"")</f>
        <v/>
      </c>
      <c r="C33" s="74" t="str">
        <f>IF($B33="","",IFERROR(INDEX(상담데이터입력!B3:B502,MATCH($B33,상담데이터입력!A3:A502,0)),""))</f>
        <v/>
      </c>
      <c r="D33" s="75" t="str">
        <f>IF($B33="","",IFERROR(INDEX(상담데이터입력!H3:H502,MATCH($B33,상담데이터입력!A3:A502,0)),""))</f>
        <v/>
      </c>
      <c r="E33" s="75" t="str">
        <f>IF($B33="","",IFERROR(INDEX(상담데이터입력!S3:S502,MATCH($B33,상담데이터입력!A3:A502,0)),""))</f>
        <v/>
      </c>
      <c r="F33" s="75" t="str">
        <f>IF($B33="","",IFERROR(INDEX(상담데이터입력!W3:W502,MATCH($B33,상담데이터입력!A3:A502,0)),""))</f>
        <v/>
      </c>
      <c r="G33" s="75" t="str">
        <f>IF($B33="","",IFERROR(INDEX(상담데이터입력!Y3:Y502,MATCH($B33,상담데이터입력!A3:A502,0)),""))</f>
        <v/>
      </c>
      <c r="H33" s="76" t="str">
        <f>IF($B33="","",IFERROR(INDEX(상담데이터입력!BG3:BG502,MATCH($B33,상담데이터입력!A3:A502,0)),""))</f>
        <v/>
      </c>
      <c r="I33" s="77" t="str">
        <f>IF($B33="","",IFERROR(INDEX(상담데이터입력!BI3:BI502,MATCH($B33,상담데이터입력!A3:A502,0)),""))</f>
        <v/>
      </c>
    </row>
    <row r="34" spans="2:9" ht="15" customHeight="1">
      <c r="B34" s="70" t="str">
        <f>IFERROR(INDEX(상담데이터입력!A3:A502,MATCH(27,상담데이터입력!$BJ$3:$BJ$502,0)),"")</f>
        <v/>
      </c>
      <c r="C34" s="70" t="str">
        <f>IF($B34="","",IFERROR(INDEX(상담데이터입력!B3:B502,MATCH($B34,상담데이터입력!A3:A502,0)),""))</f>
        <v/>
      </c>
      <c r="D34" s="71" t="str">
        <f>IF($B34="","",IFERROR(INDEX(상담데이터입력!H3:H502,MATCH($B34,상담데이터입력!A3:A502,0)),""))</f>
        <v/>
      </c>
      <c r="E34" s="71" t="str">
        <f>IF($B34="","",IFERROR(INDEX(상담데이터입력!S3:S502,MATCH($B34,상담데이터입력!A3:A502,0)),""))</f>
        <v/>
      </c>
      <c r="F34" s="71" t="str">
        <f>IF($B34="","",IFERROR(INDEX(상담데이터입력!W3:W502,MATCH($B34,상담데이터입력!A3:A502,0)),""))</f>
        <v/>
      </c>
      <c r="G34" s="71" t="str">
        <f>IF($B34="","",IFERROR(INDEX(상담데이터입력!Y3:Y502,MATCH($B34,상담데이터입력!A3:A502,0)),""))</f>
        <v/>
      </c>
      <c r="H34" s="72" t="str">
        <f>IF($B34="","",IFERROR(INDEX(상담데이터입력!BG3:BG502,MATCH($B34,상담데이터입력!A3:A502,0)),""))</f>
        <v/>
      </c>
      <c r="I34" s="73" t="str">
        <f>IF($B34="","",IFERROR(INDEX(상담데이터입력!BI3:BI502,MATCH($B34,상담데이터입력!A3:A502,0)),""))</f>
        <v/>
      </c>
    </row>
    <row r="35" spans="2:9" ht="15" customHeight="1">
      <c r="B35" s="74" t="str">
        <f>IFERROR(INDEX(상담데이터입력!A3:A502,MATCH(28,상담데이터입력!$BJ$3:$BJ$502,0)),"")</f>
        <v/>
      </c>
      <c r="C35" s="74" t="str">
        <f>IF($B35="","",IFERROR(INDEX(상담데이터입력!B3:B502,MATCH($B35,상담데이터입력!A3:A502,0)),""))</f>
        <v/>
      </c>
      <c r="D35" s="75" t="str">
        <f>IF($B35="","",IFERROR(INDEX(상담데이터입력!H3:H502,MATCH($B35,상담데이터입력!A3:A502,0)),""))</f>
        <v/>
      </c>
      <c r="E35" s="75" t="str">
        <f>IF($B35="","",IFERROR(INDEX(상담데이터입력!S3:S502,MATCH($B35,상담데이터입력!A3:A502,0)),""))</f>
        <v/>
      </c>
      <c r="F35" s="75" t="str">
        <f>IF($B35="","",IFERROR(INDEX(상담데이터입력!W3:W502,MATCH($B35,상담데이터입력!A3:A502,0)),""))</f>
        <v/>
      </c>
      <c r="G35" s="75" t="str">
        <f>IF($B35="","",IFERROR(INDEX(상담데이터입력!Y3:Y502,MATCH($B35,상담데이터입력!A3:A502,0)),""))</f>
        <v/>
      </c>
      <c r="H35" s="76" t="str">
        <f>IF($B35="","",IFERROR(INDEX(상담데이터입력!BG3:BG502,MATCH($B35,상담데이터입력!A3:A502,0)),""))</f>
        <v/>
      </c>
      <c r="I35" s="77" t="str">
        <f>IF($B35="","",IFERROR(INDEX(상담데이터입력!BI3:BI502,MATCH($B35,상담데이터입력!A3:A502,0)),""))</f>
        <v/>
      </c>
    </row>
    <row r="36" spans="2:9" ht="15" customHeight="1">
      <c r="B36" s="70" t="str">
        <f>IFERROR(INDEX(상담데이터입력!A3:A502,MATCH(29,상담데이터입력!$BJ$3:$BJ$502,0)),"")</f>
        <v/>
      </c>
      <c r="C36" s="70" t="str">
        <f>IF($B36="","",IFERROR(INDEX(상담데이터입력!B3:B502,MATCH($B36,상담데이터입력!A3:A502,0)),""))</f>
        <v/>
      </c>
      <c r="D36" s="71" t="str">
        <f>IF($B36="","",IFERROR(INDEX(상담데이터입력!H3:H502,MATCH($B36,상담데이터입력!A3:A502,0)),""))</f>
        <v/>
      </c>
      <c r="E36" s="71" t="str">
        <f>IF($B36="","",IFERROR(INDEX(상담데이터입력!S3:S502,MATCH($B36,상담데이터입력!A3:A502,0)),""))</f>
        <v/>
      </c>
      <c r="F36" s="71" t="str">
        <f>IF($B36="","",IFERROR(INDEX(상담데이터입력!W3:W502,MATCH($B36,상담데이터입력!A3:A502,0)),""))</f>
        <v/>
      </c>
      <c r="G36" s="71" t="str">
        <f>IF($B36="","",IFERROR(INDEX(상담데이터입력!Y3:Y502,MATCH($B36,상담데이터입력!A3:A502,0)),""))</f>
        <v/>
      </c>
      <c r="H36" s="72" t="str">
        <f>IF($B36="","",IFERROR(INDEX(상담데이터입력!BG3:BG502,MATCH($B36,상담데이터입력!A3:A502,0)),""))</f>
        <v/>
      </c>
      <c r="I36" s="73" t="str">
        <f>IF($B36="","",IFERROR(INDEX(상담데이터입력!BI3:BI502,MATCH($B36,상담데이터입력!A3:A502,0)),""))</f>
        <v/>
      </c>
    </row>
    <row r="37" spans="2:9" ht="15" customHeight="1">
      <c r="B37" s="74" t="str">
        <f>IFERROR(INDEX(상담데이터입력!A3:A502,MATCH(30,상담데이터입력!$BJ$3:$BJ$502,0)),"")</f>
        <v/>
      </c>
      <c r="C37" s="74" t="str">
        <f>IF($B37="","",IFERROR(INDEX(상담데이터입력!B3:B502,MATCH($B37,상담데이터입력!A3:A502,0)),""))</f>
        <v/>
      </c>
      <c r="D37" s="75" t="str">
        <f>IF($B37="","",IFERROR(INDEX(상담데이터입력!H3:H502,MATCH($B37,상담데이터입력!A3:A502,0)),""))</f>
        <v/>
      </c>
      <c r="E37" s="75" t="str">
        <f>IF($B37="","",IFERROR(INDEX(상담데이터입력!S3:S502,MATCH($B37,상담데이터입력!A3:A502,0)),""))</f>
        <v/>
      </c>
      <c r="F37" s="75" t="str">
        <f>IF($B37="","",IFERROR(INDEX(상담데이터입력!W3:W502,MATCH($B37,상담데이터입력!A3:A502,0)),""))</f>
        <v/>
      </c>
      <c r="G37" s="75" t="str">
        <f>IF($B37="","",IFERROR(INDEX(상담데이터입력!Y3:Y502,MATCH($B37,상담데이터입력!A3:A502,0)),""))</f>
        <v/>
      </c>
      <c r="H37" s="76" t="str">
        <f>IF($B37="","",IFERROR(INDEX(상담데이터입력!BG3:BG502,MATCH($B37,상담데이터입력!A3:A502,0)),""))</f>
        <v/>
      </c>
      <c r="I37" s="77" t="str">
        <f>IF($B37="","",IFERROR(INDEX(상담데이터입력!BI3:BI502,MATCH($B37,상담데이터입력!A3:A502,0)),""))</f>
        <v/>
      </c>
    </row>
    <row r="38" spans="2:9" ht="15" customHeight="1">
      <c r="B38" s="70" t="str">
        <f>IFERROR(INDEX(상담데이터입력!A3:A502,MATCH(31,상담데이터입력!$BJ$3:$BJ$502,0)),"")</f>
        <v/>
      </c>
      <c r="C38" s="70" t="str">
        <f>IF($B38="","",IFERROR(INDEX(상담데이터입력!B3:B502,MATCH($B38,상담데이터입력!A3:A502,0)),""))</f>
        <v/>
      </c>
      <c r="D38" s="71" t="str">
        <f>IF($B38="","",IFERROR(INDEX(상담데이터입력!H3:H502,MATCH($B38,상담데이터입력!A3:A502,0)),""))</f>
        <v/>
      </c>
      <c r="E38" s="71" t="str">
        <f>IF($B38="","",IFERROR(INDEX(상담데이터입력!S3:S502,MATCH($B38,상담데이터입력!A3:A502,0)),""))</f>
        <v/>
      </c>
      <c r="F38" s="71" t="str">
        <f>IF($B38="","",IFERROR(INDEX(상담데이터입력!W3:W502,MATCH($B38,상담데이터입력!A3:A502,0)),""))</f>
        <v/>
      </c>
      <c r="G38" s="71" t="str">
        <f>IF($B38="","",IFERROR(INDEX(상담데이터입력!Y3:Y502,MATCH($B38,상담데이터입력!A3:A502,0)),""))</f>
        <v/>
      </c>
      <c r="H38" s="72" t="str">
        <f>IF($B38="","",IFERROR(INDEX(상담데이터입력!BG3:BG502,MATCH($B38,상담데이터입력!A3:A502,0)),""))</f>
        <v/>
      </c>
      <c r="I38" s="73" t="str">
        <f>IF($B38="","",IFERROR(INDEX(상담데이터입력!BI3:BI502,MATCH($B38,상담데이터입력!A3:A502,0)),""))</f>
        <v/>
      </c>
    </row>
    <row r="39" spans="2:9" ht="15" customHeight="1">
      <c r="B39" s="74" t="str">
        <f>IFERROR(INDEX(상담데이터입력!A3:A502,MATCH(32,상담데이터입력!$BJ$3:$BJ$502,0)),"")</f>
        <v/>
      </c>
      <c r="C39" s="74" t="str">
        <f>IF($B39="","",IFERROR(INDEX(상담데이터입력!B3:B502,MATCH($B39,상담데이터입력!A3:A502,0)),""))</f>
        <v/>
      </c>
      <c r="D39" s="75" t="str">
        <f>IF($B39="","",IFERROR(INDEX(상담데이터입력!H3:H502,MATCH($B39,상담데이터입력!A3:A502,0)),""))</f>
        <v/>
      </c>
      <c r="E39" s="75" t="str">
        <f>IF($B39="","",IFERROR(INDEX(상담데이터입력!S3:S502,MATCH($B39,상담데이터입력!A3:A502,0)),""))</f>
        <v/>
      </c>
      <c r="F39" s="75" t="str">
        <f>IF($B39="","",IFERROR(INDEX(상담데이터입력!W3:W502,MATCH($B39,상담데이터입력!A3:A502,0)),""))</f>
        <v/>
      </c>
      <c r="G39" s="75" t="str">
        <f>IF($B39="","",IFERROR(INDEX(상담데이터입력!Y3:Y502,MATCH($B39,상담데이터입력!A3:A502,0)),""))</f>
        <v/>
      </c>
      <c r="H39" s="76" t="str">
        <f>IF($B39="","",IFERROR(INDEX(상담데이터입력!BG3:BG502,MATCH($B39,상담데이터입력!A3:A502,0)),""))</f>
        <v/>
      </c>
      <c r="I39" s="77" t="str">
        <f>IF($B39="","",IFERROR(INDEX(상담데이터입력!BI3:BI502,MATCH($B39,상담데이터입력!A3:A502,0)),""))</f>
        <v/>
      </c>
    </row>
    <row r="40" spans="2:9" ht="15" customHeight="1">
      <c r="B40" s="70" t="str">
        <f>IFERROR(INDEX(상담데이터입력!A3:A502,MATCH(33,상담데이터입력!$BJ$3:$BJ$502,0)),"")</f>
        <v/>
      </c>
      <c r="C40" s="70" t="str">
        <f>IF($B40="","",IFERROR(INDEX(상담데이터입력!B3:B502,MATCH($B40,상담데이터입력!A3:A502,0)),""))</f>
        <v/>
      </c>
      <c r="D40" s="71" t="str">
        <f>IF($B40="","",IFERROR(INDEX(상담데이터입력!H3:H502,MATCH($B40,상담데이터입력!A3:A502,0)),""))</f>
        <v/>
      </c>
      <c r="E40" s="71" t="str">
        <f>IF($B40="","",IFERROR(INDEX(상담데이터입력!S3:S502,MATCH($B40,상담데이터입력!A3:A502,0)),""))</f>
        <v/>
      </c>
      <c r="F40" s="71" t="str">
        <f>IF($B40="","",IFERROR(INDEX(상담데이터입력!W3:W502,MATCH($B40,상담데이터입력!A3:A502,0)),""))</f>
        <v/>
      </c>
      <c r="G40" s="71" t="str">
        <f>IF($B40="","",IFERROR(INDEX(상담데이터입력!Y3:Y502,MATCH($B40,상담데이터입력!A3:A502,0)),""))</f>
        <v/>
      </c>
      <c r="H40" s="72" t="str">
        <f>IF($B40="","",IFERROR(INDEX(상담데이터입력!BG3:BG502,MATCH($B40,상담데이터입력!A3:A502,0)),""))</f>
        <v/>
      </c>
      <c r="I40" s="73" t="str">
        <f>IF($B40="","",IFERROR(INDEX(상담데이터입력!BI3:BI502,MATCH($B40,상담데이터입력!A3:A502,0)),""))</f>
        <v/>
      </c>
    </row>
    <row r="41" spans="2:9" ht="15" customHeight="1">
      <c r="B41" s="74" t="str">
        <f>IFERROR(INDEX(상담데이터입력!A3:A502,MATCH(34,상담데이터입력!$BJ$3:$BJ$502,0)),"")</f>
        <v/>
      </c>
      <c r="C41" s="74" t="str">
        <f>IF($B41="","",IFERROR(INDEX(상담데이터입력!B3:B502,MATCH($B41,상담데이터입력!A3:A502,0)),""))</f>
        <v/>
      </c>
      <c r="D41" s="75" t="str">
        <f>IF($B41="","",IFERROR(INDEX(상담데이터입력!H3:H502,MATCH($B41,상담데이터입력!A3:A502,0)),""))</f>
        <v/>
      </c>
      <c r="E41" s="75" t="str">
        <f>IF($B41="","",IFERROR(INDEX(상담데이터입력!S3:S502,MATCH($B41,상담데이터입력!A3:A502,0)),""))</f>
        <v/>
      </c>
      <c r="F41" s="75" t="str">
        <f>IF($B41="","",IFERROR(INDEX(상담데이터입력!W3:W502,MATCH($B41,상담데이터입력!A3:A502,0)),""))</f>
        <v/>
      </c>
      <c r="G41" s="75" t="str">
        <f>IF($B41="","",IFERROR(INDEX(상담데이터입력!Y3:Y502,MATCH($B41,상담데이터입력!A3:A502,0)),""))</f>
        <v/>
      </c>
      <c r="H41" s="76" t="str">
        <f>IF($B41="","",IFERROR(INDEX(상담데이터입력!BG3:BG502,MATCH($B41,상담데이터입력!A3:A502,0)),""))</f>
        <v/>
      </c>
      <c r="I41" s="77" t="str">
        <f>IF($B41="","",IFERROR(INDEX(상담데이터입력!BI3:BI502,MATCH($B41,상담데이터입력!A3:A502,0)),""))</f>
        <v/>
      </c>
    </row>
    <row r="42" spans="2:9" ht="15" customHeight="1">
      <c r="B42" s="70" t="str">
        <f>IFERROR(INDEX(상담데이터입력!A3:A502,MATCH(35,상담데이터입력!$BJ$3:$BJ$502,0)),"")</f>
        <v/>
      </c>
      <c r="C42" s="70" t="str">
        <f>IF($B42="","",IFERROR(INDEX(상담데이터입력!B3:B502,MATCH($B42,상담데이터입력!A3:A502,0)),""))</f>
        <v/>
      </c>
      <c r="D42" s="71" t="str">
        <f>IF($B42="","",IFERROR(INDEX(상담데이터입력!H3:H502,MATCH($B42,상담데이터입력!A3:A502,0)),""))</f>
        <v/>
      </c>
      <c r="E42" s="71" t="str">
        <f>IF($B42="","",IFERROR(INDEX(상담데이터입력!S3:S502,MATCH($B42,상담데이터입력!A3:A502,0)),""))</f>
        <v/>
      </c>
      <c r="F42" s="71" t="str">
        <f>IF($B42="","",IFERROR(INDEX(상담데이터입력!W3:W502,MATCH($B42,상담데이터입력!A3:A502,0)),""))</f>
        <v/>
      </c>
      <c r="G42" s="71" t="str">
        <f>IF($B42="","",IFERROR(INDEX(상담데이터입력!Y3:Y502,MATCH($B42,상담데이터입력!A3:A502,0)),""))</f>
        <v/>
      </c>
      <c r="H42" s="72" t="str">
        <f>IF($B42="","",IFERROR(INDEX(상담데이터입력!BG3:BG502,MATCH($B42,상담데이터입력!A3:A502,0)),""))</f>
        <v/>
      </c>
      <c r="I42" s="73" t="str">
        <f>IF($B42="","",IFERROR(INDEX(상담데이터입력!BI3:BI502,MATCH($B42,상담데이터입력!A3:A502,0)),""))</f>
        <v/>
      </c>
    </row>
    <row r="43" spans="2:9" ht="15" customHeight="1">
      <c r="B43" s="74" t="str">
        <f>IFERROR(INDEX(상담데이터입력!A3:A502,MATCH(36,상담데이터입력!$BJ$3:$BJ$502,0)),"")</f>
        <v/>
      </c>
      <c r="C43" s="74" t="str">
        <f>IF($B43="","",IFERROR(INDEX(상담데이터입력!B3:B502,MATCH($B43,상담데이터입력!A3:A502,0)),""))</f>
        <v/>
      </c>
      <c r="D43" s="75" t="str">
        <f>IF($B43="","",IFERROR(INDEX(상담데이터입력!H3:H502,MATCH($B43,상담데이터입력!A3:A502,0)),""))</f>
        <v/>
      </c>
      <c r="E43" s="75" t="str">
        <f>IF($B43="","",IFERROR(INDEX(상담데이터입력!S3:S502,MATCH($B43,상담데이터입력!A3:A502,0)),""))</f>
        <v/>
      </c>
      <c r="F43" s="75" t="str">
        <f>IF($B43="","",IFERROR(INDEX(상담데이터입력!W3:W502,MATCH($B43,상담데이터입력!A3:A502,0)),""))</f>
        <v/>
      </c>
      <c r="G43" s="75" t="str">
        <f>IF($B43="","",IFERROR(INDEX(상담데이터입력!Y3:Y502,MATCH($B43,상담데이터입력!A3:A502,0)),""))</f>
        <v/>
      </c>
      <c r="H43" s="76" t="str">
        <f>IF($B43="","",IFERROR(INDEX(상담데이터입력!BG3:BG502,MATCH($B43,상담데이터입력!A3:A502,0)),""))</f>
        <v/>
      </c>
      <c r="I43" s="77" t="str">
        <f>IF($B43="","",IFERROR(INDEX(상담데이터입력!BI3:BI502,MATCH($B43,상담데이터입력!A3:A502,0)),""))</f>
        <v/>
      </c>
    </row>
    <row r="44" spans="2:9" ht="15" customHeight="1">
      <c r="B44" s="70" t="str">
        <f>IFERROR(INDEX(상담데이터입력!A3:A502,MATCH(37,상담데이터입력!$BJ$3:$BJ$502,0)),"")</f>
        <v/>
      </c>
      <c r="C44" s="70" t="str">
        <f>IF($B44="","",IFERROR(INDEX(상담데이터입력!B3:B502,MATCH($B44,상담데이터입력!A3:A502,0)),""))</f>
        <v/>
      </c>
      <c r="D44" s="71" t="str">
        <f>IF($B44="","",IFERROR(INDEX(상담데이터입력!H3:H502,MATCH($B44,상담데이터입력!A3:A502,0)),""))</f>
        <v/>
      </c>
      <c r="E44" s="71" t="str">
        <f>IF($B44="","",IFERROR(INDEX(상담데이터입력!S3:S502,MATCH($B44,상담데이터입력!A3:A502,0)),""))</f>
        <v/>
      </c>
      <c r="F44" s="71" t="str">
        <f>IF($B44="","",IFERROR(INDEX(상담데이터입력!W3:W502,MATCH($B44,상담데이터입력!A3:A502,0)),""))</f>
        <v/>
      </c>
      <c r="G44" s="71" t="str">
        <f>IF($B44="","",IFERROR(INDEX(상담데이터입력!Y3:Y502,MATCH($B44,상담데이터입력!A3:A502,0)),""))</f>
        <v/>
      </c>
      <c r="H44" s="72" t="str">
        <f>IF($B44="","",IFERROR(INDEX(상담데이터입력!BG3:BG502,MATCH($B44,상담데이터입력!A3:A502,0)),""))</f>
        <v/>
      </c>
      <c r="I44" s="73" t="str">
        <f>IF($B44="","",IFERROR(INDEX(상담데이터입력!BI3:BI502,MATCH($B44,상담데이터입력!A3:A502,0)),""))</f>
        <v/>
      </c>
    </row>
    <row r="45" spans="2:9" ht="15" customHeight="1">
      <c r="B45" s="74" t="str">
        <f>IFERROR(INDEX(상담데이터입력!A3:A502,MATCH(38,상담데이터입력!$BJ$3:$BJ$502,0)),"")</f>
        <v/>
      </c>
      <c r="C45" s="74" t="str">
        <f>IF($B45="","",IFERROR(INDEX(상담데이터입력!B3:B502,MATCH($B45,상담데이터입력!A3:A502,0)),""))</f>
        <v/>
      </c>
      <c r="D45" s="75" t="str">
        <f>IF($B45="","",IFERROR(INDEX(상담데이터입력!H3:H502,MATCH($B45,상담데이터입력!A3:A502,0)),""))</f>
        <v/>
      </c>
      <c r="E45" s="75" t="str">
        <f>IF($B45="","",IFERROR(INDEX(상담데이터입력!S3:S502,MATCH($B45,상담데이터입력!A3:A502,0)),""))</f>
        <v/>
      </c>
      <c r="F45" s="75" t="str">
        <f>IF($B45="","",IFERROR(INDEX(상담데이터입력!W3:W502,MATCH($B45,상담데이터입력!A3:A502,0)),""))</f>
        <v/>
      </c>
      <c r="G45" s="75" t="str">
        <f>IF($B45="","",IFERROR(INDEX(상담데이터입력!Y3:Y502,MATCH($B45,상담데이터입력!A3:A502,0)),""))</f>
        <v/>
      </c>
      <c r="H45" s="76" t="str">
        <f>IF($B45="","",IFERROR(INDEX(상담데이터입력!BG3:BG502,MATCH($B45,상담데이터입력!A3:A502,0)),""))</f>
        <v/>
      </c>
      <c r="I45" s="77" t="str">
        <f>IF($B45="","",IFERROR(INDEX(상담데이터입력!BI3:BI502,MATCH($B45,상담데이터입력!A3:A502,0)),""))</f>
        <v/>
      </c>
    </row>
    <row r="46" spans="2:9" ht="15" customHeight="1">
      <c r="B46" s="70" t="str">
        <f>IFERROR(INDEX(상담데이터입력!A3:A502,MATCH(39,상담데이터입력!$BJ$3:$BJ$502,0)),"")</f>
        <v/>
      </c>
      <c r="C46" s="70" t="str">
        <f>IF($B46="","",IFERROR(INDEX(상담데이터입력!B3:B502,MATCH($B46,상담데이터입력!A3:A502,0)),""))</f>
        <v/>
      </c>
      <c r="D46" s="71" t="str">
        <f>IF($B46="","",IFERROR(INDEX(상담데이터입력!H3:H502,MATCH($B46,상담데이터입력!A3:A502,0)),""))</f>
        <v/>
      </c>
      <c r="E46" s="71" t="str">
        <f>IF($B46="","",IFERROR(INDEX(상담데이터입력!S3:S502,MATCH($B46,상담데이터입력!A3:A502,0)),""))</f>
        <v/>
      </c>
      <c r="F46" s="71" t="str">
        <f>IF($B46="","",IFERROR(INDEX(상담데이터입력!W3:W502,MATCH($B46,상담데이터입력!A3:A502,0)),""))</f>
        <v/>
      </c>
      <c r="G46" s="71" t="str">
        <f>IF($B46="","",IFERROR(INDEX(상담데이터입력!Y3:Y502,MATCH($B46,상담데이터입력!A3:A502,0)),""))</f>
        <v/>
      </c>
      <c r="H46" s="72" t="str">
        <f>IF($B46="","",IFERROR(INDEX(상담데이터입력!BG3:BG502,MATCH($B46,상담데이터입력!A3:A502,0)),""))</f>
        <v/>
      </c>
      <c r="I46" s="73" t="str">
        <f>IF($B46="","",IFERROR(INDEX(상담데이터입력!BI3:BI502,MATCH($B46,상담데이터입력!A3:A502,0)),""))</f>
        <v/>
      </c>
    </row>
    <row r="47" spans="2:9" ht="15" customHeight="1">
      <c r="B47" s="74" t="str">
        <f>IFERROR(INDEX(상담데이터입력!A3:A502,MATCH(40,상담데이터입력!$BJ$3:$BJ$502,0)),"")</f>
        <v/>
      </c>
      <c r="C47" s="74" t="str">
        <f>IF($B47="","",IFERROR(INDEX(상담데이터입력!B3:B502,MATCH($B47,상담데이터입력!A3:A502,0)),""))</f>
        <v/>
      </c>
      <c r="D47" s="75" t="str">
        <f>IF($B47="","",IFERROR(INDEX(상담데이터입력!H3:H502,MATCH($B47,상담데이터입력!A3:A502,0)),""))</f>
        <v/>
      </c>
      <c r="E47" s="75" t="str">
        <f>IF($B47="","",IFERROR(INDEX(상담데이터입력!S3:S502,MATCH($B47,상담데이터입력!A3:A502,0)),""))</f>
        <v/>
      </c>
      <c r="F47" s="75" t="str">
        <f>IF($B47="","",IFERROR(INDEX(상담데이터입력!W3:W502,MATCH($B47,상담데이터입력!A3:A502,0)),""))</f>
        <v/>
      </c>
      <c r="G47" s="75" t="str">
        <f>IF($B47="","",IFERROR(INDEX(상담데이터입력!Y3:Y502,MATCH($B47,상담데이터입력!A3:A502,0)),""))</f>
        <v/>
      </c>
      <c r="H47" s="76" t="str">
        <f>IF($B47="","",IFERROR(INDEX(상담데이터입력!BG3:BG502,MATCH($B47,상담데이터입력!A3:A502,0)),""))</f>
        <v/>
      </c>
      <c r="I47" s="77" t="str">
        <f>IF($B47="","",IFERROR(INDEX(상담데이터입력!BI3:BI502,MATCH($B47,상담데이터입력!A3:A502,0)),""))</f>
        <v/>
      </c>
    </row>
  </sheetData>
  <mergeCells count="3">
    <mergeCell ref="B2:J2"/>
    <mergeCell ref="B3:J3"/>
    <mergeCell ref="C5:D5"/>
  </mergeCells>
  <phoneticPr fontId="56" type="noConversion"/>
  <dataValidations count="1">
    <dataValidation type="list" allowBlank="1" showInputMessage="1" promptTitle="선택" prompt="반을 선택하세요" sqref="C5" xr:uid="{00000000-0002-0000-0300-000000000000}">
      <formula1>반명단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713F"/>
  </sheetPr>
  <dimension ref="A1:BJ502"/>
  <sheetViews>
    <sheetView tabSelected="1" zoomScale="85" zoomScaleNormal="85" workbookViewId="0">
      <pane xSplit="4" ySplit="2" topLeftCell="BB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defaultColWidth="8.6640625" defaultRowHeight="14.25"/>
  <cols>
    <col min="1" max="4" width="11" customWidth="1"/>
    <col min="5" max="5" width="18.265625" customWidth="1"/>
    <col min="6" max="6" width="6" customWidth="1"/>
    <col min="7" max="7" width="10" customWidth="1"/>
    <col min="8" max="9" width="12" customWidth="1"/>
    <col min="10" max="10" width="16" customWidth="1"/>
    <col min="11" max="14" width="10" customWidth="1"/>
    <col min="15" max="15" width="12" customWidth="1"/>
    <col min="16" max="16" width="14.265625" customWidth="1"/>
    <col min="17" max="19" width="10" customWidth="1"/>
    <col min="20" max="20" width="13" customWidth="1"/>
    <col min="21" max="21" width="10" customWidth="1"/>
    <col min="22" max="22" width="17.53125" customWidth="1"/>
    <col min="23" max="25" width="10" customWidth="1"/>
    <col min="26" max="26" width="16.1328125" customWidth="1"/>
    <col min="27" max="29" width="10" customWidth="1"/>
    <col min="30" max="30" width="16.3984375" customWidth="1"/>
    <col min="31" max="36" width="10" customWidth="1"/>
    <col min="37" max="39" width="13" customWidth="1"/>
    <col min="40" max="42" width="12" customWidth="1"/>
    <col min="43" max="45" width="10" customWidth="1"/>
    <col min="46" max="46" width="17.3984375" customWidth="1"/>
    <col min="47" max="58" width="10" customWidth="1"/>
    <col min="59" max="59" width="16" customWidth="1"/>
    <col min="60" max="60" width="10" customWidth="1"/>
    <col min="61" max="61" width="22" customWidth="1"/>
    <col min="62" max="62" width="10" hidden="1" customWidth="1"/>
  </cols>
  <sheetData>
    <row r="1" spans="1:62" ht="19.5" customHeight="1">
      <c r="A1" s="78" t="s">
        <v>180</v>
      </c>
      <c r="B1" s="78"/>
      <c r="C1" s="78"/>
      <c r="D1" s="78"/>
      <c r="E1" s="36" t="s">
        <v>181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79" t="s">
        <v>182</v>
      </c>
      <c r="Q1" s="79"/>
      <c r="R1" s="79"/>
      <c r="S1" s="79"/>
      <c r="T1" s="79"/>
      <c r="U1" s="79"/>
      <c r="V1" s="80" t="s">
        <v>183</v>
      </c>
      <c r="W1" s="80"/>
      <c r="X1" s="80"/>
      <c r="Y1" s="80"/>
      <c r="Z1" s="81" t="s">
        <v>184</v>
      </c>
      <c r="AA1" s="81"/>
      <c r="AB1" s="81"/>
      <c r="AC1" s="81"/>
      <c r="AD1" s="82" t="s">
        <v>185</v>
      </c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3" t="s">
        <v>186</v>
      </c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 t="s">
        <v>187</v>
      </c>
      <c r="BF1" s="85" t="s">
        <v>188</v>
      </c>
      <c r="BG1" s="85"/>
      <c r="BH1" s="86" t="s">
        <v>189</v>
      </c>
      <c r="BI1" s="86"/>
      <c r="BJ1" s="86"/>
    </row>
    <row r="2" spans="1:62" ht="25.5" customHeight="1">
      <c r="A2" s="87" t="s">
        <v>190</v>
      </c>
      <c r="B2" s="87" t="s">
        <v>191</v>
      </c>
      <c r="C2" s="87" t="s">
        <v>100</v>
      </c>
      <c r="D2" s="87" t="s">
        <v>51</v>
      </c>
      <c r="E2" s="88" t="s">
        <v>102</v>
      </c>
      <c r="F2" s="88" t="s">
        <v>192</v>
      </c>
      <c r="G2" s="88" t="s">
        <v>104</v>
      </c>
      <c r="H2" s="88" t="s">
        <v>106</v>
      </c>
      <c r="I2" s="89" t="s">
        <v>193</v>
      </c>
      <c r="J2" s="88" t="s">
        <v>107</v>
      </c>
      <c r="K2" s="88" t="s">
        <v>103</v>
      </c>
      <c r="L2" s="88" t="s">
        <v>105</v>
      </c>
      <c r="M2" s="88" t="s">
        <v>111</v>
      </c>
      <c r="N2" s="88" t="s">
        <v>194</v>
      </c>
      <c r="O2" s="88" t="s">
        <v>113</v>
      </c>
      <c r="P2" s="90" t="s">
        <v>195</v>
      </c>
      <c r="Q2" s="90" t="s">
        <v>196</v>
      </c>
      <c r="R2" s="91" t="s">
        <v>121</v>
      </c>
      <c r="S2" s="91" t="s">
        <v>116</v>
      </c>
      <c r="T2" s="91" t="s">
        <v>122</v>
      </c>
      <c r="U2" s="91" t="s">
        <v>159</v>
      </c>
      <c r="V2" s="92" t="s">
        <v>125</v>
      </c>
      <c r="W2" s="93" t="s">
        <v>197</v>
      </c>
      <c r="X2" s="93" t="s">
        <v>198</v>
      </c>
      <c r="Y2" s="92" t="s">
        <v>101</v>
      </c>
      <c r="Z2" s="94" t="s">
        <v>141</v>
      </c>
      <c r="AA2" s="94" t="s">
        <v>142</v>
      </c>
      <c r="AB2" s="94" t="s">
        <v>143</v>
      </c>
      <c r="AC2" s="94" t="s">
        <v>144</v>
      </c>
      <c r="AD2" s="95" t="s">
        <v>127</v>
      </c>
      <c r="AE2" s="95" t="s">
        <v>128</v>
      </c>
      <c r="AF2" s="95" t="s">
        <v>129</v>
      </c>
      <c r="AG2" s="95" t="s">
        <v>131</v>
      </c>
      <c r="AH2" s="95" t="s">
        <v>130</v>
      </c>
      <c r="AI2" s="95" t="s">
        <v>126</v>
      </c>
      <c r="AJ2" s="95" t="s">
        <v>199</v>
      </c>
      <c r="AK2" s="95" t="s">
        <v>200</v>
      </c>
      <c r="AL2" s="95" t="s">
        <v>201</v>
      </c>
      <c r="AM2" s="95" t="s">
        <v>202</v>
      </c>
      <c r="AN2" s="95" t="s">
        <v>203</v>
      </c>
      <c r="AO2" s="95" t="s">
        <v>204</v>
      </c>
      <c r="AP2" s="95" t="s">
        <v>205</v>
      </c>
      <c r="AQ2" s="95" t="s">
        <v>132</v>
      </c>
      <c r="AR2" s="95" t="s">
        <v>133</v>
      </c>
      <c r="AS2" s="95" t="s">
        <v>114</v>
      </c>
      <c r="AT2" s="96" t="s">
        <v>146</v>
      </c>
      <c r="AU2" s="96" t="s">
        <v>148</v>
      </c>
      <c r="AV2" s="96" t="s">
        <v>149</v>
      </c>
      <c r="AW2" s="96" t="s">
        <v>150</v>
      </c>
      <c r="AX2" s="96" t="s">
        <v>206</v>
      </c>
      <c r="AY2" s="96" t="s">
        <v>207</v>
      </c>
      <c r="AZ2" s="97" t="s">
        <v>208</v>
      </c>
      <c r="BA2" s="96" t="s">
        <v>156</v>
      </c>
      <c r="BB2" s="96" t="s">
        <v>157</v>
      </c>
      <c r="BC2" s="97" t="s">
        <v>209</v>
      </c>
      <c r="BD2" s="96" t="s">
        <v>210</v>
      </c>
      <c r="BE2" s="98" t="s">
        <v>57</v>
      </c>
      <c r="BF2" s="99" t="s">
        <v>211</v>
      </c>
      <c r="BG2" s="99" t="s">
        <v>161</v>
      </c>
      <c r="BH2" s="100" t="s">
        <v>212</v>
      </c>
      <c r="BI2" s="100" t="s">
        <v>213</v>
      </c>
      <c r="BJ2" s="100" t="s">
        <v>214</v>
      </c>
    </row>
    <row r="3" spans="1:62" ht="16.5" customHeight="1">
      <c r="A3" s="101"/>
      <c r="B3" s="102"/>
      <c r="C3" s="103"/>
      <c r="D3" s="101"/>
      <c r="E3" s="104"/>
      <c r="F3" s="105" t="str">
        <f t="shared" ref="F3:F66" ca="1" si="0">IF($E3="","",INT((TODAY()-$E3)/365.25))</f>
        <v/>
      </c>
      <c r="G3" s="105"/>
      <c r="H3" s="105"/>
      <c r="I3" s="105"/>
      <c r="J3" s="105"/>
      <c r="K3" s="105"/>
      <c r="L3" s="105"/>
      <c r="M3" s="105"/>
      <c r="N3" s="105"/>
      <c r="O3" s="105"/>
      <c r="P3" s="106"/>
      <c r="Q3" s="106"/>
      <c r="R3" s="106"/>
      <c r="S3" s="107"/>
      <c r="T3" s="106"/>
      <c r="U3" s="106"/>
      <c r="V3" s="108"/>
      <c r="W3" s="108"/>
      <c r="X3" s="108"/>
      <c r="Y3" s="108"/>
      <c r="Z3" s="109"/>
      <c r="AA3" s="109"/>
      <c r="AB3" s="109"/>
      <c r="AC3" s="109"/>
      <c r="AD3" s="110"/>
      <c r="AE3" s="110"/>
      <c r="AF3" s="110"/>
      <c r="AG3" s="110"/>
      <c r="AH3" s="110"/>
      <c r="AI3" s="110"/>
      <c r="AJ3" s="110"/>
      <c r="AK3" s="110"/>
      <c r="AL3" s="111"/>
      <c r="AM3" s="111"/>
      <c r="AN3" s="110"/>
      <c r="AO3" s="110"/>
      <c r="AP3" s="110"/>
      <c r="AQ3" s="111"/>
      <c r="AR3" s="110"/>
      <c r="AS3" s="111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3"/>
      <c r="BE3" s="114"/>
      <c r="BF3" s="115"/>
      <c r="BG3" s="115"/>
      <c r="BH3" s="116" t="str">
        <f t="shared" ref="BH3:BH66" si="1">IF($A3="","","SYNK-"&amp;TEXT(ROW()-2,"000"))</f>
        <v/>
      </c>
      <c r="BI3" s="116" t="str">
        <f t="shared" ref="BI3:BI66" si="2">IF(A3="","",TRIM(IF(AA3="거절","⚠비자거절 ","")&amp;IF(AS3="설득필요","⚠가족설득필요 ","")&amp;IF(AND(W3="5~6급",OR(S3="완전초보",S3="기초")),"⚠목표-수준괴리 ","")&amp;IF(AND(AQ3="빠듯함",AS3="설득필요"),"⚠재정리스크 ","")))</f>
        <v/>
      </c>
      <c r="BJ3" s="116" t="str">
        <f>IF(AND($A3&lt;&gt;"",$D3=반별조회!$C$5),COUNTIFS($A$3:$A3,"&lt;&gt;",$D$3:$D3,반별조회!$C$5),"")</f>
        <v/>
      </c>
    </row>
    <row r="4" spans="1:62" ht="16.5" customHeight="1">
      <c r="A4" s="101"/>
      <c r="B4" s="102"/>
      <c r="C4" s="103"/>
      <c r="D4" s="101"/>
      <c r="E4" s="104"/>
      <c r="F4" s="105" t="str">
        <f t="shared" ca="1" si="0"/>
        <v/>
      </c>
      <c r="G4" s="105"/>
      <c r="H4" s="105"/>
      <c r="I4" s="105"/>
      <c r="J4" s="105"/>
      <c r="K4" s="105"/>
      <c r="L4" s="105"/>
      <c r="M4" s="105"/>
      <c r="N4" s="105"/>
      <c r="O4" s="105"/>
      <c r="P4" s="106"/>
      <c r="Q4" s="106"/>
      <c r="R4" s="106"/>
      <c r="S4" s="107"/>
      <c r="T4" s="106"/>
      <c r="U4" s="106"/>
      <c r="V4" s="108"/>
      <c r="W4" s="108"/>
      <c r="X4" s="108"/>
      <c r="Y4" s="108"/>
      <c r="Z4" s="109"/>
      <c r="AA4" s="117"/>
      <c r="AB4" s="109"/>
      <c r="AC4" s="109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1"/>
      <c r="AR4" s="110"/>
      <c r="AS4" s="111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3"/>
      <c r="BE4" s="114"/>
      <c r="BF4" s="115"/>
      <c r="BG4" s="115"/>
      <c r="BH4" s="116" t="str">
        <f t="shared" si="1"/>
        <v/>
      </c>
      <c r="BI4" s="116" t="str">
        <f t="shared" si="2"/>
        <v/>
      </c>
      <c r="BJ4" s="116" t="str">
        <f>IF(AND($A4&lt;&gt;"",$D4=반별조회!$C$5),COUNTIFS($A$3:$A4,"&lt;&gt;",$D$3:$D4,반별조회!$C$5),"")</f>
        <v/>
      </c>
    </row>
    <row r="5" spans="1:62" ht="15" customHeight="1">
      <c r="A5" s="102"/>
      <c r="B5" s="102"/>
      <c r="C5" s="102"/>
      <c r="D5" s="101"/>
      <c r="E5" s="105"/>
      <c r="F5" s="105" t="str">
        <f t="shared" ca="1" si="0"/>
        <v/>
      </c>
      <c r="G5" s="105"/>
      <c r="H5" s="105"/>
      <c r="I5" s="105"/>
      <c r="J5" s="105"/>
      <c r="K5" s="105"/>
      <c r="L5" s="105"/>
      <c r="M5" s="105"/>
      <c r="N5" s="105"/>
      <c r="O5" s="105"/>
      <c r="P5" s="106"/>
      <c r="Q5" s="106"/>
      <c r="R5" s="106"/>
      <c r="S5" s="107"/>
      <c r="T5" s="106"/>
      <c r="U5" s="106"/>
      <c r="V5" s="108"/>
      <c r="W5" s="108"/>
      <c r="X5" s="108"/>
      <c r="Y5" s="108"/>
      <c r="Z5" s="109"/>
      <c r="AA5" s="109"/>
      <c r="AB5" s="109"/>
      <c r="AC5" s="109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1"/>
      <c r="AR5" s="110"/>
      <c r="AS5" s="111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3"/>
      <c r="BE5" s="114"/>
      <c r="BF5" s="115"/>
      <c r="BG5" s="115"/>
      <c r="BH5" s="116" t="str">
        <f t="shared" si="1"/>
        <v/>
      </c>
      <c r="BI5" s="116" t="str">
        <f t="shared" si="2"/>
        <v/>
      </c>
      <c r="BJ5" s="116" t="str">
        <f>IF(AND($A5&lt;&gt;"",$D5=반별조회!$C$5),COUNTIFS($A$3:$A5,"&lt;&gt;",$D$3:$D5,반별조회!$C$5),"")</f>
        <v/>
      </c>
    </row>
    <row r="6" spans="1:62" ht="15" customHeight="1">
      <c r="A6" s="102"/>
      <c r="B6" s="102"/>
      <c r="C6" s="102"/>
      <c r="D6" s="101"/>
      <c r="E6" s="105"/>
      <c r="F6" s="105" t="str">
        <f t="shared" ca="1" si="0"/>
        <v/>
      </c>
      <c r="G6" s="105"/>
      <c r="H6" s="105"/>
      <c r="I6" s="105"/>
      <c r="J6" s="105"/>
      <c r="K6" s="105"/>
      <c r="L6" s="105"/>
      <c r="M6" s="105"/>
      <c r="N6" s="105"/>
      <c r="O6" s="105"/>
      <c r="P6" s="106"/>
      <c r="Q6" s="106"/>
      <c r="R6" s="106"/>
      <c r="S6" s="107"/>
      <c r="T6" s="106"/>
      <c r="U6" s="106"/>
      <c r="V6" s="108"/>
      <c r="W6" s="108"/>
      <c r="X6" s="108"/>
      <c r="Y6" s="108"/>
      <c r="Z6" s="109"/>
      <c r="AA6" s="109"/>
      <c r="AB6" s="109"/>
      <c r="AC6" s="109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1"/>
      <c r="AR6" s="110"/>
      <c r="AS6" s="111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3"/>
      <c r="BE6" s="114"/>
      <c r="BF6" s="115"/>
      <c r="BG6" s="115"/>
      <c r="BH6" s="116" t="str">
        <f t="shared" si="1"/>
        <v/>
      </c>
      <c r="BI6" s="116" t="str">
        <f t="shared" si="2"/>
        <v/>
      </c>
      <c r="BJ6" s="116" t="str">
        <f>IF(AND($A6&lt;&gt;"",$D6=반별조회!$C$5),COUNTIFS($A$3:$A6,"&lt;&gt;",$D$3:$D6,반별조회!$C$5),"")</f>
        <v/>
      </c>
    </row>
    <row r="7" spans="1:62" ht="15" customHeight="1">
      <c r="A7" s="102"/>
      <c r="B7" s="102"/>
      <c r="C7" s="102"/>
      <c r="D7" s="101"/>
      <c r="E7" s="105"/>
      <c r="F7" s="105" t="str">
        <f t="shared" ca="1" si="0"/>
        <v/>
      </c>
      <c r="G7" s="105"/>
      <c r="H7" s="105"/>
      <c r="I7" s="105"/>
      <c r="J7" s="105"/>
      <c r="K7" s="105"/>
      <c r="L7" s="105"/>
      <c r="M7" s="105"/>
      <c r="N7" s="105"/>
      <c r="O7" s="105"/>
      <c r="P7" s="106"/>
      <c r="Q7" s="106"/>
      <c r="R7" s="106"/>
      <c r="S7" s="107"/>
      <c r="T7" s="106"/>
      <c r="U7" s="106"/>
      <c r="V7" s="108"/>
      <c r="W7" s="108"/>
      <c r="X7" s="108"/>
      <c r="Y7" s="108"/>
      <c r="Z7" s="109"/>
      <c r="AA7" s="109"/>
      <c r="AB7" s="109"/>
      <c r="AC7" s="109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0"/>
      <c r="AQ7" s="111"/>
      <c r="AR7" s="110"/>
      <c r="AS7" s="111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3"/>
      <c r="BE7" s="114"/>
      <c r="BF7" s="115"/>
      <c r="BG7" s="115"/>
      <c r="BH7" s="116" t="str">
        <f t="shared" si="1"/>
        <v/>
      </c>
      <c r="BI7" s="116" t="str">
        <f t="shared" si="2"/>
        <v/>
      </c>
      <c r="BJ7" s="116" t="str">
        <f>IF(AND($A7&lt;&gt;"",$D7=반별조회!$C$5),COUNTIFS($A$3:$A7,"&lt;&gt;",$D$3:$D7,반별조회!$C$5),"")</f>
        <v/>
      </c>
    </row>
    <row r="8" spans="1:62" ht="15" customHeight="1">
      <c r="A8" s="102"/>
      <c r="B8" s="102"/>
      <c r="C8" s="102"/>
      <c r="D8" s="101"/>
      <c r="E8" s="105"/>
      <c r="F8" s="105" t="str">
        <f t="shared" ca="1" si="0"/>
        <v/>
      </c>
      <c r="G8" s="105"/>
      <c r="H8" s="105"/>
      <c r="I8" s="105"/>
      <c r="J8" s="105"/>
      <c r="K8" s="105"/>
      <c r="L8" s="105"/>
      <c r="M8" s="105"/>
      <c r="N8" s="105"/>
      <c r="O8" s="105"/>
      <c r="P8" s="106"/>
      <c r="Q8" s="106"/>
      <c r="R8" s="106"/>
      <c r="S8" s="107"/>
      <c r="T8" s="106"/>
      <c r="U8" s="106"/>
      <c r="V8" s="108"/>
      <c r="W8" s="108"/>
      <c r="X8" s="108"/>
      <c r="Y8" s="108"/>
      <c r="Z8" s="109"/>
      <c r="AA8" s="109"/>
      <c r="AB8" s="109"/>
      <c r="AC8" s="109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1"/>
      <c r="AR8" s="110"/>
      <c r="AS8" s="111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3"/>
      <c r="BE8" s="114"/>
      <c r="BF8" s="115"/>
      <c r="BG8" s="115"/>
      <c r="BH8" s="116" t="str">
        <f t="shared" si="1"/>
        <v/>
      </c>
      <c r="BI8" s="116" t="str">
        <f t="shared" si="2"/>
        <v/>
      </c>
      <c r="BJ8" s="116" t="str">
        <f>IF(AND($A8&lt;&gt;"",$D8=반별조회!$C$5),COUNTIFS($A$3:$A8,"&lt;&gt;",$D$3:$D8,반별조회!$C$5),"")</f>
        <v/>
      </c>
    </row>
    <row r="9" spans="1:62" ht="15" customHeight="1">
      <c r="A9" s="102"/>
      <c r="B9" s="102"/>
      <c r="C9" s="102"/>
      <c r="D9" s="101"/>
      <c r="E9" s="105"/>
      <c r="F9" s="105" t="str">
        <f t="shared" ca="1" si="0"/>
        <v/>
      </c>
      <c r="G9" s="105"/>
      <c r="H9" s="105"/>
      <c r="I9" s="105"/>
      <c r="J9" s="105"/>
      <c r="K9" s="105"/>
      <c r="L9" s="105"/>
      <c r="M9" s="105"/>
      <c r="N9" s="105"/>
      <c r="O9" s="105"/>
      <c r="P9" s="106"/>
      <c r="Q9" s="106"/>
      <c r="R9" s="106"/>
      <c r="S9" s="107"/>
      <c r="T9" s="106"/>
      <c r="U9" s="106"/>
      <c r="V9" s="108"/>
      <c r="W9" s="108"/>
      <c r="X9" s="108"/>
      <c r="Y9" s="108"/>
      <c r="Z9" s="109"/>
      <c r="AA9" s="109"/>
      <c r="AB9" s="109"/>
      <c r="AC9" s="109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1"/>
      <c r="AR9" s="110"/>
      <c r="AS9" s="111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3"/>
      <c r="BE9" s="114"/>
      <c r="BF9" s="115"/>
      <c r="BG9" s="115"/>
      <c r="BH9" s="116" t="str">
        <f t="shared" si="1"/>
        <v/>
      </c>
      <c r="BI9" s="116" t="str">
        <f t="shared" si="2"/>
        <v/>
      </c>
      <c r="BJ9" s="116" t="str">
        <f>IF(AND($A9&lt;&gt;"",$D9=반별조회!$C$5),COUNTIFS($A$3:$A9,"&lt;&gt;",$D$3:$D9,반별조회!$C$5),"")</f>
        <v/>
      </c>
    </row>
    <row r="10" spans="1:62" ht="15" customHeight="1">
      <c r="A10" s="102"/>
      <c r="B10" s="102"/>
      <c r="C10" s="102"/>
      <c r="D10" s="101"/>
      <c r="E10" s="105"/>
      <c r="F10" s="105" t="str">
        <f t="shared" ca="1" si="0"/>
        <v/>
      </c>
      <c r="G10" s="105"/>
      <c r="H10" s="105"/>
      <c r="I10" s="105"/>
      <c r="J10" s="105"/>
      <c r="K10" s="105"/>
      <c r="L10" s="105"/>
      <c r="M10" s="105"/>
      <c r="N10" s="105"/>
      <c r="O10" s="105"/>
      <c r="P10" s="106"/>
      <c r="Q10" s="106"/>
      <c r="R10" s="106"/>
      <c r="S10" s="107"/>
      <c r="T10" s="106"/>
      <c r="U10" s="106"/>
      <c r="V10" s="108"/>
      <c r="W10" s="108"/>
      <c r="X10" s="108"/>
      <c r="Y10" s="108"/>
      <c r="Z10" s="109"/>
      <c r="AA10" s="109"/>
      <c r="AB10" s="109"/>
      <c r="AC10" s="109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1"/>
      <c r="AR10" s="110"/>
      <c r="AS10" s="111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3"/>
      <c r="BE10" s="114"/>
      <c r="BF10" s="115"/>
      <c r="BG10" s="115"/>
      <c r="BH10" s="116" t="str">
        <f t="shared" si="1"/>
        <v/>
      </c>
      <c r="BI10" s="116" t="str">
        <f t="shared" si="2"/>
        <v/>
      </c>
      <c r="BJ10" s="116" t="str">
        <f>IF(AND($A10&lt;&gt;"",$D10=반별조회!$C$5),COUNTIFS($A$3:$A10,"&lt;&gt;",$D$3:$D10,반별조회!$C$5),"")</f>
        <v/>
      </c>
    </row>
    <row r="11" spans="1:62" ht="15" customHeight="1">
      <c r="A11" s="102"/>
      <c r="B11" s="102"/>
      <c r="C11" s="102"/>
      <c r="D11" s="101"/>
      <c r="E11" s="105"/>
      <c r="F11" s="105" t="str">
        <f t="shared" ca="1" si="0"/>
        <v/>
      </c>
      <c r="G11" s="105"/>
      <c r="H11" s="105"/>
      <c r="I11" s="105"/>
      <c r="J11" s="105"/>
      <c r="K11" s="105"/>
      <c r="L11" s="105"/>
      <c r="M11" s="105"/>
      <c r="N11" s="105"/>
      <c r="O11" s="105"/>
      <c r="P11" s="106"/>
      <c r="Q11" s="106"/>
      <c r="R11" s="106"/>
      <c r="S11" s="107"/>
      <c r="T11" s="106"/>
      <c r="U11" s="106"/>
      <c r="V11" s="108"/>
      <c r="W11" s="108"/>
      <c r="X11" s="108"/>
      <c r="Y11" s="108"/>
      <c r="Z11" s="109"/>
      <c r="AA11" s="109"/>
      <c r="AB11" s="109"/>
      <c r="AC11" s="109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1"/>
      <c r="AR11" s="110"/>
      <c r="AS11" s="111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3"/>
      <c r="BE11" s="114"/>
      <c r="BF11" s="115"/>
      <c r="BG11" s="115"/>
      <c r="BH11" s="116" t="str">
        <f t="shared" si="1"/>
        <v/>
      </c>
      <c r="BI11" s="116" t="str">
        <f t="shared" si="2"/>
        <v/>
      </c>
      <c r="BJ11" s="116" t="str">
        <f>IF(AND($A11&lt;&gt;"",$D11=반별조회!$C$5),COUNTIFS($A$3:$A11,"&lt;&gt;",$D$3:$D11,반별조회!$C$5),"")</f>
        <v/>
      </c>
    </row>
    <row r="12" spans="1:62" ht="15" customHeight="1">
      <c r="A12" s="102"/>
      <c r="B12" s="102"/>
      <c r="C12" s="102"/>
      <c r="D12" s="101"/>
      <c r="E12" s="105"/>
      <c r="F12" s="105" t="str">
        <f t="shared" ca="1" si="0"/>
        <v/>
      </c>
      <c r="G12" s="105"/>
      <c r="H12" s="105"/>
      <c r="I12" s="105"/>
      <c r="J12" s="105"/>
      <c r="K12" s="105"/>
      <c r="L12" s="105"/>
      <c r="M12" s="105"/>
      <c r="N12" s="105"/>
      <c r="O12" s="105"/>
      <c r="P12" s="106"/>
      <c r="Q12" s="106"/>
      <c r="R12" s="106"/>
      <c r="S12" s="107"/>
      <c r="T12" s="106"/>
      <c r="U12" s="106"/>
      <c r="V12" s="108"/>
      <c r="W12" s="108"/>
      <c r="X12" s="108"/>
      <c r="Y12" s="108"/>
      <c r="Z12" s="109"/>
      <c r="AA12" s="109"/>
      <c r="AB12" s="109"/>
      <c r="AC12" s="109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1"/>
      <c r="AR12" s="110"/>
      <c r="AS12" s="111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3"/>
      <c r="BE12" s="114"/>
      <c r="BF12" s="115"/>
      <c r="BG12" s="115"/>
      <c r="BH12" s="116" t="str">
        <f t="shared" si="1"/>
        <v/>
      </c>
      <c r="BI12" s="116" t="str">
        <f t="shared" si="2"/>
        <v/>
      </c>
      <c r="BJ12" s="116" t="str">
        <f>IF(AND($A12&lt;&gt;"",$D12=반별조회!$C$5),COUNTIFS($A$3:$A12,"&lt;&gt;",$D$3:$D12,반별조회!$C$5),"")</f>
        <v/>
      </c>
    </row>
    <row r="13" spans="1:62" ht="15" customHeight="1">
      <c r="A13" s="102"/>
      <c r="B13" s="102"/>
      <c r="C13" s="102"/>
      <c r="D13" s="101"/>
      <c r="E13" s="105"/>
      <c r="F13" s="105" t="str">
        <f t="shared" ca="1" si="0"/>
        <v/>
      </c>
      <c r="G13" s="105"/>
      <c r="H13" s="105"/>
      <c r="I13" s="105"/>
      <c r="J13" s="105"/>
      <c r="K13" s="105"/>
      <c r="L13" s="105"/>
      <c r="M13" s="105"/>
      <c r="N13" s="105"/>
      <c r="O13" s="105"/>
      <c r="P13" s="106"/>
      <c r="Q13" s="106"/>
      <c r="R13" s="106"/>
      <c r="S13" s="107"/>
      <c r="T13" s="106"/>
      <c r="U13" s="106"/>
      <c r="V13" s="108"/>
      <c r="W13" s="108"/>
      <c r="X13" s="108"/>
      <c r="Y13" s="108"/>
      <c r="Z13" s="109"/>
      <c r="AA13" s="109"/>
      <c r="AB13" s="109"/>
      <c r="AC13" s="109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1"/>
      <c r="AR13" s="110"/>
      <c r="AS13" s="111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3"/>
      <c r="BE13" s="114"/>
      <c r="BF13" s="115"/>
      <c r="BG13" s="115"/>
      <c r="BH13" s="116" t="str">
        <f t="shared" si="1"/>
        <v/>
      </c>
      <c r="BI13" s="116" t="str">
        <f t="shared" si="2"/>
        <v/>
      </c>
      <c r="BJ13" s="116" t="str">
        <f>IF(AND($A13&lt;&gt;"",$D13=반별조회!$C$5),COUNTIFS($A$3:$A13,"&lt;&gt;",$D$3:$D13,반별조회!$C$5),"")</f>
        <v/>
      </c>
    </row>
    <row r="14" spans="1:62" ht="15" customHeight="1">
      <c r="A14" s="102"/>
      <c r="B14" s="102"/>
      <c r="C14" s="102"/>
      <c r="D14" s="101"/>
      <c r="E14" s="105"/>
      <c r="F14" s="105" t="str">
        <f t="shared" ca="1" si="0"/>
        <v/>
      </c>
      <c r="G14" s="105"/>
      <c r="H14" s="105"/>
      <c r="I14" s="105"/>
      <c r="J14" s="105"/>
      <c r="K14" s="105"/>
      <c r="L14" s="105"/>
      <c r="M14" s="105"/>
      <c r="N14" s="105"/>
      <c r="O14" s="105"/>
      <c r="P14" s="106"/>
      <c r="Q14" s="106"/>
      <c r="R14" s="106"/>
      <c r="S14" s="107"/>
      <c r="T14" s="106"/>
      <c r="U14" s="106"/>
      <c r="V14" s="108"/>
      <c r="W14" s="108"/>
      <c r="X14" s="108"/>
      <c r="Y14" s="108"/>
      <c r="Z14" s="109"/>
      <c r="AA14" s="109"/>
      <c r="AB14" s="109"/>
      <c r="AC14" s="109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1"/>
      <c r="AR14" s="110"/>
      <c r="AS14" s="111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3"/>
      <c r="BE14" s="114"/>
      <c r="BF14" s="115"/>
      <c r="BG14" s="115"/>
      <c r="BH14" s="116" t="str">
        <f t="shared" si="1"/>
        <v/>
      </c>
      <c r="BI14" s="116" t="str">
        <f t="shared" si="2"/>
        <v/>
      </c>
      <c r="BJ14" s="116" t="str">
        <f>IF(AND($A14&lt;&gt;"",$D14=반별조회!$C$5),COUNTIFS($A$3:$A14,"&lt;&gt;",$D$3:$D14,반별조회!$C$5),"")</f>
        <v/>
      </c>
    </row>
    <row r="15" spans="1:62" ht="15" customHeight="1">
      <c r="A15" s="102"/>
      <c r="B15" s="102"/>
      <c r="C15" s="102"/>
      <c r="D15" s="101"/>
      <c r="E15" s="105"/>
      <c r="F15" s="105" t="str">
        <f t="shared" ca="1" si="0"/>
        <v/>
      </c>
      <c r="G15" s="105"/>
      <c r="H15" s="105"/>
      <c r="I15" s="105"/>
      <c r="J15" s="105"/>
      <c r="K15" s="105"/>
      <c r="L15" s="105"/>
      <c r="M15" s="105"/>
      <c r="N15" s="105"/>
      <c r="O15" s="105"/>
      <c r="P15" s="106"/>
      <c r="Q15" s="106"/>
      <c r="R15" s="106"/>
      <c r="S15" s="107"/>
      <c r="T15" s="106"/>
      <c r="U15" s="106"/>
      <c r="V15" s="108"/>
      <c r="W15" s="108"/>
      <c r="X15" s="108"/>
      <c r="Y15" s="108"/>
      <c r="Z15" s="109"/>
      <c r="AA15" s="109"/>
      <c r="AB15" s="109"/>
      <c r="AC15" s="109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1"/>
      <c r="AR15" s="110"/>
      <c r="AS15" s="111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3"/>
      <c r="BE15" s="114"/>
      <c r="BF15" s="115"/>
      <c r="BG15" s="115"/>
      <c r="BH15" s="116" t="str">
        <f t="shared" si="1"/>
        <v/>
      </c>
      <c r="BI15" s="116" t="str">
        <f t="shared" si="2"/>
        <v/>
      </c>
      <c r="BJ15" s="116" t="str">
        <f>IF(AND($A15&lt;&gt;"",$D15=반별조회!$C$5),COUNTIFS($A$3:$A15,"&lt;&gt;",$D$3:$D15,반별조회!$C$5),"")</f>
        <v/>
      </c>
    </row>
    <row r="16" spans="1:62" ht="15" customHeight="1">
      <c r="A16" s="102"/>
      <c r="B16" s="102"/>
      <c r="C16" s="102"/>
      <c r="D16" s="101"/>
      <c r="E16" s="105"/>
      <c r="F16" s="105" t="str">
        <f t="shared" ca="1" si="0"/>
        <v/>
      </c>
      <c r="G16" s="105"/>
      <c r="H16" s="105"/>
      <c r="I16" s="105"/>
      <c r="J16" s="105"/>
      <c r="K16" s="105"/>
      <c r="L16" s="105"/>
      <c r="M16" s="105"/>
      <c r="N16" s="105"/>
      <c r="O16" s="105"/>
      <c r="P16" s="106"/>
      <c r="Q16" s="106"/>
      <c r="R16" s="106"/>
      <c r="S16" s="107"/>
      <c r="T16" s="106"/>
      <c r="U16" s="106"/>
      <c r="V16" s="108"/>
      <c r="W16" s="108"/>
      <c r="X16" s="108"/>
      <c r="Y16" s="108"/>
      <c r="Z16" s="109"/>
      <c r="AA16" s="109"/>
      <c r="AB16" s="109"/>
      <c r="AC16" s="109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1"/>
      <c r="AR16" s="110"/>
      <c r="AS16" s="111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3"/>
      <c r="BE16" s="114"/>
      <c r="BF16" s="115"/>
      <c r="BG16" s="115"/>
      <c r="BH16" s="116" t="str">
        <f t="shared" si="1"/>
        <v/>
      </c>
      <c r="BI16" s="116" t="str">
        <f t="shared" si="2"/>
        <v/>
      </c>
      <c r="BJ16" s="116" t="str">
        <f>IF(AND($A16&lt;&gt;"",$D16=반별조회!$C$5),COUNTIFS($A$3:$A16,"&lt;&gt;",$D$3:$D16,반별조회!$C$5),"")</f>
        <v/>
      </c>
    </row>
    <row r="17" spans="1:62" ht="15" customHeight="1">
      <c r="A17" s="102"/>
      <c r="B17" s="102"/>
      <c r="C17" s="102"/>
      <c r="D17" s="101"/>
      <c r="E17" s="105"/>
      <c r="F17" s="105" t="str">
        <f t="shared" ca="1" si="0"/>
        <v/>
      </c>
      <c r="G17" s="105"/>
      <c r="H17" s="105"/>
      <c r="I17" s="105"/>
      <c r="J17" s="105"/>
      <c r="K17" s="105"/>
      <c r="L17" s="105"/>
      <c r="M17" s="105"/>
      <c r="N17" s="105"/>
      <c r="O17" s="105"/>
      <c r="P17" s="106"/>
      <c r="Q17" s="106"/>
      <c r="R17" s="106"/>
      <c r="S17" s="107"/>
      <c r="T17" s="106"/>
      <c r="U17" s="106"/>
      <c r="V17" s="108"/>
      <c r="W17" s="108"/>
      <c r="X17" s="108"/>
      <c r="Y17" s="108"/>
      <c r="Z17" s="109"/>
      <c r="AA17" s="109"/>
      <c r="AB17" s="109"/>
      <c r="AC17" s="109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1"/>
      <c r="AR17" s="110"/>
      <c r="AS17" s="111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3"/>
      <c r="BE17" s="114"/>
      <c r="BF17" s="115"/>
      <c r="BG17" s="115"/>
      <c r="BH17" s="116" t="str">
        <f t="shared" si="1"/>
        <v/>
      </c>
      <c r="BI17" s="116" t="str">
        <f t="shared" si="2"/>
        <v/>
      </c>
      <c r="BJ17" s="116" t="str">
        <f>IF(AND($A17&lt;&gt;"",$D17=반별조회!$C$5),COUNTIFS($A$3:$A17,"&lt;&gt;",$D$3:$D17,반별조회!$C$5),"")</f>
        <v/>
      </c>
    </row>
    <row r="18" spans="1:62" ht="15" customHeight="1">
      <c r="A18" s="102"/>
      <c r="B18" s="102"/>
      <c r="C18" s="102"/>
      <c r="D18" s="101"/>
      <c r="E18" s="105"/>
      <c r="F18" s="105" t="str">
        <f t="shared" ca="1" si="0"/>
        <v/>
      </c>
      <c r="G18" s="105"/>
      <c r="H18" s="105"/>
      <c r="I18" s="105"/>
      <c r="J18" s="105"/>
      <c r="K18" s="105"/>
      <c r="L18" s="105"/>
      <c r="M18" s="105"/>
      <c r="N18" s="105"/>
      <c r="O18" s="105"/>
      <c r="P18" s="106"/>
      <c r="Q18" s="106"/>
      <c r="R18" s="106"/>
      <c r="S18" s="107"/>
      <c r="T18" s="106"/>
      <c r="U18" s="106"/>
      <c r="V18" s="108"/>
      <c r="W18" s="108"/>
      <c r="X18" s="108"/>
      <c r="Y18" s="108"/>
      <c r="Z18" s="109"/>
      <c r="AA18" s="109"/>
      <c r="AB18" s="109"/>
      <c r="AC18" s="109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1"/>
      <c r="AR18" s="110"/>
      <c r="AS18" s="111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3"/>
      <c r="BE18" s="114"/>
      <c r="BF18" s="115"/>
      <c r="BG18" s="115"/>
      <c r="BH18" s="116" t="str">
        <f t="shared" si="1"/>
        <v/>
      </c>
      <c r="BI18" s="116" t="str">
        <f t="shared" si="2"/>
        <v/>
      </c>
      <c r="BJ18" s="116" t="str">
        <f>IF(AND($A18&lt;&gt;"",$D18=반별조회!$C$5),COUNTIFS($A$3:$A18,"&lt;&gt;",$D$3:$D18,반별조회!$C$5),"")</f>
        <v/>
      </c>
    </row>
    <row r="19" spans="1:62" ht="15" customHeight="1">
      <c r="A19" s="102"/>
      <c r="B19" s="102"/>
      <c r="C19" s="102"/>
      <c r="D19" s="101"/>
      <c r="E19" s="105"/>
      <c r="F19" s="105" t="str">
        <f t="shared" ca="1" si="0"/>
        <v/>
      </c>
      <c r="G19" s="105"/>
      <c r="H19" s="105"/>
      <c r="I19" s="105"/>
      <c r="J19" s="105"/>
      <c r="K19" s="105"/>
      <c r="L19" s="105"/>
      <c r="M19" s="105"/>
      <c r="N19" s="105"/>
      <c r="O19" s="105"/>
      <c r="P19" s="106"/>
      <c r="Q19" s="106"/>
      <c r="R19" s="106"/>
      <c r="S19" s="107"/>
      <c r="T19" s="106"/>
      <c r="U19" s="106"/>
      <c r="V19" s="108"/>
      <c r="W19" s="108"/>
      <c r="X19" s="108"/>
      <c r="Y19" s="108"/>
      <c r="Z19" s="109"/>
      <c r="AA19" s="109"/>
      <c r="AB19" s="109"/>
      <c r="AC19" s="109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1"/>
      <c r="AR19" s="110"/>
      <c r="AS19" s="111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3"/>
      <c r="BE19" s="114"/>
      <c r="BF19" s="115"/>
      <c r="BG19" s="115"/>
      <c r="BH19" s="116" t="str">
        <f t="shared" si="1"/>
        <v/>
      </c>
      <c r="BI19" s="116" t="str">
        <f t="shared" si="2"/>
        <v/>
      </c>
      <c r="BJ19" s="116" t="str">
        <f>IF(AND($A19&lt;&gt;"",$D19=반별조회!$C$5),COUNTIFS($A$3:$A19,"&lt;&gt;",$D$3:$D19,반별조회!$C$5),"")</f>
        <v/>
      </c>
    </row>
    <row r="20" spans="1:62" ht="15" customHeight="1">
      <c r="A20" s="102"/>
      <c r="B20" s="102"/>
      <c r="C20" s="102"/>
      <c r="D20" s="101"/>
      <c r="E20" s="105"/>
      <c r="F20" s="105" t="str">
        <f t="shared" ca="1" si="0"/>
        <v/>
      </c>
      <c r="G20" s="105"/>
      <c r="H20" s="105"/>
      <c r="I20" s="105"/>
      <c r="J20" s="105"/>
      <c r="K20" s="105"/>
      <c r="L20" s="105"/>
      <c r="M20" s="105"/>
      <c r="N20" s="105"/>
      <c r="O20" s="105"/>
      <c r="P20" s="106"/>
      <c r="Q20" s="106"/>
      <c r="R20" s="106"/>
      <c r="S20" s="107"/>
      <c r="T20" s="106"/>
      <c r="U20" s="106"/>
      <c r="V20" s="108"/>
      <c r="W20" s="108"/>
      <c r="X20" s="108"/>
      <c r="Y20" s="108"/>
      <c r="Z20" s="109"/>
      <c r="AA20" s="109"/>
      <c r="AB20" s="109"/>
      <c r="AC20" s="109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1"/>
      <c r="AR20" s="110"/>
      <c r="AS20" s="111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3"/>
      <c r="BE20" s="114"/>
      <c r="BF20" s="115"/>
      <c r="BG20" s="115"/>
      <c r="BH20" s="116" t="str">
        <f t="shared" si="1"/>
        <v/>
      </c>
      <c r="BI20" s="116" t="str">
        <f t="shared" si="2"/>
        <v/>
      </c>
      <c r="BJ20" s="116" t="str">
        <f>IF(AND($A20&lt;&gt;"",$D20=반별조회!$C$5),COUNTIFS($A$3:$A20,"&lt;&gt;",$D$3:$D20,반별조회!$C$5),"")</f>
        <v/>
      </c>
    </row>
    <row r="21" spans="1:62" ht="15" customHeight="1">
      <c r="A21" s="102"/>
      <c r="B21" s="102"/>
      <c r="C21" s="102"/>
      <c r="D21" s="101"/>
      <c r="E21" s="105"/>
      <c r="F21" s="105" t="str">
        <f t="shared" ca="1" si="0"/>
        <v/>
      </c>
      <c r="G21" s="105"/>
      <c r="H21" s="105"/>
      <c r="I21" s="105"/>
      <c r="J21" s="105"/>
      <c r="K21" s="105"/>
      <c r="L21" s="105"/>
      <c r="M21" s="105"/>
      <c r="N21" s="105"/>
      <c r="O21" s="105"/>
      <c r="P21" s="106"/>
      <c r="Q21" s="106"/>
      <c r="R21" s="106"/>
      <c r="S21" s="107"/>
      <c r="T21" s="106"/>
      <c r="U21" s="106"/>
      <c r="V21" s="108"/>
      <c r="W21" s="108"/>
      <c r="X21" s="108"/>
      <c r="Y21" s="108"/>
      <c r="Z21" s="109"/>
      <c r="AA21" s="109"/>
      <c r="AB21" s="109"/>
      <c r="AC21" s="109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1"/>
      <c r="AR21" s="110"/>
      <c r="AS21" s="111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3"/>
      <c r="BE21" s="114"/>
      <c r="BF21" s="115"/>
      <c r="BG21" s="115"/>
      <c r="BH21" s="116" t="str">
        <f t="shared" si="1"/>
        <v/>
      </c>
      <c r="BI21" s="116" t="str">
        <f t="shared" si="2"/>
        <v/>
      </c>
      <c r="BJ21" s="116" t="str">
        <f>IF(AND($A21&lt;&gt;"",$D21=반별조회!$C$5),COUNTIFS($A$3:$A21,"&lt;&gt;",$D$3:$D21,반별조회!$C$5),"")</f>
        <v/>
      </c>
    </row>
    <row r="22" spans="1:62" ht="15" customHeight="1">
      <c r="A22" s="102"/>
      <c r="B22" s="102"/>
      <c r="C22" s="102"/>
      <c r="D22" s="101"/>
      <c r="E22" s="105"/>
      <c r="F22" s="105" t="str">
        <f t="shared" ca="1" si="0"/>
        <v/>
      </c>
      <c r="G22" s="105"/>
      <c r="H22" s="105"/>
      <c r="I22" s="105"/>
      <c r="J22" s="105"/>
      <c r="K22" s="105"/>
      <c r="L22" s="105"/>
      <c r="M22" s="105"/>
      <c r="N22" s="105"/>
      <c r="O22" s="105"/>
      <c r="P22" s="106"/>
      <c r="Q22" s="106"/>
      <c r="R22" s="106"/>
      <c r="S22" s="107"/>
      <c r="T22" s="106"/>
      <c r="U22" s="106"/>
      <c r="V22" s="108"/>
      <c r="W22" s="108"/>
      <c r="X22" s="108"/>
      <c r="Y22" s="108"/>
      <c r="Z22" s="109"/>
      <c r="AA22" s="109"/>
      <c r="AB22" s="109"/>
      <c r="AC22" s="109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1"/>
      <c r="AR22" s="110"/>
      <c r="AS22" s="111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3"/>
      <c r="BE22" s="114"/>
      <c r="BF22" s="115"/>
      <c r="BG22" s="115"/>
      <c r="BH22" s="116" t="str">
        <f t="shared" si="1"/>
        <v/>
      </c>
      <c r="BI22" s="116" t="str">
        <f t="shared" si="2"/>
        <v/>
      </c>
      <c r="BJ22" s="116" t="str">
        <f>IF(AND($A22&lt;&gt;"",$D22=반별조회!$C$5),COUNTIFS($A$3:$A22,"&lt;&gt;",$D$3:$D22,반별조회!$C$5),"")</f>
        <v/>
      </c>
    </row>
    <row r="23" spans="1:62" ht="15" customHeight="1">
      <c r="A23" s="102"/>
      <c r="B23" s="102"/>
      <c r="C23" s="102"/>
      <c r="D23" s="101"/>
      <c r="E23" s="105"/>
      <c r="F23" s="105" t="str">
        <f t="shared" ca="1" si="0"/>
        <v/>
      </c>
      <c r="G23" s="105"/>
      <c r="H23" s="105"/>
      <c r="I23" s="105"/>
      <c r="J23" s="105"/>
      <c r="K23" s="105"/>
      <c r="L23" s="105"/>
      <c r="M23" s="105"/>
      <c r="N23" s="105"/>
      <c r="O23" s="105"/>
      <c r="P23" s="106"/>
      <c r="Q23" s="106"/>
      <c r="R23" s="106"/>
      <c r="S23" s="107"/>
      <c r="T23" s="106"/>
      <c r="U23" s="106"/>
      <c r="V23" s="108"/>
      <c r="W23" s="108"/>
      <c r="X23" s="108"/>
      <c r="Y23" s="108"/>
      <c r="Z23" s="109"/>
      <c r="AA23" s="109"/>
      <c r="AB23" s="109"/>
      <c r="AC23" s="109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0"/>
      <c r="AQ23" s="111"/>
      <c r="AR23" s="110"/>
      <c r="AS23" s="111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3"/>
      <c r="BE23" s="114"/>
      <c r="BF23" s="115"/>
      <c r="BG23" s="115"/>
      <c r="BH23" s="116" t="str">
        <f t="shared" si="1"/>
        <v/>
      </c>
      <c r="BI23" s="116" t="str">
        <f t="shared" si="2"/>
        <v/>
      </c>
      <c r="BJ23" s="116" t="str">
        <f>IF(AND($A23&lt;&gt;"",$D23=반별조회!$C$5),COUNTIFS($A$3:$A23,"&lt;&gt;",$D$3:$D23,반별조회!$C$5),"")</f>
        <v/>
      </c>
    </row>
    <row r="24" spans="1:62" ht="15" customHeight="1">
      <c r="A24" s="102"/>
      <c r="B24" s="102"/>
      <c r="C24" s="102"/>
      <c r="D24" s="101"/>
      <c r="E24" s="105"/>
      <c r="F24" s="105" t="str">
        <f t="shared" ca="1" si="0"/>
        <v/>
      </c>
      <c r="G24" s="105"/>
      <c r="H24" s="105"/>
      <c r="I24" s="105"/>
      <c r="J24" s="105"/>
      <c r="K24" s="105"/>
      <c r="L24" s="105"/>
      <c r="M24" s="105"/>
      <c r="N24" s="105"/>
      <c r="O24" s="105"/>
      <c r="P24" s="106"/>
      <c r="Q24" s="106"/>
      <c r="R24" s="106"/>
      <c r="S24" s="107"/>
      <c r="T24" s="106"/>
      <c r="U24" s="106"/>
      <c r="V24" s="108"/>
      <c r="W24" s="108"/>
      <c r="X24" s="108"/>
      <c r="Y24" s="108"/>
      <c r="Z24" s="109"/>
      <c r="AA24" s="109"/>
      <c r="AB24" s="109"/>
      <c r="AC24" s="109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1"/>
      <c r="AR24" s="110"/>
      <c r="AS24" s="111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3"/>
      <c r="BE24" s="114"/>
      <c r="BF24" s="115"/>
      <c r="BG24" s="115"/>
      <c r="BH24" s="116" t="str">
        <f t="shared" si="1"/>
        <v/>
      </c>
      <c r="BI24" s="116" t="str">
        <f t="shared" si="2"/>
        <v/>
      </c>
      <c r="BJ24" s="116" t="str">
        <f>IF(AND($A24&lt;&gt;"",$D24=반별조회!$C$5),COUNTIFS($A$3:$A24,"&lt;&gt;",$D$3:$D24,반별조회!$C$5),"")</f>
        <v/>
      </c>
    </row>
    <row r="25" spans="1:62" ht="15" customHeight="1">
      <c r="A25" s="102"/>
      <c r="B25" s="102"/>
      <c r="C25" s="102"/>
      <c r="D25" s="101"/>
      <c r="E25" s="105"/>
      <c r="F25" s="105" t="str">
        <f t="shared" ca="1" si="0"/>
        <v/>
      </c>
      <c r="G25" s="105"/>
      <c r="H25" s="105"/>
      <c r="I25" s="105"/>
      <c r="J25" s="105"/>
      <c r="K25" s="105"/>
      <c r="L25" s="105"/>
      <c r="M25" s="105"/>
      <c r="N25" s="105"/>
      <c r="O25" s="105"/>
      <c r="P25" s="106"/>
      <c r="Q25" s="106"/>
      <c r="R25" s="106"/>
      <c r="S25" s="107"/>
      <c r="T25" s="106"/>
      <c r="U25" s="106"/>
      <c r="V25" s="108"/>
      <c r="W25" s="108"/>
      <c r="X25" s="108"/>
      <c r="Y25" s="108"/>
      <c r="Z25" s="109"/>
      <c r="AA25" s="109"/>
      <c r="AB25" s="109"/>
      <c r="AC25" s="109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1"/>
      <c r="AR25" s="110"/>
      <c r="AS25" s="111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3"/>
      <c r="BE25" s="114"/>
      <c r="BF25" s="115"/>
      <c r="BG25" s="115"/>
      <c r="BH25" s="116" t="str">
        <f t="shared" si="1"/>
        <v/>
      </c>
      <c r="BI25" s="116" t="str">
        <f t="shared" si="2"/>
        <v/>
      </c>
      <c r="BJ25" s="116" t="str">
        <f>IF(AND($A25&lt;&gt;"",$D25=반별조회!$C$5),COUNTIFS($A$3:$A25,"&lt;&gt;",$D$3:$D25,반별조회!$C$5),"")</f>
        <v/>
      </c>
    </row>
    <row r="26" spans="1:62" ht="15" customHeight="1">
      <c r="A26" s="102"/>
      <c r="B26" s="102"/>
      <c r="C26" s="102"/>
      <c r="D26" s="101"/>
      <c r="E26" s="105"/>
      <c r="F26" s="105" t="str">
        <f t="shared" ca="1" si="0"/>
        <v/>
      </c>
      <c r="G26" s="105"/>
      <c r="H26" s="105"/>
      <c r="I26" s="105"/>
      <c r="J26" s="105"/>
      <c r="K26" s="105"/>
      <c r="L26" s="105"/>
      <c r="M26" s="105"/>
      <c r="N26" s="105"/>
      <c r="O26" s="105"/>
      <c r="P26" s="106"/>
      <c r="Q26" s="106"/>
      <c r="R26" s="106"/>
      <c r="S26" s="107"/>
      <c r="T26" s="106"/>
      <c r="U26" s="106"/>
      <c r="V26" s="108"/>
      <c r="W26" s="108"/>
      <c r="X26" s="108"/>
      <c r="Y26" s="108"/>
      <c r="Z26" s="109"/>
      <c r="AA26" s="109"/>
      <c r="AB26" s="109"/>
      <c r="AC26" s="109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1"/>
      <c r="AR26" s="110"/>
      <c r="AS26" s="111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3"/>
      <c r="BE26" s="114"/>
      <c r="BF26" s="115"/>
      <c r="BG26" s="115"/>
      <c r="BH26" s="116" t="str">
        <f t="shared" si="1"/>
        <v/>
      </c>
      <c r="BI26" s="116" t="str">
        <f t="shared" si="2"/>
        <v/>
      </c>
      <c r="BJ26" s="116" t="str">
        <f>IF(AND($A26&lt;&gt;"",$D26=반별조회!$C$5),COUNTIFS($A$3:$A26,"&lt;&gt;",$D$3:$D26,반별조회!$C$5),"")</f>
        <v/>
      </c>
    </row>
    <row r="27" spans="1:62" ht="15" customHeight="1">
      <c r="A27" s="102"/>
      <c r="B27" s="102"/>
      <c r="C27" s="102"/>
      <c r="D27" s="101"/>
      <c r="E27" s="105"/>
      <c r="F27" s="105" t="str">
        <f t="shared" ca="1" si="0"/>
        <v/>
      </c>
      <c r="G27" s="105"/>
      <c r="H27" s="105"/>
      <c r="I27" s="105"/>
      <c r="J27" s="105"/>
      <c r="K27" s="105"/>
      <c r="L27" s="105"/>
      <c r="M27" s="105"/>
      <c r="N27" s="105"/>
      <c r="O27" s="105"/>
      <c r="P27" s="106"/>
      <c r="Q27" s="106"/>
      <c r="R27" s="106"/>
      <c r="S27" s="107"/>
      <c r="T27" s="106"/>
      <c r="U27" s="106"/>
      <c r="V27" s="108"/>
      <c r="W27" s="108"/>
      <c r="X27" s="108"/>
      <c r="Y27" s="108"/>
      <c r="Z27" s="109"/>
      <c r="AA27" s="109"/>
      <c r="AB27" s="109"/>
      <c r="AC27" s="109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1"/>
      <c r="AR27" s="110"/>
      <c r="AS27" s="111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3"/>
      <c r="BE27" s="114"/>
      <c r="BF27" s="115"/>
      <c r="BG27" s="115"/>
      <c r="BH27" s="116" t="str">
        <f t="shared" si="1"/>
        <v/>
      </c>
      <c r="BI27" s="116" t="str">
        <f t="shared" si="2"/>
        <v/>
      </c>
      <c r="BJ27" s="116" t="str">
        <f>IF(AND($A27&lt;&gt;"",$D27=반별조회!$C$5),COUNTIFS($A$3:$A27,"&lt;&gt;",$D$3:$D27,반별조회!$C$5),"")</f>
        <v/>
      </c>
    </row>
    <row r="28" spans="1:62" ht="15" customHeight="1">
      <c r="A28" s="102"/>
      <c r="B28" s="102"/>
      <c r="C28" s="102"/>
      <c r="D28" s="101"/>
      <c r="E28" s="105"/>
      <c r="F28" s="105" t="str">
        <f t="shared" ca="1" si="0"/>
        <v/>
      </c>
      <c r="G28" s="105"/>
      <c r="H28" s="105"/>
      <c r="I28" s="105"/>
      <c r="J28" s="105"/>
      <c r="K28" s="105"/>
      <c r="L28" s="105"/>
      <c r="M28" s="105"/>
      <c r="N28" s="105"/>
      <c r="O28" s="105"/>
      <c r="P28" s="106"/>
      <c r="Q28" s="106"/>
      <c r="R28" s="106"/>
      <c r="S28" s="107"/>
      <c r="T28" s="106"/>
      <c r="U28" s="106"/>
      <c r="V28" s="108"/>
      <c r="W28" s="108"/>
      <c r="X28" s="108"/>
      <c r="Y28" s="108"/>
      <c r="Z28" s="109"/>
      <c r="AA28" s="109"/>
      <c r="AB28" s="109"/>
      <c r="AC28" s="109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1"/>
      <c r="AR28" s="110"/>
      <c r="AS28" s="111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3"/>
      <c r="BE28" s="114"/>
      <c r="BF28" s="115"/>
      <c r="BG28" s="115"/>
      <c r="BH28" s="116" t="str">
        <f t="shared" si="1"/>
        <v/>
      </c>
      <c r="BI28" s="116" t="str">
        <f t="shared" si="2"/>
        <v/>
      </c>
      <c r="BJ28" s="116" t="str">
        <f>IF(AND($A28&lt;&gt;"",$D28=반별조회!$C$5),COUNTIFS($A$3:$A28,"&lt;&gt;",$D$3:$D28,반별조회!$C$5),"")</f>
        <v/>
      </c>
    </row>
    <row r="29" spans="1:62" ht="15" customHeight="1">
      <c r="A29" s="102"/>
      <c r="B29" s="102"/>
      <c r="C29" s="102"/>
      <c r="D29" s="101"/>
      <c r="E29" s="105"/>
      <c r="F29" s="105" t="str">
        <f t="shared" ca="1" si="0"/>
        <v/>
      </c>
      <c r="G29" s="105"/>
      <c r="H29" s="105"/>
      <c r="I29" s="105"/>
      <c r="J29" s="105"/>
      <c r="K29" s="105"/>
      <c r="L29" s="105"/>
      <c r="M29" s="105"/>
      <c r="N29" s="105"/>
      <c r="O29" s="105"/>
      <c r="P29" s="106"/>
      <c r="Q29" s="106"/>
      <c r="R29" s="106"/>
      <c r="S29" s="107"/>
      <c r="T29" s="106"/>
      <c r="U29" s="106"/>
      <c r="V29" s="108"/>
      <c r="W29" s="108"/>
      <c r="X29" s="108"/>
      <c r="Y29" s="108"/>
      <c r="Z29" s="109"/>
      <c r="AA29" s="109"/>
      <c r="AB29" s="109"/>
      <c r="AC29" s="109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1"/>
      <c r="AR29" s="110"/>
      <c r="AS29" s="111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3"/>
      <c r="BE29" s="114"/>
      <c r="BF29" s="115"/>
      <c r="BG29" s="115"/>
      <c r="BH29" s="116" t="str">
        <f t="shared" si="1"/>
        <v/>
      </c>
      <c r="BI29" s="116" t="str">
        <f t="shared" si="2"/>
        <v/>
      </c>
      <c r="BJ29" s="116" t="str">
        <f>IF(AND($A29&lt;&gt;"",$D29=반별조회!$C$5),COUNTIFS($A$3:$A29,"&lt;&gt;",$D$3:$D29,반별조회!$C$5),"")</f>
        <v/>
      </c>
    </row>
    <row r="30" spans="1:62" ht="15" customHeight="1">
      <c r="A30" s="102"/>
      <c r="B30" s="102"/>
      <c r="C30" s="102"/>
      <c r="D30" s="101"/>
      <c r="E30" s="105"/>
      <c r="F30" s="105" t="str">
        <f t="shared" ca="1" si="0"/>
        <v/>
      </c>
      <c r="G30" s="105"/>
      <c r="H30" s="105"/>
      <c r="I30" s="105"/>
      <c r="J30" s="105"/>
      <c r="K30" s="105"/>
      <c r="L30" s="105"/>
      <c r="M30" s="105"/>
      <c r="N30" s="105"/>
      <c r="O30" s="105"/>
      <c r="P30" s="106"/>
      <c r="Q30" s="106"/>
      <c r="R30" s="106"/>
      <c r="S30" s="107"/>
      <c r="T30" s="106"/>
      <c r="U30" s="106"/>
      <c r="V30" s="108"/>
      <c r="W30" s="108"/>
      <c r="X30" s="108"/>
      <c r="Y30" s="108"/>
      <c r="Z30" s="109"/>
      <c r="AA30" s="109"/>
      <c r="AB30" s="109"/>
      <c r="AC30" s="109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1"/>
      <c r="AR30" s="110"/>
      <c r="AS30" s="111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3"/>
      <c r="BE30" s="114"/>
      <c r="BF30" s="115"/>
      <c r="BG30" s="115"/>
      <c r="BH30" s="116" t="str">
        <f t="shared" si="1"/>
        <v/>
      </c>
      <c r="BI30" s="116" t="str">
        <f t="shared" si="2"/>
        <v/>
      </c>
      <c r="BJ30" s="116" t="str">
        <f>IF(AND($A30&lt;&gt;"",$D30=반별조회!$C$5),COUNTIFS($A$3:$A30,"&lt;&gt;",$D$3:$D30,반별조회!$C$5),"")</f>
        <v/>
      </c>
    </row>
    <row r="31" spans="1:62" ht="15" customHeight="1">
      <c r="A31" s="102"/>
      <c r="B31" s="102"/>
      <c r="C31" s="102"/>
      <c r="D31" s="101"/>
      <c r="E31" s="105"/>
      <c r="F31" s="105" t="str">
        <f t="shared" ca="1" si="0"/>
        <v/>
      </c>
      <c r="G31" s="105"/>
      <c r="H31" s="105"/>
      <c r="I31" s="105"/>
      <c r="J31" s="105"/>
      <c r="K31" s="105"/>
      <c r="L31" s="105"/>
      <c r="M31" s="105"/>
      <c r="N31" s="105"/>
      <c r="O31" s="105"/>
      <c r="P31" s="106"/>
      <c r="Q31" s="106"/>
      <c r="R31" s="106"/>
      <c r="S31" s="107"/>
      <c r="T31" s="106"/>
      <c r="U31" s="106"/>
      <c r="V31" s="108"/>
      <c r="W31" s="108"/>
      <c r="X31" s="108"/>
      <c r="Y31" s="108"/>
      <c r="Z31" s="109"/>
      <c r="AA31" s="109"/>
      <c r="AB31" s="109"/>
      <c r="AC31" s="109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1"/>
      <c r="AR31" s="110"/>
      <c r="AS31" s="111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3"/>
      <c r="BE31" s="114"/>
      <c r="BF31" s="115"/>
      <c r="BG31" s="115"/>
      <c r="BH31" s="116" t="str">
        <f t="shared" si="1"/>
        <v/>
      </c>
      <c r="BI31" s="116" t="str">
        <f t="shared" si="2"/>
        <v/>
      </c>
      <c r="BJ31" s="116" t="str">
        <f>IF(AND($A31&lt;&gt;"",$D31=반별조회!$C$5),COUNTIFS($A$3:$A31,"&lt;&gt;",$D$3:$D31,반별조회!$C$5),"")</f>
        <v/>
      </c>
    </row>
    <row r="32" spans="1:62" ht="15" customHeight="1">
      <c r="A32" s="102"/>
      <c r="B32" s="102"/>
      <c r="C32" s="102"/>
      <c r="D32" s="101"/>
      <c r="E32" s="105"/>
      <c r="F32" s="105" t="str">
        <f t="shared" ca="1" si="0"/>
        <v/>
      </c>
      <c r="G32" s="105"/>
      <c r="H32" s="105"/>
      <c r="I32" s="105"/>
      <c r="J32" s="105"/>
      <c r="K32" s="105"/>
      <c r="L32" s="105"/>
      <c r="M32" s="105"/>
      <c r="N32" s="105"/>
      <c r="O32" s="105"/>
      <c r="P32" s="106"/>
      <c r="Q32" s="106"/>
      <c r="R32" s="106"/>
      <c r="S32" s="107"/>
      <c r="T32" s="106"/>
      <c r="U32" s="106"/>
      <c r="V32" s="108"/>
      <c r="W32" s="108"/>
      <c r="X32" s="108"/>
      <c r="Y32" s="108"/>
      <c r="Z32" s="109"/>
      <c r="AA32" s="109"/>
      <c r="AB32" s="109"/>
      <c r="AC32" s="109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1"/>
      <c r="AR32" s="110"/>
      <c r="AS32" s="111"/>
      <c r="AT32" s="112"/>
      <c r="AU32" s="112"/>
      <c r="AV32" s="112"/>
      <c r="AW32" s="112"/>
      <c r="AX32" s="112"/>
      <c r="AY32" s="112"/>
      <c r="AZ32" s="112"/>
      <c r="BA32" s="112"/>
      <c r="BB32" s="112"/>
      <c r="BC32" s="112"/>
      <c r="BD32" s="113"/>
      <c r="BE32" s="114"/>
      <c r="BF32" s="115"/>
      <c r="BG32" s="115"/>
      <c r="BH32" s="116" t="str">
        <f t="shared" si="1"/>
        <v/>
      </c>
      <c r="BI32" s="116" t="str">
        <f t="shared" si="2"/>
        <v/>
      </c>
      <c r="BJ32" s="116" t="str">
        <f>IF(AND($A32&lt;&gt;"",$D32=반별조회!$C$5),COUNTIFS($A$3:$A32,"&lt;&gt;",$D$3:$D32,반별조회!$C$5),"")</f>
        <v/>
      </c>
    </row>
    <row r="33" spans="1:62" ht="15" customHeight="1">
      <c r="A33" s="102"/>
      <c r="B33" s="102"/>
      <c r="C33" s="102"/>
      <c r="D33" s="101"/>
      <c r="E33" s="105"/>
      <c r="F33" s="105" t="str">
        <f t="shared" ca="1" si="0"/>
        <v/>
      </c>
      <c r="G33" s="105"/>
      <c r="H33" s="105"/>
      <c r="I33" s="105"/>
      <c r="J33" s="105"/>
      <c r="K33" s="105"/>
      <c r="L33" s="105"/>
      <c r="M33" s="105"/>
      <c r="N33" s="105"/>
      <c r="O33" s="105"/>
      <c r="P33" s="106"/>
      <c r="Q33" s="106"/>
      <c r="R33" s="106"/>
      <c r="S33" s="107"/>
      <c r="T33" s="106"/>
      <c r="U33" s="106"/>
      <c r="V33" s="108"/>
      <c r="W33" s="108"/>
      <c r="X33" s="108"/>
      <c r="Y33" s="108"/>
      <c r="Z33" s="109"/>
      <c r="AA33" s="109"/>
      <c r="AB33" s="109"/>
      <c r="AC33" s="109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1"/>
      <c r="AR33" s="110"/>
      <c r="AS33" s="111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3"/>
      <c r="BE33" s="114"/>
      <c r="BF33" s="115"/>
      <c r="BG33" s="115"/>
      <c r="BH33" s="116" t="str">
        <f t="shared" si="1"/>
        <v/>
      </c>
      <c r="BI33" s="116" t="str">
        <f t="shared" si="2"/>
        <v/>
      </c>
      <c r="BJ33" s="116" t="str">
        <f>IF(AND($A33&lt;&gt;"",$D33=반별조회!$C$5),COUNTIFS($A$3:$A33,"&lt;&gt;",$D$3:$D33,반별조회!$C$5),"")</f>
        <v/>
      </c>
    </row>
    <row r="34" spans="1:62" ht="15" customHeight="1">
      <c r="A34" s="102"/>
      <c r="B34" s="102"/>
      <c r="C34" s="102"/>
      <c r="D34" s="101"/>
      <c r="E34" s="105"/>
      <c r="F34" s="105" t="str">
        <f t="shared" ca="1" si="0"/>
        <v/>
      </c>
      <c r="G34" s="105"/>
      <c r="H34" s="105"/>
      <c r="I34" s="105"/>
      <c r="J34" s="105"/>
      <c r="K34" s="105"/>
      <c r="L34" s="105"/>
      <c r="M34" s="105"/>
      <c r="N34" s="105"/>
      <c r="O34" s="105"/>
      <c r="P34" s="106"/>
      <c r="Q34" s="106"/>
      <c r="R34" s="106"/>
      <c r="S34" s="107"/>
      <c r="T34" s="106"/>
      <c r="U34" s="106"/>
      <c r="V34" s="108"/>
      <c r="W34" s="108"/>
      <c r="X34" s="108"/>
      <c r="Y34" s="108"/>
      <c r="Z34" s="109"/>
      <c r="AA34" s="109"/>
      <c r="AB34" s="109"/>
      <c r="AC34" s="109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1"/>
      <c r="AR34" s="110"/>
      <c r="AS34" s="111"/>
      <c r="AT34" s="112"/>
      <c r="AU34" s="112"/>
      <c r="AV34" s="112"/>
      <c r="AW34" s="112"/>
      <c r="AX34" s="112"/>
      <c r="AY34" s="112"/>
      <c r="AZ34" s="112"/>
      <c r="BA34" s="112"/>
      <c r="BB34" s="112"/>
      <c r="BC34" s="112"/>
      <c r="BD34" s="113"/>
      <c r="BE34" s="114"/>
      <c r="BF34" s="115"/>
      <c r="BG34" s="115"/>
      <c r="BH34" s="116" t="str">
        <f t="shared" si="1"/>
        <v/>
      </c>
      <c r="BI34" s="116" t="str">
        <f t="shared" si="2"/>
        <v/>
      </c>
      <c r="BJ34" s="116" t="str">
        <f>IF(AND($A34&lt;&gt;"",$D34=반별조회!$C$5),COUNTIFS($A$3:$A34,"&lt;&gt;",$D$3:$D34,반별조회!$C$5),"")</f>
        <v/>
      </c>
    </row>
    <row r="35" spans="1:62" ht="15" customHeight="1">
      <c r="A35" s="102"/>
      <c r="B35" s="102"/>
      <c r="C35" s="102"/>
      <c r="D35" s="101"/>
      <c r="E35" s="105"/>
      <c r="F35" s="105" t="str">
        <f t="shared" ca="1" si="0"/>
        <v/>
      </c>
      <c r="G35" s="105"/>
      <c r="H35" s="105"/>
      <c r="I35" s="105"/>
      <c r="J35" s="105"/>
      <c r="K35" s="105"/>
      <c r="L35" s="105"/>
      <c r="M35" s="105"/>
      <c r="N35" s="105"/>
      <c r="O35" s="105"/>
      <c r="P35" s="106"/>
      <c r="Q35" s="106"/>
      <c r="R35" s="106"/>
      <c r="S35" s="107"/>
      <c r="T35" s="106"/>
      <c r="U35" s="106"/>
      <c r="V35" s="108"/>
      <c r="W35" s="108"/>
      <c r="X35" s="108"/>
      <c r="Y35" s="108"/>
      <c r="Z35" s="109"/>
      <c r="AA35" s="109"/>
      <c r="AB35" s="109"/>
      <c r="AC35" s="109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1"/>
      <c r="AR35" s="110"/>
      <c r="AS35" s="111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3"/>
      <c r="BE35" s="114"/>
      <c r="BF35" s="115"/>
      <c r="BG35" s="115"/>
      <c r="BH35" s="116" t="str">
        <f t="shared" si="1"/>
        <v/>
      </c>
      <c r="BI35" s="116" t="str">
        <f t="shared" si="2"/>
        <v/>
      </c>
      <c r="BJ35" s="116" t="str">
        <f>IF(AND($A35&lt;&gt;"",$D35=반별조회!$C$5),COUNTIFS($A$3:$A35,"&lt;&gt;",$D$3:$D35,반별조회!$C$5),"")</f>
        <v/>
      </c>
    </row>
    <row r="36" spans="1:62" ht="15" customHeight="1">
      <c r="A36" s="102"/>
      <c r="B36" s="102"/>
      <c r="C36" s="102"/>
      <c r="D36" s="101"/>
      <c r="E36" s="105"/>
      <c r="F36" s="105" t="str">
        <f t="shared" ca="1" si="0"/>
        <v/>
      </c>
      <c r="G36" s="105"/>
      <c r="H36" s="105"/>
      <c r="I36" s="105"/>
      <c r="J36" s="105"/>
      <c r="K36" s="105"/>
      <c r="L36" s="105"/>
      <c r="M36" s="105"/>
      <c r="N36" s="105"/>
      <c r="O36" s="105"/>
      <c r="P36" s="106"/>
      <c r="Q36" s="106"/>
      <c r="R36" s="106"/>
      <c r="S36" s="107"/>
      <c r="T36" s="106"/>
      <c r="U36" s="106"/>
      <c r="V36" s="108"/>
      <c r="W36" s="108"/>
      <c r="X36" s="108"/>
      <c r="Y36" s="108"/>
      <c r="Z36" s="109"/>
      <c r="AA36" s="109"/>
      <c r="AB36" s="109"/>
      <c r="AC36" s="109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1"/>
      <c r="AR36" s="110"/>
      <c r="AS36" s="111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3"/>
      <c r="BE36" s="114"/>
      <c r="BF36" s="115"/>
      <c r="BG36" s="115"/>
      <c r="BH36" s="116" t="str">
        <f t="shared" si="1"/>
        <v/>
      </c>
      <c r="BI36" s="116" t="str">
        <f t="shared" si="2"/>
        <v/>
      </c>
      <c r="BJ36" s="116" t="str">
        <f>IF(AND($A36&lt;&gt;"",$D36=반별조회!$C$5),COUNTIFS($A$3:$A36,"&lt;&gt;",$D$3:$D36,반별조회!$C$5),"")</f>
        <v/>
      </c>
    </row>
    <row r="37" spans="1:62" ht="15" customHeight="1">
      <c r="A37" s="102"/>
      <c r="B37" s="102"/>
      <c r="C37" s="102"/>
      <c r="D37" s="101"/>
      <c r="E37" s="105"/>
      <c r="F37" s="105" t="str">
        <f t="shared" ca="1" si="0"/>
        <v/>
      </c>
      <c r="G37" s="105"/>
      <c r="H37" s="105"/>
      <c r="I37" s="105"/>
      <c r="J37" s="105"/>
      <c r="K37" s="105"/>
      <c r="L37" s="105"/>
      <c r="M37" s="105"/>
      <c r="N37" s="105"/>
      <c r="O37" s="105"/>
      <c r="P37" s="106"/>
      <c r="Q37" s="106"/>
      <c r="R37" s="106"/>
      <c r="S37" s="107"/>
      <c r="T37" s="106"/>
      <c r="U37" s="106"/>
      <c r="V37" s="108"/>
      <c r="W37" s="108"/>
      <c r="X37" s="108"/>
      <c r="Y37" s="108"/>
      <c r="Z37" s="109"/>
      <c r="AA37" s="109"/>
      <c r="AB37" s="109"/>
      <c r="AC37" s="109"/>
      <c r="AD37" s="110"/>
      <c r="AE37" s="110"/>
      <c r="AF37" s="110"/>
      <c r="AG37" s="110"/>
      <c r="AH37" s="110"/>
      <c r="AI37" s="110"/>
      <c r="AJ37" s="110"/>
      <c r="AK37" s="110"/>
      <c r="AL37" s="110"/>
      <c r="AM37" s="110"/>
      <c r="AN37" s="110"/>
      <c r="AO37" s="110"/>
      <c r="AP37" s="110"/>
      <c r="AQ37" s="111"/>
      <c r="AR37" s="110"/>
      <c r="AS37" s="111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3"/>
      <c r="BE37" s="114"/>
      <c r="BF37" s="115"/>
      <c r="BG37" s="115"/>
      <c r="BH37" s="116" t="str">
        <f t="shared" si="1"/>
        <v/>
      </c>
      <c r="BI37" s="116" t="str">
        <f t="shared" si="2"/>
        <v/>
      </c>
      <c r="BJ37" s="116" t="str">
        <f>IF(AND($A37&lt;&gt;"",$D37=반별조회!$C$5),COUNTIFS($A$3:$A37,"&lt;&gt;",$D$3:$D37,반별조회!$C$5),"")</f>
        <v/>
      </c>
    </row>
    <row r="38" spans="1:62" ht="15" customHeight="1">
      <c r="A38" s="102"/>
      <c r="B38" s="102"/>
      <c r="C38" s="102"/>
      <c r="D38" s="101"/>
      <c r="E38" s="105"/>
      <c r="F38" s="105" t="str">
        <f t="shared" ca="1" si="0"/>
        <v/>
      </c>
      <c r="G38" s="105"/>
      <c r="H38" s="105"/>
      <c r="I38" s="105"/>
      <c r="J38" s="105"/>
      <c r="K38" s="105"/>
      <c r="L38" s="105"/>
      <c r="M38" s="105"/>
      <c r="N38" s="105"/>
      <c r="O38" s="105"/>
      <c r="P38" s="106"/>
      <c r="Q38" s="106"/>
      <c r="R38" s="106"/>
      <c r="S38" s="107"/>
      <c r="T38" s="106"/>
      <c r="U38" s="106"/>
      <c r="V38" s="108"/>
      <c r="W38" s="108"/>
      <c r="X38" s="108"/>
      <c r="Y38" s="108"/>
      <c r="Z38" s="109"/>
      <c r="AA38" s="109"/>
      <c r="AB38" s="109"/>
      <c r="AC38" s="109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1"/>
      <c r="AR38" s="110"/>
      <c r="AS38" s="111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3"/>
      <c r="BE38" s="114"/>
      <c r="BF38" s="115"/>
      <c r="BG38" s="115"/>
      <c r="BH38" s="116" t="str">
        <f t="shared" si="1"/>
        <v/>
      </c>
      <c r="BI38" s="116" t="str">
        <f t="shared" si="2"/>
        <v/>
      </c>
      <c r="BJ38" s="116" t="str">
        <f>IF(AND($A38&lt;&gt;"",$D38=반별조회!$C$5),COUNTIFS($A$3:$A38,"&lt;&gt;",$D$3:$D38,반별조회!$C$5),"")</f>
        <v/>
      </c>
    </row>
    <row r="39" spans="1:62" ht="15" customHeight="1">
      <c r="A39" s="102"/>
      <c r="B39" s="102"/>
      <c r="C39" s="102"/>
      <c r="D39" s="101"/>
      <c r="E39" s="105"/>
      <c r="F39" s="105" t="str">
        <f t="shared" ca="1" si="0"/>
        <v/>
      </c>
      <c r="G39" s="105"/>
      <c r="H39" s="105"/>
      <c r="I39" s="105"/>
      <c r="J39" s="105"/>
      <c r="K39" s="105"/>
      <c r="L39" s="105"/>
      <c r="M39" s="105"/>
      <c r="N39" s="105"/>
      <c r="O39" s="105"/>
      <c r="P39" s="106"/>
      <c r="Q39" s="106"/>
      <c r="R39" s="106"/>
      <c r="S39" s="107"/>
      <c r="T39" s="106"/>
      <c r="U39" s="106"/>
      <c r="V39" s="108"/>
      <c r="W39" s="108"/>
      <c r="X39" s="108"/>
      <c r="Y39" s="108"/>
      <c r="Z39" s="109"/>
      <c r="AA39" s="109"/>
      <c r="AB39" s="109"/>
      <c r="AC39" s="109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1"/>
      <c r="AR39" s="110"/>
      <c r="AS39" s="111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3"/>
      <c r="BE39" s="114"/>
      <c r="BF39" s="115"/>
      <c r="BG39" s="115"/>
      <c r="BH39" s="116" t="str">
        <f t="shared" si="1"/>
        <v/>
      </c>
      <c r="BI39" s="116" t="str">
        <f t="shared" si="2"/>
        <v/>
      </c>
      <c r="BJ39" s="116" t="str">
        <f>IF(AND($A39&lt;&gt;"",$D39=반별조회!$C$5),COUNTIFS($A$3:$A39,"&lt;&gt;",$D$3:$D39,반별조회!$C$5),"")</f>
        <v/>
      </c>
    </row>
    <row r="40" spans="1:62" ht="15" customHeight="1">
      <c r="A40" s="102"/>
      <c r="B40" s="102"/>
      <c r="C40" s="102"/>
      <c r="D40" s="101"/>
      <c r="E40" s="105"/>
      <c r="F40" s="105" t="str">
        <f t="shared" ca="1" si="0"/>
        <v/>
      </c>
      <c r="G40" s="105"/>
      <c r="H40" s="105"/>
      <c r="I40" s="105"/>
      <c r="J40" s="105"/>
      <c r="K40" s="105"/>
      <c r="L40" s="105"/>
      <c r="M40" s="105"/>
      <c r="N40" s="105"/>
      <c r="O40" s="105"/>
      <c r="P40" s="106"/>
      <c r="Q40" s="106"/>
      <c r="R40" s="106"/>
      <c r="S40" s="107"/>
      <c r="T40" s="106"/>
      <c r="U40" s="106"/>
      <c r="V40" s="108"/>
      <c r="W40" s="108"/>
      <c r="X40" s="108"/>
      <c r="Y40" s="108"/>
      <c r="Z40" s="109"/>
      <c r="AA40" s="109"/>
      <c r="AB40" s="109"/>
      <c r="AC40" s="109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1"/>
      <c r="AR40" s="110"/>
      <c r="AS40" s="111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3"/>
      <c r="BE40" s="114"/>
      <c r="BF40" s="115"/>
      <c r="BG40" s="115"/>
      <c r="BH40" s="116" t="str">
        <f t="shared" si="1"/>
        <v/>
      </c>
      <c r="BI40" s="116" t="str">
        <f t="shared" si="2"/>
        <v/>
      </c>
      <c r="BJ40" s="116" t="str">
        <f>IF(AND($A40&lt;&gt;"",$D40=반별조회!$C$5),COUNTIFS($A$3:$A40,"&lt;&gt;",$D$3:$D40,반별조회!$C$5),"")</f>
        <v/>
      </c>
    </row>
    <row r="41" spans="1:62" ht="15" customHeight="1">
      <c r="A41" s="102"/>
      <c r="B41" s="102"/>
      <c r="C41" s="102"/>
      <c r="D41" s="101"/>
      <c r="E41" s="105"/>
      <c r="F41" s="105" t="str">
        <f t="shared" ca="1" si="0"/>
        <v/>
      </c>
      <c r="G41" s="105"/>
      <c r="H41" s="105"/>
      <c r="I41" s="105"/>
      <c r="J41" s="105"/>
      <c r="K41" s="105"/>
      <c r="L41" s="105"/>
      <c r="M41" s="105"/>
      <c r="N41" s="105"/>
      <c r="O41" s="105"/>
      <c r="P41" s="106"/>
      <c r="Q41" s="106"/>
      <c r="R41" s="106"/>
      <c r="S41" s="107"/>
      <c r="T41" s="106"/>
      <c r="U41" s="106"/>
      <c r="V41" s="108"/>
      <c r="W41" s="108"/>
      <c r="X41" s="108"/>
      <c r="Y41" s="108"/>
      <c r="Z41" s="109"/>
      <c r="AA41" s="109"/>
      <c r="AB41" s="109"/>
      <c r="AC41" s="109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1"/>
      <c r="AR41" s="110"/>
      <c r="AS41" s="111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3"/>
      <c r="BE41" s="114"/>
      <c r="BF41" s="115"/>
      <c r="BG41" s="115"/>
      <c r="BH41" s="116" t="str">
        <f t="shared" si="1"/>
        <v/>
      </c>
      <c r="BI41" s="116" t="str">
        <f t="shared" si="2"/>
        <v/>
      </c>
      <c r="BJ41" s="116" t="str">
        <f>IF(AND($A41&lt;&gt;"",$D41=반별조회!$C$5),COUNTIFS($A$3:$A41,"&lt;&gt;",$D$3:$D41,반별조회!$C$5),"")</f>
        <v/>
      </c>
    </row>
    <row r="42" spans="1:62" ht="15" customHeight="1">
      <c r="A42" s="102"/>
      <c r="B42" s="102"/>
      <c r="C42" s="102"/>
      <c r="D42" s="101"/>
      <c r="E42" s="105"/>
      <c r="F42" s="105" t="str">
        <f t="shared" ca="1" si="0"/>
        <v/>
      </c>
      <c r="G42" s="105"/>
      <c r="H42" s="105"/>
      <c r="I42" s="105"/>
      <c r="J42" s="105"/>
      <c r="K42" s="105"/>
      <c r="L42" s="105"/>
      <c r="M42" s="105"/>
      <c r="N42" s="105"/>
      <c r="O42" s="105"/>
      <c r="P42" s="106"/>
      <c r="Q42" s="106"/>
      <c r="R42" s="106"/>
      <c r="S42" s="107"/>
      <c r="T42" s="106"/>
      <c r="U42" s="106"/>
      <c r="V42" s="108"/>
      <c r="W42" s="108"/>
      <c r="X42" s="108"/>
      <c r="Y42" s="108"/>
      <c r="Z42" s="109"/>
      <c r="AA42" s="109"/>
      <c r="AB42" s="109"/>
      <c r="AC42" s="109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110"/>
      <c r="AO42" s="110"/>
      <c r="AP42" s="110"/>
      <c r="AQ42" s="111"/>
      <c r="AR42" s="110"/>
      <c r="AS42" s="111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3"/>
      <c r="BE42" s="114"/>
      <c r="BF42" s="115"/>
      <c r="BG42" s="115"/>
      <c r="BH42" s="116" t="str">
        <f t="shared" si="1"/>
        <v/>
      </c>
      <c r="BI42" s="116" t="str">
        <f t="shared" si="2"/>
        <v/>
      </c>
      <c r="BJ42" s="116" t="str">
        <f>IF(AND($A42&lt;&gt;"",$D42=반별조회!$C$5),COUNTIFS($A$3:$A42,"&lt;&gt;",$D$3:$D42,반별조회!$C$5),"")</f>
        <v/>
      </c>
    </row>
    <row r="43" spans="1:62" ht="15" customHeight="1">
      <c r="A43" s="102"/>
      <c r="B43" s="102"/>
      <c r="C43" s="102"/>
      <c r="D43" s="101"/>
      <c r="E43" s="105"/>
      <c r="F43" s="105" t="str">
        <f t="shared" ca="1" si="0"/>
        <v/>
      </c>
      <c r="G43" s="105"/>
      <c r="H43" s="105"/>
      <c r="I43" s="105"/>
      <c r="J43" s="105"/>
      <c r="K43" s="105"/>
      <c r="L43" s="105"/>
      <c r="M43" s="105"/>
      <c r="N43" s="105"/>
      <c r="O43" s="105"/>
      <c r="P43" s="106"/>
      <c r="Q43" s="106"/>
      <c r="R43" s="106"/>
      <c r="S43" s="107"/>
      <c r="T43" s="106"/>
      <c r="U43" s="106"/>
      <c r="V43" s="108"/>
      <c r="W43" s="108"/>
      <c r="X43" s="108"/>
      <c r="Y43" s="108"/>
      <c r="Z43" s="109"/>
      <c r="AA43" s="109"/>
      <c r="AB43" s="109"/>
      <c r="AC43" s="109"/>
      <c r="AD43" s="110"/>
      <c r="AE43" s="110"/>
      <c r="AF43" s="110"/>
      <c r="AG43" s="110"/>
      <c r="AH43" s="110"/>
      <c r="AI43" s="110"/>
      <c r="AJ43" s="110"/>
      <c r="AK43" s="110"/>
      <c r="AL43" s="110"/>
      <c r="AM43" s="110"/>
      <c r="AN43" s="110"/>
      <c r="AO43" s="110"/>
      <c r="AP43" s="110"/>
      <c r="AQ43" s="111"/>
      <c r="AR43" s="110"/>
      <c r="AS43" s="111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3"/>
      <c r="BE43" s="114"/>
      <c r="BF43" s="115"/>
      <c r="BG43" s="115"/>
      <c r="BH43" s="116" t="str">
        <f t="shared" si="1"/>
        <v/>
      </c>
      <c r="BI43" s="116" t="str">
        <f t="shared" si="2"/>
        <v/>
      </c>
      <c r="BJ43" s="116" t="str">
        <f>IF(AND($A43&lt;&gt;"",$D43=반별조회!$C$5),COUNTIFS($A$3:$A43,"&lt;&gt;",$D$3:$D43,반별조회!$C$5),"")</f>
        <v/>
      </c>
    </row>
    <row r="44" spans="1:62" ht="15" customHeight="1">
      <c r="A44" s="102"/>
      <c r="B44" s="102"/>
      <c r="C44" s="102"/>
      <c r="D44" s="101"/>
      <c r="E44" s="105"/>
      <c r="F44" s="105" t="str">
        <f t="shared" ca="1" si="0"/>
        <v/>
      </c>
      <c r="G44" s="105"/>
      <c r="H44" s="105"/>
      <c r="I44" s="105"/>
      <c r="J44" s="105"/>
      <c r="K44" s="105"/>
      <c r="L44" s="105"/>
      <c r="M44" s="105"/>
      <c r="N44" s="105"/>
      <c r="O44" s="105"/>
      <c r="P44" s="106"/>
      <c r="Q44" s="106"/>
      <c r="R44" s="106"/>
      <c r="S44" s="107"/>
      <c r="T44" s="106"/>
      <c r="U44" s="106"/>
      <c r="V44" s="108"/>
      <c r="W44" s="108"/>
      <c r="X44" s="108"/>
      <c r="Y44" s="108"/>
      <c r="Z44" s="109"/>
      <c r="AA44" s="109"/>
      <c r="AB44" s="109"/>
      <c r="AC44" s="109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110"/>
      <c r="AO44" s="110"/>
      <c r="AP44" s="110"/>
      <c r="AQ44" s="111"/>
      <c r="AR44" s="110"/>
      <c r="AS44" s="111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3"/>
      <c r="BE44" s="114"/>
      <c r="BF44" s="115"/>
      <c r="BG44" s="115"/>
      <c r="BH44" s="116" t="str">
        <f t="shared" si="1"/>
        <v/>
      </c>
      <c r="BI44" s="116" t="str">
        <f t="shared" si="2"/>
        <v/>
      </c>
      <c r="BJ44" s="116" t="str">
        <f>IF(AND($A44&lt;&gt;"",$D44=반별조회!$C$5),COUNTIFS($A$3:$A44,"&lt;&gt;",$D$3:$D44,반별조회!$C$5),"")</f>
        <v/>
      </c>
    </row>
    <row r="45" spans="1:62" ht="15" customHeight="1">
      <c r="A45" s="102"/>
      <c r="B45" s="102"/>
      <c r="C45" s="102"/>
      <c r="D45" s="101"/>
      <c r="E45" s="105"/>
      <c r="F45" s="105" t="str">
        <f t="shared" ca="1" si="0"/>
        <v/>
      </c>
      <c r="G45" s="105"/>
      <c r="H45" s="105"/>
      <c r="I45" s="105"/>
      <c r="J45" s="105"/>
      <c r="K45" s="105"/>
      <c r="L45" s="105"/>
      <c r="M45" s="105"/>
      <c r="N45" s="105"/>
      <c r="O45" s="105"/>
      <c r="P45" s="106"/>
      <c r="Q45" s="106"/>
      <c r="R45" s="106"/>
      <c r="S45" s="107"/>
      <c r="T45" s="106"/>
      <c r="U45" s="106"/>
      <c r="V45" s="108"/>
      <c r="W45" s="108"/>
      <c r="X45" s="108"/>
      <c r="Y45" s="108"/>
      <c r="Z45" s="109"/>
      <c r="AA45" s="109"/>
      <c r="AB45" s="109"/>
      <c r="AC45" s="109"/>
      <c r="AD45" s="110"/>
      <c r="AE45" s="110"/>
      <c r="AF45" s="110"/>
      <c r="AG45" s="110"/>
      <c r="AH45" s="110"/>
      <c r="AI45" s="110"/>
      <c r="AJ45" s="110"/>
      <c r="AK45" s="110"/>
      <c r="AL45" s="110"/>
      <c r="AM45" s="110"/>
      <c r="AN45" s="110"/>
      <c r="AO45" s="110"/>
      <c r="AP45" s="110"/>
      <c r="AQ45" s="111"/>
      <c r="AR45" s="110"/>
      <c r="AS45" s="111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3"/>
      <c r="BE45" s="114"/>
      <c r="BF45" s="115"/>
      <c r="BG45" s="115"/>
      <c r="BH45" s="116" t="str">
        <f t="shared" si="1"/>
        <v/>
      </c>
      <c r="BI45" s="116" t="str">
        <f t="shared" si="2"/>
        <v/>
      </c>
      <c r="BJ45" s="116" t="str">
        <f>IF(AND($A45&lt;&gt;"",$D45=반별조회!$C$5),COUNTIFS($A$3:$A45,"&lt;&gt;",$D$3:$D45,반별조회!$C$5),"")</f>
        <v/>
      </c>
    </row>
    <row r="46" spans="1:62" ht="15" customHeight="1">
      <c r="A46" s="102"/>
      <c r="B46" s="102"/>
      <c r="C46" s="102"/>
      <c r="D46" s="101"/>
      <c r="E46" s="105"/>
      <c r="F46" s="105" t="str">
        <f t="shared" ca="1" si="0"/>
        <v/>
      </c>
      <c r="G46" s="105"/>
      <c r="H46" s="105"/>
      <c r="I46" s="105"/>
      <c r="J46" s="105"/>
      <c r="K46" s="105"/>
      <c r="L46" s="105"/>
      <c r="M46" s="105"/>
      <c r="N46" s="105"/>
      <c r="O46" s="105"/>
      <c r="P46" s="106"/>
      <c r="Q46" s="106"/>
      <c r="R46" s="106"/>
      <c r="S46" s="107"/>
      <c r="T46" s="106"/>
      <c r="U46" s="106"/>
      <c r="V46" s="108"/>
      <c r="W46" s="108"/>
      <c r="X46" s="108"/>
      <c r="Y46" s="108"/>
      <c r="Z46" s="109"/>
      <c r="AA46" s="109"/>
      <c r="AB46" s="109"/>
      <c r="AC46" s="109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1"/>
      <c r="AR46" s="110"/>
      <c r="AS46" s="111"/>
      <c r="AT46" s="112"/>
      <c r="AU46" s="112"/>
      <c r="AV46" s="112"/>
      <c r="AW46" s="112"/>
      <c r="AX46" s="112"/>
      <c r="AY46" s="112"/>
      <c r="AZ46" s="112"/>
      <c r="BA46" s="112"/>
      <c r="BB46" s="112"/>
      <c r="BC46" s="112"/>
      <c r="BD46" s="113"/>
      <c r="BE46" s="114"/>
      <c r="BF46" s="115"/>
      <c r="BG46" s="115"/>
      <c r="BH46" s="116" t="str">
        <f t="shared" si="1"/>
        <v/>
      </c>
      <c r="BI46" s="116" t="str">
        <f t="shared" si="2"/>
        <v/>
      </c>
      <c r="BJ46" s="116" t="str">
        <f>IF(AND($A46&lt;&gt;"",$D46=반별조회!$C$5),COUNTIFS($A$3:$A46,"&lt;&gt;",$D$3:$D46,반별조회!$C$5),"")</f>
        <v/>
      </c>
    </row>
    <row r="47" spans="1:62" ht="15" customHeight="1">
      <c r="A47" s="102"/>
      <c r="B47" s="102"/>
      <c r="C47" s="102"/>
      <c r="D47" s="101"/>
      <c r="E47" s="105"/>
      <c r="F47" s="105" t="str">
        <f t="shared" ca="1" si="0"/>
        <v/>
      </c>
      <c r="G47" s="105"/>
      <c r="H47" s="105"/>
      <c r="I47" s="105"/>
      <c r="J47" s="105"/>
      <c r="K47" s="105"/>
      <c r="L47" s="105"/>
      <c r="M47" s="105"/>
      <c r="N47" s="105"/>
      <c r="O47" s="105"/>
      <c r="P47" s="106"/>
      <c r="Q47" s="106"/>
      <c r="R47" s="106"/>
      <c r="S47" s="107"/>
      <c r="T47" s="106"/>
      <c r="U47" s="106"/>
      <c r="V47" s="108"/>
      <c r="W47" s="108"/>
      <c r="X47" s="108"/>
      <c r="Y47" s="108"/>
      <c r="Z47" s="109"/>
      <c r="AA47" s="109"/>
      <c r="AB47" s="109"/>
      <c r="AC47" s="109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1"/>
      <c r="AR47" s="110"/>
      <c r="AS47" s="111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3"/>
      <c r="BE47" s="114"/>
      <c r="BF47" s="115"/>
      <c r="BG47" s="115"/>
      <c r="BH47" s="116" t="str">
        <f t="shared" si="1"/>
        <v/>
      </c>
      <c r="BI47" s="116" t="str">
        <f t="shared" si="2"/>
        <v/>
      </c>
      <c r="BJ47" s="116" t="str">
        <f>IF(AND($A47&lt;&gt;"",$D47=반별조회!$C$5),COUNTIFS($A$3:$A47,"&lt;&gt;",$D$3:$D47,반별조회!$C$5),"")</f>
        <v/>
      </c>
    </row>
    <row r="48" spans="1:62" ht="15" customHeight="1">
      <c r="A48" s="102"/>
      <c r="B48" s="102"/>
      <c r="C48" s="102"/>
      <c r="D48" s="101"/>
      <c r="E48" s="105"/>
      <c r="F48" s="105" t="str">
        <f t="shared" ca="1" si="0"/>
        <v/>
      </c>
      <c r="G48" s="105"/>
      <c r="H48" s="105"/>
      <c r="I48" s="105"/>
      <c r="J48" s="105"/>
      <c r="K48" s="105"/>
      <c r="L48" s="105"/>
      <c r="M48" s="105"/>
      <c r="N48" s="105"/>
      <c r="O48" s="105"/>
      <c r="P48" s="106"/>
      <c r="Q48" s="106"/>
      <c r="R48" s="106"/>
      <c r="S48" s="107"/>
      <c r="T48" s="106"/>
      <c r="U48" s="106"/>
      <c r="V48" s="108"/>
      <c r="W48" s="108"/>
      <c r="X48" s="108"/>
      <c r="Y48" s="108"/>
      <c r="Z48" s="109"/>
      <c r="AA48" s="109"/>
      <c r="AB48" s="109"/>
      <c r="AC48" s="109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1"/>
      <c r="AR48" s="110"/>
      <c r="AS48" s="111"/>
      <c r="AT48" s="112"/>
      <c r="AU48" s="112"/>
      <c r="AV48" s="112"/>
      <c r="AW48" s="112"/>
      <c r="AX48" s="112"/>
      <c r="AY48" s="112"/>
      <c r="AZ48" s="112"/>
      <c r="BA48" s="112"/>
      <c r="BB48" s="112"/>
      <c r="BC48" s="112"/>
      <c r="BD48" s="113"/>
      <c r="BE48" s="114"/>
      <c r="BF48" s="115"/>
      <c r="BG48" s="115"/>
      <c r="BH48" s="116" t="str">
        <f t="shared" si="1"/>
        <v/>
      </c>
      <c r="BI48" s="116" t="str">
        <f t="shared" si="2"/>
        <v/>
      </c>
      <c r="BJ48" s="116" t="str">
        <f>IF(AND($A48&lt;&gt;"",$D48=반별조회!$C$5),COUNTIFS($A$3:$A48,"&lt;&gt;",$D$3:$D48,반별조회!$C$5),"")</f>
        <v/>
      </c>
    </row>
    <row r="49" spans="1:62" ht="15" customHeight="1">
      <c r="A49" s="102"/>
      <c r="B49" s="102"/>
      <c r="C49" s="102"/>
      <c r="D49" s="101"/>
      <c r="E49" s="105"/>
      <c r="F49" s="105" t="str">
        <f t="shared" ca="1" si="0"/>
        <v/>
      </c>
      <c r="G49" s="105"/>
      <c r="H49" s="105"/>
      <c r="I49" s="105"/>
      <c r="J49" s="105"/>
      <c r="K49" s="105"/>
      <c r="L49" s="105"/>
      <c r="M49" s="105"/>
      <c r="N49" s="105"/>
      <c r="O49" s="105"/>
      <c r="P49" s="106"/>
      <c r="Q49" s="106"/>
      <c r="R49" s="106"/>
      <c r="S49" s="107"/>
      <c r="T49" s="106"/>
      <c r="U49" s="106"/>
      <c r="V49" s="108"/>
      <c r="W49" s="108"/>
      <c r="X49" s="108"/>
      <c r="Y49" s="108"/>
      <c r="Z49" s="109"/>
      <c r="AA49" s="109"/>
      <c r="AB49" s="109"/>
      <c r="AC49" s="109"/>
      <c r="AD49" s="110"/>
      <c r="AE49" s="110"/>
      <c r="AF49" s="110"/>
      <c r="AG49" s="110"/>
      <c r="AH49" s="110"/>
      <c r="AI49" s="110"/>
      <c r="AJ49" s="110"/>
      <c r="AK49" s="110"/>
      <c r="AL49" s="110"/>
      <c r="AM49" s="110"/>
      <c r="AN49" s="110"/>
      <c r="AO49" s="110"/>
      <c r="AP49" s="110"/>
      <c r="AQ49" s="111"/>
      <c r="AR49" s="110"/>
      <c r="AS49" s="111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3"/>
      <c r="BE49" s="114"/>
      <c r="BF49" s="115"/>
      <c r="BG49" s="115"/>
      <c r="BH49" s="116" t="str">
        <f t="shared" si="1"/>
        <v/>
      </c>
      <c r="BI49" s="116" t="str">
        <f t="shared" si="2"/>
        <v/>
      </c>
      <c r="BJ49" s="116" t="str">
        <f>IF(AND($A49&lt;&gt;"",$D49=반별조회!$C$5),COUNTIFS($A$3:$A49,"&lt;&gt;",$D$3:$D49,반별조회!$C$5),"")</f>
        <v/>
      </c>
    </row>
    <row r="50" spans="1:62" ht="15" customHeight="1">
      <c r="A50" s="102"/>
      <c r="B50" s="102"/>
      <c r="C50" s="102"/>
      <c r="D50" s="101"/>
      <c r="E50" s="105"/>
      <c r="F50" s="105" t="str">
        <f t="shared" ca="1" si="0"/>
        <v/>
      </c>
      <c r="G50" s="105"/>
      <c r="H50" s="105"/>
      <c r="I50" s="105"/>
      <c r="J50" s="105"/>
      <c r="K50" s="105"/>
      <c r="L50" s="105"/>
      <c r="M50" s="105"/>
      <c r="N50" s="105"/>
      <c r="O50" s="105"/>
      <c r="P50" s="106"/>
      <c r="Q50" s="106"/>
      <c r="R50" s="106"/>
      <c r="S50" s="107"/>
      <c r="T50" s="106"/>
      <c r="U50" s="106"/>
      <c r="V50" s="108"/>
      <c r="W50" s="108"/>
      <c r="X50" s="108"/>
      <c r="Y50" s="108"/>
      <c r="Z50" s="109"/>
      <c r="AA50" s="109"/>
      <c r="AB50" s="109"/>
      <c r="AC50" s="109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1"/>
      <c r="AR50" s="110"/>
      <c r="AS50" s="111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3"/>
      <c r="BE50" s="114"/>
      <c r="BF50" s="115"/>
      <c r="BG50" s="115"/>
      <c r="BH50" s="116" t="str">
        <f t="shared" si="1"/>
        <v/>
      </c>
      <c r="BI50" s="116" t="str">
        <f t="shared" si="2"/>
        <v/>
      </c>
      <c r="BJ50" s="116" t="str">
        <f>IF(AND($A50&lt;&gt;"",$D50=반별조회!$C$5),COUNTIFS($A$3:$A50,"&lt;&gt;",$D$3:$D50,반별조회!$C$5),"")</f>
        <v/>
      </c>
    </row>
    <row r="51" spans="1:62" ht="15" customHeight="1">
      <c r="A51" s="102"/>
      <c r="B51" s="102"/>
      <c r="C51" s="102"/>
      <c r="D51" s="101"/>
      <c r="E51" s="105"/>
      <c r="F51" s="105" t="str">
        <f t="shared" ca="1" si="0"/>
        <v/>
      </c>
      <c r="G51" s="105"/>
      <c r="H51" s="105"/>
      <c r="I51" s="105"/>
      <c r="J51" s="105"/>
      <c r="K51" s="105"/>
      <c r="L51" s="105"/>
      <c r="M51" s="105"/>
      <c r="N51" s="105"/>
      <c r="O51" s="105"/>
      <c r="P51" s="106"/>
      <c r="Q51" s="106"/>
      <c r="R51" s="106"/>
      <c r="S51" s="107"/>
      <c r="T51" s="106"/>
      <c r="U51" s="106"/>
      <c r="V51" s="108"/>
      <c r="W51" s="108"/>
      <c r="X51" s="108"/>
      <c r="Y51" s="108"/>
      <c r="Z51" s="109"/>
      <c r="AA51" s="109"/>
      <c r="AB51" s="109"/>
      <c r="AC51" s="109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1"/>
      <c r="AR51" s="110"/>
      <c r="AS51" s="111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3"/>
      <c r="BE51" s="114"/>
      <c r="BF51" s="115"/>
      <c r="BG51" s="115"/>
      <c r="BH51" s="116" t="str">
        <f t="shared" si="1"/>
        <v/>
      </c>
      <c r="BI51" s="116" t="str">
        <f t="shared" si="2"/>
        <v/>
      </c>
      <c r="BJ51" s="116" t="str">
        <f>IF(AND($A51&lt;&gt;"",$D51=반별조회!$C$5),COUNTIFS($A$3:$A51,"&lt;&gt;",$D$3:$D51,반별조회!$C$5),"")</f>
        <v/>
      </c>
    </row>
    <row r="52" spans="1:62" ht="15" customHeight="1">
      <c r="A52" s="102"/>
      <c r="B52" s="102"/>
      <c r="C52" s="102"/>
      <c r="D52" s="101"/>
      <c r="E52" s="105"/>
      <c r="F52" s="105" t="str">
        <f t="shared" ca="1" si="0"/>
        <v/>
      </c>
      <c r="G52" s="105"/>
      <c r="H52" s="105"/>
      <c r="I52" s="105"/>
      <c r="J52" s="105"/>
      <c r="K52" s="105"/>
      <c r="L52" s="105"/>
      <c r="M52" s="105"/>
      <c r="N52" s="105"/>
      <c r="O52" s="105"/>
      <c r="P52" s="106"/>
      <c r="Q52" s="106"/>
      <c r="R52" s="106"/>
      <c r="S52" s="107"/>
      <c r="T52" s="106"/>
      <c r="U52" s="106"/>
      <c r="V52" s="108"/>
      <c r="W52" s="108"/>
      <c r="X52" s="108"/>
      <c r="Y52" s="108"/>
      <c r="Z52" s="109"/>
      <c r="AA52" s="109"/>
      <c r="AB52" s="109"/>
      <c r="AC52" s="109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1"/>
      <c r="AR52" s="110"/>
      <c r="AS52" s="111"/>
      <c r="AT52" s="112"/>
      <c r="AU52" s="112"/>
      <c r="AV52" s="112"/>
      <c r="AW52" s="112"/>
      <c r="AX52" s="112"/>
      <c r="AY52" s="112"/>
      <c r="AZ52" s="112"/>
      <c r="BA52" s="112"/>
      <c r="BB52" s="112"/>
      <c r="BC52" s="112"/>
      <c r="BD52" s="113"/>
      <c r="BE52" s="114"/>
      <c r="BF52" s="115"/>
      <c r="BG52" s="115"/>
      <c r="BH52" s="116" t="str">
        <f t="shared" si="1"/>
        <v/>
      </c>
      <c r="BI52" s="116" t="str">
        <f t="shared" si="2"/>
        <v/>
      </c>
      <c r="BJ52" s="116" t="str">
        <f>IF(AND($A52&lt;&gt;"",$D52=반별조회!$C$5),COUNTIFS($A$3:$A52,"&lt;&gt;",$D$3:$D52,반별조회!$C$5),"")</f>
        <v/>
      </c>
    </row>
    <row r="53" spans="1:62" ht="15" customHeight="1">
      <c r="A53" s="102"/>
      <c r="B53" s="102"/>
      <c r="C53" s="102"/>
      <c r="D53" s="101"/>
      <c r="E53" s="105"/>
      <c r="F53" s="105" t="str">
        <f t="shared" ca="1" si="0"/>
        <v/>
      </c>
      <c r="G53" s="105"/>
      <c r="H53" s="105"/>
      <c r="I53" s="105"/>
      <c r="J53" s="105"/>
      <c r="K53" s="105"/>
      <c r="L53" s="105"/>
      <c r="M53" s="105"/>
      <c r="N53" s="105"/>
      <c r="O53" s="105"/>
      <c r="P53" s="106"/>
      <c r="Q53" s="106"/>
      <c r="R53" s="106"/>
      <c r="S53" s="107"/>
      <c r="T53" s="106"/>
      <c r="U53" s="106"/>
      <c r="V53" s="108"/>
      <c r="W53" s="108"/>
      <c r="X53" s="108"/>
      <c r="Y53" s="108"/>
      <c r="Z53" s="109"/>
      <c r="AA53" s="109"/>
      <c r="AB53" s="109"/>
      <c r="AC53" s="109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1"/>
      <c r="AR53" s="110"/>
      <c r="AS53" s="111"/>
      <c r="AT53" s="112"/>
      <c r="AU53" s="112"/>
      <c r="AV53" s="112"/>
      <c r="AW53" s="112"/>
      <c r="AX53" s="112"/>
      <c r="AY53" s="112"/>
      <c r="AZ53" s="112"/>
      <c r="BA53" s="112"/>
      <c r="BB53" s="112"/>
      <c r="BC53" s="112"/>
      <c r="BD53" s="113"/>
      <c r="BE53" s="114"/>
      <c r="BF53" s="115"/>
      <c r="BG53" s="115"/>
      <c r="BH53" s="116" t="str">
        <f t="shared" si="1"/>
        <v/>
      </c>
      <c r="BI53" s="116" t="str">
        <f t="shared" si="2"/>
        <v/>
      </c>
      <c r="BJ53" s="116" t="str">
        <f>IF(AND($A53&lt;&gt;"",$D53=반별조회!$C$5),COUNTIFS($A$3:$A53,"&lt;&gt;",$D$3:$D53,반별조회!$C$5),"")</f>
        <v/>
      </c>
    </row>
    <row r="54" spans="1:62" ht="15" customHeight="1">
      <c r="A54" s="102"/>
      <c r="B54" s="102"/>
      <c r="C54" s="102"/>
      <c r="D54" s="101"/>
      <c r="E54" s="105"/>
      <c r="F54" s="105" t="str">
        <f t="shared" ca="1" si="0"/>
        <v/>
      </c>
      <c r="G54" s="105"/>
      <c r="H54" s="105"/>
      <c r="I54" s="105"/>
      <c r="J54" s="105"/>
      <c r="K54" s="105"/>
      <c r="L54" s="105"/>
      <c r="M54" s="105"/>
      <c r="N54" s="105"/>
      <c r="O54" s="105"/>
      <c r="P54" s="106"/>
      <c r="Q54" s="106"/>
      <c r="R54" s="106"/>
      <c r="S54" s="107"/>
      <c r="T54" s="106"/>
      <c r="U54" s="106"/>
      <c r="V54" s="108"/>
      <c r="W54" s="108"/>
      <c r="X54" s="108"/>
      <c r="Y54" s="108"/>
      <c r="Z54" s="109"/>
      <c r="AA54" s="109"/>
      <c r="AB54" s="109"/>
      <c r="AC54" s="109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1"/>
      <c r="AR54" s="110"/>
      <c r="AS54" s="111"/>
      <c r="AT54" s="112"/>
      <c r="AU54" s="112"/>
      <c r="AV54" s="112"/>
      <c r="AW54" s="112"/>
      <c r="AX54" s="112"/>
      <c r="AY54" s="112"/>
      <c r="AZ54" s="112"/>
      <c r="BA54" s="112"/>
      <c r="BB54" s="112"/>
      <c r="BC54" s="112"/>
      <c r="BD54" s="113"/>
      <c r="BE54" s="114"/>
      <c r="BF54" s="115"/>
      <c r="BG54" s="115"/>
      <c r="BH54" s="116" t="str">
        <f t="shared" si="1"/>
        <v/>
      </c>
      <c r="BI54" s="116" t="str">
        <f t="shared" si="2"/>
        <v/>
      </c>
      <c r="BJ54" s="116" t="str">
        <f>IF(AND($A54&lt;&gt;"",$D54=반별조회!$C$5),COUNTIFS($A$3:$A54,"&lt;&gt;",$D$3:$D54,반별조회!$C$5),"")</f>
        <v/>
      </c>
    </row>
    <row r="55" spans="1:62" ht="15" customHeight="1">
      <c r="A55" s="102"/>
      <c r="B55" s="102"/>
      <c r="C55" s="102"/>
      <c r="D55" s="101"/>
      <c r="E55" s="105"/>
      <c r="F55" s="105" t="str">
        <f t="shared" ca="1" si="0"/>
        <v/>
      </c>
      <c r="G55" s="105"/>
      <c r="H55" s="105"/>
      <c r="I55" s="105"/>
      <c r="J55" s="105"/>
      <c r="K55" s="105"/>
      <c r="L55" s="105"/>
      <c r="M55" s="105"/>
      <c r="N55" s="105"/>
      <c r="O55" s="105"/>
      <c r="P55" s="106"/>
      <c r="Q55" s="106"/>
      <c r="R55" s="106"/>
      <c r="S55" s="107"/>
      <c r="T55" s="106"/>
      <c r="U55" s="106"/>
      <c r="V55" s="108"/>
      <c r="W55" s="108"/>
      <c r="X55" s="108"/>
      <c r="Y55" s="108"/>
      <c r="Z55" s="109"/>
      <c r="AA55" s="109"/>
      <c r="AB55" s="109"/>
      <c r="AC55" s="109"/>
      <c r="AD55" s="110"/>
      <c r="AE55" s="110"/>
      <c r="AF55" s="110"/>
      <c r="AG55" s="110"/>
      <c r="AH55" s="110"/>
      <c r="AI55" s="110"/>
      <c r="AJ55" s="110"/>
      <c r="AK55" s="110"/>
      <c r="AL55" s="110"/>
      <c r="AM55" s="110"/>
      <c r="AN55" s="110"/>
      <c r="AO55" s="110"/>
      <c r="AP55" s="110"/>
      <c r="AQ55" s="111"/>
      <c r="AR55" s="110"/>
      <c r="AS55" s="111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3"/>
      <c r="BE55" s="114"/>
      <c r="BF55" s="115"/>
      <c r="BG55" s="115"/>
      <c r="BH55" s="116" t="str">
        <f t="shared" si="1"/>
        <v/>
      </c>
      <c r="BI55" s="116" t="str">
        <f t="shared" si="2"/>
        <v/>
      </c>
      <c r="BJ55" s="116" t="str">
        <f>IF(AND($A55&lt;&gt;"",$D55=반별조회!$C$5),COUNTIFS($A$3:$A55,"&lt;&gt;",$D$3:$D55,반별조회!$C$5),"")</f>
        <v/>
      </c>
    </row>
    <row r="56" spans="1:62" ht="15" customHeight="1">
      <c r="A56" s="102"/>
      <c r="B56" s="102"/>
      <c r="C56" s="102"/>
      <c r="D56" s="101"/>
      <c r="E56" s="105"/>
      <c r="F56" s="105" t="str">
        <f t="shared" ca="1" si="0"/>
        <v/>
      </c>
      <c r="G56" s="105"/>
      <c r="H56" s="105"/>
      <c r="I56" s="105"/>
      <c r="J56" s="105"/>
      <c r="K56" s="105"/>
      <c r="L56" s="105"/>
      <c r="M56" s="105"/>
      <c r="N56" s="105"/>
      <c r="O56" s="105"/>
      <c r="P56" s="106"/>
      <c r="Q56" s="106"/>
      <c r="R56" s="106"/>
      <c r="S56" s="107"/>
      <c r="T56" s="106"/>
      <c r="U56" s="106"/>
      <c r="V56" s="108"/>
      <c r="W56" s="108"/>
      <c r="X56" s="108"/>
      <c r="Y56" s="108"/>
      <c r="Z56" s="109"/>
      <c r="AA56" s="109"/>
      <c r="AB56" s="109"/>
      <c r="AC56" s="109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110"/>
      <c r="AO56" s="110"/>
      <c r="AP56" s="110"/>
      <c r="AQ56" s="111"/>
      <c r="AR56" s="110"/>
      <c r="AS56" s="111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3"/>
      <c r="BE56" s="114"/>
      <c r="BF56" s="115"/>
      <c r="BG56" s="115"/>
      <c r="BH56" s="116" t="str">
        <f t="shared" si="1"/>
        <v/>
      </c>
      <c r="BI56" s="116" t="str">
        <f t="shared" si="2"/>
        <v/>
      </c>
      <c r="BJ56" s="116" t="str">
        <f>IF(AND($A56&lt;&gt;"",$D56=반별조회!$C$5),COUNTIFS($A$3:$A56,"&lt;&gt;",$D$3:$D56,반별조회!$C$5),"")</f>
        <v/>
      </c>
    </row>
    <row r="57" spans="1:62" ht="15" customHeight="1">
      <c r="A57" s="102"/>
      <c r="B57" s="102"/>
      <c r="C57" s="102"/>
      <c r="D57" s="101"/>
      <c r="E57" s="105"/>
      <c r="F57" s="105" t="str">
        <f t="shared" ca="1" si="0"/>
        <v/>
      </c>
      <c r="G57" s="105"/>
      <c r="H57" s="105"/>
      <c r="I57" s="105"/>
      <c r="J57" s="105"/>
      <c r="K57" s="105"/>
      <c r="L57" s="105"/>
      <c r="M57" s="105"/>
      <c r="N57" s="105"/>
      <c r="O57" s="105"/>
      <c r="P57" s="106"/>
      <c r="Q57" s="106"/>
      <c r="R57" s="106"/>
      <c r="S57" s="107"/>
      <c r="T57" s="106"/>
      <c r="U57" s="106"/>
      <c r="V57" s="108"/>
      <c r="W57" s="108"/>
      <c r="X57" s="108"/>
      <c r="Y57" s="108"/>
      <c r="Z57" s="109"/>
      <c r="AA57" s="109"/>
      <c r="AB57" s="109"/>
      <c r="AC57" s="109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1"/>
      <c r="AR57" s="110"/>
      <c r="AS57" s="111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3"/>
      <c r="BE57" s="114"/>
      <c r="BF57" s="115"/>
      <c r="BG57" s="115"/>
      <c r="BH57" s="116" t="str">
        <f t="shared" si="1"/>
        <v/>
      </c>
      <c r="BI57" s="116" t="str">
        <f t="shared" si="2"/>
        <v/>
      </c>
      <c r="BJ57" s="116" t="str">
        <f>IF(AND($A57&lt;&gt;"",$D57=반별조회!$C$5),COUNTIFS($A$3:$A57,"&lt;&gt;",$D$3:$D57,반별조회!$C$5),"")</f>
        <v/>
      </c>
    </row>
    <row r="58" spans="1:62" ht="15" customHeight="1">
      <c r="A58" s="102"/>
      <c r="B58" s="102"/>
      <c r="C58" s="102"/>
      <c r="D58" s="101"/>
      <c r="E58" s="105"/>
      <c r="F58" s="105" t="str">
        <f t="shared" ca="1" si="0"/>
        <v/>
      </c>
      <c r="G58" s="105"/>
      <c r="H58" s="105"/>
      <c r="I58" s="105"/>
      <c r="J58" s="105"/>
      <c r="K58" s="105"/>
      <c r="L58" s="105"/>
      <c r="M58" s="105"/>
      <c r="N58" s="105"/>
      <c r="O58" s="105"/>
      <c r="P58" s="106"/>
      <c r="Q58" s="106"/>
      <c r="R58" s="106"/>
      <c r="S58" s="107"/>
      <c r="T58" s="106"/>
      <c r="U58" s="106"/>
      <c r="V58" s="108"/>
      <c r="W58" s="108"/>
      <c r="X58" s="108"/>
      <c r="Y58" s="108"/>
      <c r="Z58" s="109"/>
      <c r="AA58" s="109"/>
      <c r="AB58" s="109"/>
      <c r="AC58" s="109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0"/>
      <c r="AQ58" s="111"/>
      <c r="AR58" s="110"/>
      <c r="AS58" s="111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3"/>
      <c r="BE58" s="114"/>
      <c r="BF58" s="115"/>
      <c r="BG58" s="115"/>
      <c r="BH58" s="116" t="str">
        <f t="shared" si="1"/>
        <v/>
      </c>
      <c r="BI58" s="116" t="str">
        <f t="shared" si="2"/>
        <v/>
      </c>
      <c r="BJ58" s="116" t="str">
        <f>IF(AND($A58&lt;&gt;"",$D58=반별조회!$C$5),COUNTIFS($A$3:$A58,"&lt;&gt;",$D$3:$D58,반별조회!$C$5),"")</f>
        <v/>
      </c>
    </row>
    <row r="59" spans="1:62" ht="15" customHeight="1">
      <c r="A59" s="102"/>
      <c r="B59" s="102"/>
      <c r="C59" s="102"/>
      <c r="D59" s="101"/>
      <c r="E59" s="105"/>
      <c r="F59" s="105" t="str">
        <f t="shared" ca="1" si="0"/>
        <v/>
      </c>
      <c r="G59" s="105"/>
      <c r="H59" s="105"/>
      <c r="I59" s="105"/>
      <c r="J59" s="105"/>
      <c r="K59" s="105"/>
      <c r="L59" s="105"/>
      <c r="M59" s="105"/>
      <c r="N59" s="105"/>
      <c r="O59" s="105"/>
      <c r="P59" s="106"/>
      <c r="Q59" s="106"/>
      <c r="R59" s="106"/>
      <c r="S59" s="107"/>
      <c r="T59" s="106"/>
      <c r="U59" s="106"/>
      <c r="V59" s="108"/>
      <c r="W59" s="108"/>
      <c r="X59" s="108"/>
      <c r="Y59" s="108"/>
      <c r="Z59" s="109"/>
      <c r="AA59" s="109"/>
      <c r="AB59" s="109"/>
      <c r="AC59" s="109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1"/>
      <c r="AR59" s="110"/>
      <c r="AS59" s="111"/>
      <c r="AT59" s="112"/>
      <c r="AU59" s="112"/>
      <c r="AV59" s="112"/>
      <c r="AW59" s="112"/>
      <c r="AX59" s="112"/>
      <c r="AY59" s="112"/>
      <c r="AZ59" s="112"/>
      <c r="BA59" s="112"/>
      <c r="BB59" s="112"/>
      <c r="BC59" s="112"/>
      <c r="BD59" s="113"/>
      <c r="BE59" s="114"/>
      <c r="BF59" s="115"/>
      <c r="BG59" s="115"/>
      <c r="BH59" s="116" t="str">
        <f t="shared" si="1"/>
        <v/>
      </c>
      <c r="BI59" s="116" t="str">
        <f t="shared" si="2"/>
        <v/>
      </c>
      <c r="BJ59" s="116" t="str">
        <f>IF(AND($A59&lt;&gt;"",$D59=반별조회!$C$5),COUNTIFS($A$3:$A59,"&lt;&gt;",$D$3:$D59,반별조회!$C$5),"")</f>
        <v/>
      </c>
    </row>
    <row r="60" spans="1:62" ht="15" customHeight="1">
      <c r="A60" s="102"/>
      <c r="B60" s="102"/>
      <c r="C60" s="102"/>
      <c r="D60" s="101"/>
      <c r="E60" s="105"/>
      <c r="F60" s="105" t="str">
        <f t="shared" ca="1" si="0"/>
        <v/>
      </c>
      <c r="G60" s="105"/>
      <c r="H60" s="105"/>
      <c r="I60" s="105"/>
      <c r="J60" s="105"/>
      <c r="K60" s="105"/>
      <c r="L60" s="105"/>
      <c r="M60" s="105"/>
      <c r="N60" s="105"/>
      <c r="O60" s="105"/>
      <c r="P60" s="106"/>
      <c r="Q60" s="106"/>
      <c r="R60" s="106"/>
      <c r="S60" s="107"/>
      <c r="T60" s="106"/>
      <c r="U60" s="106"/>
      <c r="V60" s="108"/>
      <c r="W60" s="108"/>
      <c r="X60" s="108"/>
      <c r="Y60" s="108"/>
      <c r="Z60" s="109"/>
      <c r="AA60" s="109"/>
      <c r="AB60" s="109"/>
      <c r="AC60" s="109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110"/>
      <c r="AO60" s="110"/>
      <c r="AP60" s="110"/>
      <c r="AQ60" s="111"/>
      <c r="AR60" s="110"/>
      <c r="AS60" s="111"/>
      <c r="AT60" s="112"/>
      <c r="AU60" s="112"/>
      <c r="AV60" s="112"/>
      <c r="AW60" s="112"/>
      <c r="AX60" s="112"/>
      <c r="AY60" s="112"/>
      <c r="AZ60" s="112"/>
      <c r="BA60" s="112"/>
      <c r="BB60" s="112"/>
      <c r="BC60" s="112"/>
      <c r="BD60" s="113"/>
      <c r="BE60" s="114"/>
      <c r="BF60" s="115"/>
      <c r="BG60" s="115"/>
      <c r="BH60" s="116" t="str">
        <f t="shared" si="1"/>
        <v/>
      </c>
      <c r="BI60" s="116" t="str">
        <f t="shared" si="2"/>
        <v/>
      </c>
      <c r="BJ60" s="116" t="str">
        <f>IF(AND($A60&lt;&gt;"",$D60=반별조회!$C$5),COUNTIFS($A$3:$A60,"&lt;&gt;",$D$3:$D60,반별조회!$C$5),"")</f>
        <v/>
      </c>
    </row>
    <row r="61" spans="1:62" ht="15" customHeight="1">
      <c r="A61" s="102"/>
      <c r="B61" s="102"/>
      <c r="C61" s="102"/>
      <c r="D61" s="101"/>
      <c r="E61" s="105"/>
      <c r="F61" s="105" t="str">
        <f t="shared" ca="1" si="0"/>
        <v/>
      </c>
      <c r="G61" s="105"/>
      <c r="H61" s="105"/>
      <c r="I61" s="105"/>
      <c r="J61" s="105"/>
      <c r="K61" s="105"/>
      <c r="L61" s="105"/>
      <c r="M61" s="105"/>
      <c r="N61" s="105"/>
      <c r="O61" s="105"/>
      <c r="P61" s="106"/>
      <c r="Q61" s="106"/>
      <c r="R61" s="106"/>
      <c r="S61" s="107"/>
      <c r="T61" s="106"/>
      <c r="U61" s="106"/>
      <c r="V61" s="108"/>
      <c r="W61" s="108"/>
      <c r="X61" s="108"/>
      <c r="Y61" s="108"/>
      <c r="Z61" s="109"/>
      <c r="AA61" s="109"/>
      <c r="AB61" s="109"/>
      <c r="AC61" s="109"/>
      <c r="AD61" s="110"/>
      <c r="AE61" s="110"/>
      <c r="AF61" s="110"/>
      <c r="AG61" s="110"/>
      <c r="AH61" s="110"/>
      <c r="AI61" s="110"/>
      <c r="AJ61" s="110"/>
      <c r="AK61" s="110"/>
      <c r="AL61" s="110"/>
      <c r="AM61" s="110"/>
      <c r="AN61" s="110"/>
      <c r="AO61" s="110"/>
      <c r="AP61" s="110"/>
      <c r="AQ61" s="111"/>
      <c r="AR61" s="110"/>
      <c r="AS61" s="111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3"/>
      <c r="BE61" s="114"/>
      <c r="BF61" s="115"/>
      <c r="BG61" s="115"/>
      <c r="BH61" s="116" t="str">
        <f t="shared" si="1"/>
        <v/>
      </c>
      <c r="BI61" s="116" t="str">
        <f t="shared" si="2"/>
        <v/>
      </c>
      <c r="BJ61" s="116" t="str">
        <f>IF(AND($A61&lt;&gt;"",$D61=반별조회!$C$5),COUNTIFS($A$3:$A61,"&lt;&gt;",$D$3:$D61,반별조회!$C$5),"")</f>
        <v/>
      </c>
    </row>
    <row r="62" spans="1:62" ht="15" customHeight="1">
      <c r="A62" s="102"/>
      <c r="B62" s="102"/>
      <c r="C62" s="102"/>
      <c r="D62" s="101"/>
      <c r="E62" s="105"/>
      <c r="F62" s="105" t="str">
        <f t="shared" ca="1" si="0"/>
        <v/>
      </c>
      <c r="G62" s="105"/>
      <c r="H62" s="105"/>
      <c r="I62" s="105"/>
      <c r="J62" s="105"/>
      <c r="K62" s="105"/>
      <c r="L62" s="105"/>
      <c r="M62" s="105"/>
      <c r="N62" s="105"/>
      <c r="O62" s="105"/>
      <c r="P62" s="106"/>
      <c r="Q62" s="106"/>
      <c r="R62" s="106"/>
      <c r="S62" s="107"/>
      <c r="T62" s="106"/>
      <c r="U62" s="106"/>
      <c r="V62" s="108"/>
      <c r="W62" s="108"/>
      <c r="X62" s="108"/>
      <c r="Y62" s="108"/>
      <c r="Z62" s="109"/>
      <c r="AA62" s="109"/>
      <c r="AB62" s="109"/>
      <c r="AC62" s="109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110"/>
      <c r="AO62" s="110"/>
      <c r="AP62" s="110"/>
      <c r="AQ62" s="111"/>
      <c r="AR62" s="110"/>
      <c r="AS62" s="111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3"/>
      <c r="BE62" s="114"/>
      <c r="BF62" s="115"/>
      <c r="BG62" s="115"/>
      <c r="BH62" s="116" t="str">
        <f t="shared" si="1"/>
        <v/>
      </c>
      <c r="BI62" s="116" t="str">
        <f t="shared" si="2"/>
        <v/>
      </c>
      <c r="BJ62" s="116" t="str">
        <f>IF(AND($A62&lt;&gt;"",$D62=반별조회!$C$5),COUNTIFS($A$3:$A62,"&lt;&gt;",$D$3:$D62,반별조회!$C$5),"")</f>
        <v/>
      </c>
    </row>
    <row r="63" spans="1:62" ht="15" customHeight="1">
      <c r="A63" s="102"/>
      <c r="B63" s="102"/>
      <c r="C63" s="102"/>
      <c r="D63" s="101"/>
      <c r="E63" s="105"/>
      <c r="F63" s="105" t="str">
        <f t="shared" ca="1" si="0"/>
        <v/>
      </c>
      <c r="G63" s="105"/>
      <c r="H63" s="105"/>
      <c r="I63" s="105"/>
      <c r="J63" s="105"/>
      <c r="K63" s="105"/>
      <c r="L63" s="105"/>
      <c r="M63" s="105"/>
      <c r="N63" s="105"/>
      <c r="O63" s="105"/>
      <c r="P63" s="106"/>
      <c r="Q63" s="106"/>
      <c r="R63" s="106"/>
      <c r="S63" s="107"/>
      <c r="T63" s="106"/>
      <c r="U63" s="106"/>
      <c r="V63" s="108"/>
      <c r="W63" s="108"/>
      <c r="X63" s="108"/>
      <c r="Y63" s="108"/>
      <c r="Z63" s="109"/>
      <c r="AA63" s="109"/>
      <c r="AB63" s="109"/>
      <c r="AC63" s="109"/>
      <c r="AD63" s="110"/>
      <c r="AE63" s="110"/>
      <c r="AF63" s="110"/>
      <c r="AG63" s="110"/>
      <c r="AH63" s="110"/>
      <c r="AI63" s="110"/>
      <c r="AJ63" s="110"/>
      <c r="AK63" s="110"/>
      <c r="AL63" s="110"/>
      <c r="AM63" s="110"/>
      <c r="AN63" s="110"/>
      <c r="AO63" s="110"/>
      <c r="AP63" s="110"/>
      <c r="AQ63" s="111"/>
      <c r="AR63" s="110"/>
      <c r="AS63" s="111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3"/>
      <c r="BE63" s="114"/>
      <c r="BF63" s="115"/>
      <c r="BG63" s="115"/>
      <c r="BH63" s="116" t="str">
        <f t="shared" si="1"/>
        <v/>
      </c>
      <c r="BI63" s="116" t="str">
        <f t="shared" si="2"/>
        <v/>
      </c>
      <c r="BJ63" s="116" t="str">
        <f>IF(AND($A63&lt;&gt;"",$D63=반별조회!$C$5),COUNTIFS($A$3:$A63,"&lt;&gt;",$D$3:$D63,반별조회!$C$5),"")</f>
        <v/>
      </c>
    </row>
    <row r="64" spans="1:62" ht="15" customHeight="1">
      <c r="A64" s="102"/>
      <c r="B64" s="102"/>
      <c r="C64" s="102"/>
      <c r="D64" s="101"/>
      <c r="E64" s="105"/>
      <c r="F64" s="105" t="str">
        <f t="shared" ca="1" si="0"/>
        <v/>
      </c>
      <c r="G64" s="105"/>
      <c r="H64" s="105"/>
      <c r="I64" s="105"/>
      <c r="J64" s="105"/>
      <c r="K64" s="105"/>
      <c r="L64" s="105"/>
      <c r="M64" s="105"/>
      <c r="N64" s="105"/>
      <c r="O64" s="105"/>
      <c r="P64" s="106"/>
      <c r="Q64" s="106"/>
      <c r="R64" s="106"/>
      <c r="S64" s="107"/>
      <c r="T64" s="106"/>
      <c r="U64" s="106"/>
      <c r="V64" s="108"/>
      <c r="W64" s="108"/>
      <c r="X64" s="108"/>
      <c r="Y64" s="108"/>
      <c r="Z64" s="109"/>
      <c r="AA64" s="109"/>
      <c r="AB64" s="109"/>
      <c r="AC64" s="109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0"/>
      <c r="AQ64" s="111"/>
      <c r="AR64" s="110"/>
      <c r="AS64" s="111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3"/>
      <c r="BE64" s="114"/>
      <c r="BF64" s="115"/>
      <c r="BG64" s="115"/>
      <c r="BH64" s="116" t="str">
        <f t="shared" si="1"/>
        <v/>
      </c>
      <c r="BI64" s="116" t="str">
        <f t="shared" si="2"/>
        <v/>
      </c>
      <c r="BJ64" s="116" t="str">
        <f>IF(AND($A64&lt;&gt;"",$D64=반별조회!$C$5),COUNTIFS($A$3:$A64,"&lt;&gt;",$D$3:$D64,반별조회!$C$5),"")</f>
        <v/>
      </c>
    </row>
    <row r="65" spans="1:62" ht="15" customHeight="1">
      <c r="A65" s="102"/>
      <c r="B65" s="102"/>
      <c r="C65" s="102"/>
      <c r="D65" s="101"/>
      <c r="E65" s="105"/>
      <c r="F65" s="105" t="str">
        <f t="shared" ca="1" si="0"/>
        <v/>
      </c>
      <c r="G65" s="105"/>
      <c r="H65" s="105"/>
      <c r="I65" s="105"/>
      <c r="J65" s="105"/>
      <c r="K65" s="105"/>
      <c r="L65" s="105"/>
      <c r="M65" s="105"/>
      <c r="N65" s="105"/>
      <c r="O65" s="105"/>
      <c r="P65" s="106"/>
      <c r="Q65" s="106"/>
      <c r="R65" s="106"/>
      <c r="S65" s="107"/>
      <c r="T65" s="106"/>
      <c r="U65" s="106"/>
      <c r="V65" s="108"/>
      <c r="W65" s="108"/>
      <c r="X65" s="108"/>
      <c r="Y65" s="108"/>
      <c r="Z65" s="109"/>
      <c r="AA65" s="109"/>
      <c r="AB65" s="109"/>
      <c r="AC65" s="109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0"/>
      <c r="AQ65" s="111"/>
      <c r="AR65" s="110"/>
      <c r="AS65" s="111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3"/>
      <c r="BE65" s="114"/>
      <c r="BF65" s="115"/>
      <c r="BG65" s="115"/>
      <c r="BH65" s="116" t="str">
        <f t="shared" si="1"/>
        <v/>
      </c>
      <c r="BI65" s="116" t="str">
        <f t="shared" si="2"/>
        <v/>
      </c>
      <c r="BJ65" s="116" t="str">
        <f>IF(AND($A65&lt;&gt;"",$D65=반별조회!$C$5),COUNTIFS($A$3:$A65,"&lt;&gt;",$D$3:$D65,반별조회!$C$5),"")</f>
        <v/>
      </c>
    </row>
    <row r="66" spans="1:62" ht="15" customHeight="1">
      <c r="A66" s="102"/>
      <c r="B66" s="102"/>
      <c r="C66" s="102"/>
      <c r="D66" s="101"/>
      <c r="E66" s="105"/>
      <c r="F66" s="105" t="str">
        <f t="shared" ca="1" si="0"/>
        <v/>
      </c>
      <c r="G66" s="105"/>
      <c r="H66" s="105"/>
      <c r="I66" s="105"/>
      <c r="J66" s="105"/>
      <c r="K66" s="105"/>
      <c r="L66" s="105"/>
      <c r="M66" s="105"/>
      <c r="N66" s="105"/>
      <c r="O66" s="105"/>
      <c r="P66" s="106"/>
      <c r="Q66" s="106"/>
      <c r="R66" s="106"/>
      <c r="S66" s="107"/>
      <c r="T66" s="106"/>
      <c r="U66" s="106"/>
      <c r="V66" s="108"/>
      <c r="W66" s="108"/>
      <c r="X66" s="108"/>
      <c r="Y66" s="108"/>
      <c r="Z66" s="109"/>
      <c r="AA66" s="109"/>
      <c r="AB66" s="109"/>
      <c r="AC66" s="109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0"/>
      <c r="AQ66" s="111"/>
      <c r="AR66" s="110"/>
      <c r="AS66" s="111"/>
      <c r="AT66" s="112"/>
      <c r="AU66" s="112"/>
      <c r="AV66" s="112"/>
      <c r="AW66" s="112"/>
      <c r="AX66" s="112"/>
      <c r="AY66" s="112"/>
      <c r="AZ66" s="112"/>
      <c r="BA66" s="112"/>
      <c r="BB66" s="112"/>
      <c r="BC66" s="112"/>
      <c r="BD66" s="113"/>
      <c r="BE66" s="114"/>
      <c r="BF66" s="115"/>
      <c r="BG66" s="115"/>
      <c r="BH66" s="116" t="str">
        <f t="shared" si="1"/>
        <v/>
      </c>
      <c r="BI66" s="116" t="str">
        <f t="shared" si="2"/>
        <v/>
      </c>
      <c r="BJ66" s="116" t="str">
        <f>IF(AND($A66&lt;&gt;"",$D66=반별조회!$C$5),COUNTIFS($A$3:$A66,"&lt;&gt;",$D$3:$D66,반별조회!$C$5),"")</f>
        <v/>
      </c>
    </row>
    <row r="67" spans="1:62" ht="15" customHeight="1">
      <c r="A67" s="102"/>
      <c r="B67" s="102"/>
      <c r="C67" s="102"/>
      <c r="D67" s="101"/>
      <c r="E67" s="105"/>
      <c r="F67" s="105" t="str">
        <f t="shared" ref="F67:F130" ca="1" si="3">IF($E67="","",INT((TODAY()-$E67)/365.25))</f>
        <v/>
      </c>
      <c r="G67" s="105"/>
      <c r="H67" s="105"/>
      <c r="I67" s="105"/>
      <c r="J67" s="105"/>
      <c r="K67" s="105"/>
      <c r="L67" s="105"/>
      <c r="M67" s="105"/>
      <c r="N67" s="105"/>
      <c r="O67" s="105"/>
      <c r="P67" s="106"/>
      <c r="Q67" s="106"/>
      <c r="R67" s="106"/>
      <c r="S67" s="107"/>
      <c r="T67" s="106"/>
      <c r="U67" s="106"/>
      <c r="V67" s="108"/>
      <c r="W67" s="108"/>
      <c r="X67" s="108"/>
      <c r="Y67" s="108"/>
      <c r="Z67" s="109"/>
      <c r="AA67" s="109"/>
      <c r="AB67" s="109"/>
      <c r="AC67" s="109"/>
      <c r="AD67" s="110"/>
      <c r="AE67" s="110"/>
      <c r="AF67" s="110"/>
      <c r="AG67" s="110"/>
      <c r="AH67" s="110"/>
      <c r="AI67" s="110"/>
      <c r="AJ67" s="110"/>
      <c r="AK67" s="110"/>
      <c r="AL67" s="110"/>
      <c r="AM67" s="110"/>
      <c r="AN67" s="110"/>
      <c r="AO67" s="110"/>
      <c r="AP67" s="110"/>
      <c r="AQ67" s="111"/>
      <c r="AR67" s="110"/>
      <c r="AS67" s="111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3"/>
      <c r="BE67" s="114"/>
      <c r="BF67" s="115"/>
      <c r="BG67" s="115"/>
      <c r="BH67" s="116" t="str">
        <f t="shared" ref="BH67:BH130" si="4">IF($A67="","","SYNK-"&amp;TEXT(ROW()-2,"000"))</f>
        <v/>
      </c>
      <c r="BI67" s="116" t="str">
        <f t="shared" ref="BI67:BI130" si="5">IF(A67="","",TRIM(IF(AA67="거절","⚠비자거절 ","")&amp;IF(AS67="설득필요","⚠가족설득필요 ","")&amp;IF(AND(W67="5~6급",OR(S67="완전초보",S67="기초")),"⚠목표-수준괴리 ","")&amp;IF(AND(AQ67="빠듯함",AS67="설득필요"),"⚠재정리스크 ","")))</f>
        <v/>
      </c>
      <c r="BJ67" s="116" t="str">
        <f>IF(AND($A67&lt;&gt;"",$D67=반별조회!$C$5),COUNTIFS($A$3:$A67,"&lt;&gt;",$D$3:$D67,반별조회!$C$5),"")</f>
        <v/>
      </c>
    </row>
    <row r="68" spans="1:62" ht="15" customHeight="1">
      <c r="A68" s="102"/>
      <c r="B68" s="102"/>
      <c r="C68" s="102"/>
      <c r="D68" s="101"/>
      <c r="E68" s="105"/>
      <c r="F68" s="105" t="str">
        <f t="shared" ca="1" si="3"/>
        <v/>
      </c>
      <c r="G68" s="105"/>
      <c r="H68" s="105"/>
      <c r="I68" s="105"/>
      <c r="J68" s="105"/>
      <c r="K68" s="105"/>
      <c r="L68" s="105"/>
      <c r="M68" s="105"/>
      <c r="N68" s="105"/>
      <c r="O68" s="105"/>
      <c r="P68" s="106"/>
      <c r="Q68" s="106"/>
      <c r="R68" s="106"/>
      <c r="S68" s="107"/>
      <c r="T68" s="106"/>
      <c r="U68" s="106"/>
      <c r="V68" s="108"/>
      <c r="W68" s="108"/>
      <c r="X68" s="108"/>
      <c r="Y68" s="108"/>
      <c r="Z68" s="109"/>
      <c r="AA68" s="109"/>
      <c r="AB68" s="109"/>
      <c r="AC68" s="109"/>
      <c r="AD68" s="110"/>
      <c r="AE68" s="110"/>
      <c r="AF68" s="110"/>
      <c r="AG68" s="110"/>
      <c r="AH68" s="110"/>
      <c r="AI68" s="110"/>
      <c r="AJ68" s="110"/>
      <c r="AK68" s="110"/>
      <c r="AL68" s="110"/>
      <c r="AM68" s="110"/>
      <c r="AN68" s="110"/>
      <c r="AO68" s="110"/>
      <c r="AP68" s="110"/>
      <c r="AQ68" s="111"/>
      <c r="AR68" s="110"/>
      <c r="AS68" s="111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3"/>
      <c r="BE68" s="114"/>
      <c r="BF68" s="115"/>
      <c r="BG68" s="115"/>
      <c r="BH68" s="116" t="str">
        <f t="shared" si="4"/>
        <v/>
      </c>
      <c r="BI68" s="116" t="str">
        <f t="shared" si="5"/>
        <v/>
      </c>
      <c r="BJ68" s="116" t="str">
        <f>IF(AND($A68&lt;&gt;"",$D68=반별조회!$C$5),COUNTIFS($A$3:$A68,"&lt;&gt;",$D$3:$D68,반별조회!$C$5),"")</f>
        <v/>
      </c>
    </row>
    <row r="69" spans="1:62" ht="15" customHeight="1">
      <c r="A69" s="102"/>
      <c r="B69" s="102"/>
      <c r="C69" s="102"/>
      <c r="D69" s="101"/>
      <c r="E69" s="105"/>
      <c r="F69" s="105" t="str">
        <f t="shared" ca="1" si="3"/>
        <v/>
      </c>
      <c r="G69" s="105"/>
      <c r="H69" s="105"/>
      <c r="I69" s="105"/>
      <c r="J69" s="105"/>
      <c r="K69" s="105"/>
      <c r="L69" s="105"/>
      <c r="M69" s="105"/>
      <c r="N69" s="105"/>
      <c r="O69" s="105"/>
      <c r="P69" s="106"/>
      <c r="Q69" s="106"/>
      <c r="R69" s="106"/>
      <c r="S69" s="107"/>
      <c r="T69" s="106"/>
      <c r="U69" s="106"/>
      <c r="V69" s="108"/>
      <c r="W69" s="108"/>
      <c r="X69" s="108"/>
      <c r="Y69" s="108"/>
      <c r="Z69" s="109"/>
      <c r="AA69" s="109"/>
      <c r="AB69" s="109"/>
      <c r="AC69" s="109"/>
      <c r="AD69" s="110"/>
      <c r="AE69" s="110"/>
      <c r="AF69" s="110"/>
      <c r="AG69" s="110"/>
      <c r="AH69" s="110"/>
      <c r="AI69" s="110"/>
      <c r="AJ69" s="110"/>
      <c r="AK69" s="110"/>
      <c r="AL69" s="110"/>
      <c r="AM69" s="110"/>
      <c r="AN69" s="110"/>
      <c r="AO69" s="110"/>
      <c r="AP69" s="110"/>
      <c r="AQ69" s="111"/>
      <c r="AR69" s="110"/>
      <c r="AS69" s="111"/>
      <c r="AT69" s="112"/>
      <c r="AU69" s="112"/>
      <c r="AV69" s="112"/>
      <c r="AW69" s="112"/>
      <c r="AX69" s="112"/>
      <c r="AY69" s="112"/>
      <c r="AZ69" s="112"/>
      <c r="BA69" s="112"/>
      <c r="BB69" s="112"/>
      <c r="BC69" s="112"/>
      <c r="BD69" s="113"/>
      <c r="BE69" s="114"/>
      <c r="BF69" s="115"/>
      <c r="BG69" s="115"/>
      <c r="BH69" s="116" t="str">
        <f t="shared" si="4"/>
        <v/>
      </c>
      <c r="BI69" s="116" t="str">
        <f t="shared" si="5"/>
        <v/>
      </c>
      <c r="BJ69" s="116" t="str">
        <f>IF(AND($A69&lt;&gt;"",$D69=반별조회!$C$5),COUNTIFS($A$3:$A69,"&lt;&gt;",$D$3:$D69,반별조회!$C$5),"")</f>
        <v/>
      </c>
    </row>
    <row r="70" spans="1:62" ht="15" customHeight="1">
      <c r="A70" s="102"/>
      <c r="B70" s="102"/>
      <c r="C70" s="102"/>
      <c r="D70" s="101"/>
      <c r="E70" s="105"/>
      <c r="F70" s="105" t="str">
        <f t="shared" ca="1" si="3"/>
        <v/>
      </c>
      <c r="G70" s="105"/>
      <c r="H70" s="105"/>
      <c r="I70" s="105"/>
      <c r="J70" s="105"/>
      <c r="K70" s="105"/>
      <c r="L70" s="105"/>
      <c r="M70" s="105"/>
      <c r="N70" s="105"/>
      <c r="O70" s="105"/>
      <c r="P70" s="106"/>
      <c r="Q70" s="106"/>
      <c r="R70" s="106"/>
      <c r="S70" s="107"/>
      <c r="T70" s="106"/>
      <c r="U70" s="106"/>
      <c r="V70" s="108"/>
      <c r="W70" s="108"/>
      <c r="X70" s="108"/>
      <c r="Y70" s="108"/>
      <c r="Z70" s="109"/>
      <c r="AA70" s="109"/>
      <c r="AB70" s="109"/>
      <c r="AC70" s="109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1"/>
      <c r="AR70" s="110"/>
      <c r="AS70" s="111"/>
      <c r="AT70" s="112"/>
      <c r="AU70" s="112"/>
      <c r="AV70" s="112"/>
      <c r="AW70" s="112"/>
      <c r="AX70" s="112"/>
      <c r="AY70" s="112"/>
      <c r="AZ70" s="112"/>
      <c r="BA70" s="112"/>
      <c r="BB70" s="112"/>
      <c r="BC70" s="112"/>
      <c r="BD70" s="113"/>
      <c r="BE70" s="114"/>
      <c r="BF70" s="115"/>
      <c r="BG70" s="115"/>
      <c r="BH70" s="116" t="str">
        <f t="shared" si="4"/>
        <v/>
      </c>
      <c r="BI70" s="116" t="str">
        <f t="shared" si="5"/>
        <v/>
      </c>
      <c r="BJ70" s="116" t="str">
        <f>IF(AND($A70&lt;&gt;"",$D70=반별조회!$C$5),COUNTIFS($A$3:$A70,"&lt;&gt;",$D$3:$D70,반별조회!$C$5),"")</f>
        <v/>
      </c>
    </row>
    <row r="71" spans="1:62" ht="15" customHeight="1">
      <c r="A71" s="102"/>
      <c r="B71" s="102"/>
      <c r="C71" s="102"/>
      <c r="D71" s="101"/>
      <c r="E71" s="105"/>
      <c r="F71" s="105" t="str">
        <f t="shared" ca="1" si="3"/>
        <v/>
      </c>
      <c r="G71" s="105"/>
      <c r="H71" s="105"/>
      <c r="I71" s="105"/>
      <c r="J71" s="105"/>
      <c r="K71" s="105"/>
      <c r="L71" s="105"/>
      <c r="M71" s="105"/>
      <c r="N71" s="105"/>
      <c r="O71" s="105"/>
      <c r="P71" s="106"/>
      <c r="Q71" s="106"/>
      <c r="R71" s="106"/>
      <c r="S71" s="107"/>
      <c r="T71" s="106"/>
      <c r="U71" s="106"/>
      <c r="V71" s="108"/>
      <c r="W71" s="108"/>
      <c r="X71" s="108"/>
      <c r="Y71" s="108"/>
      <c r="Z71" s="109"/>
      <c r="AA71" s="109"/>
      <c r="AB71" s="109"/>
      <c r="AC71" s="109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0"/>
      <c r="AQ71" s="111"/>
      <c r="AR71" s="110"/>
      <c r="AS71" s="111"/>
      <c r="AT71" s="112"/>
      <c r="AU71" s="112"/>
      <c r="AV71" s="112"/>
      <c r="AW71" s="112"/>
      <c r="AX71" s="112"/>
      <c r="AY71" s="112"/>
      <c r="AZ71" s="112"/>
      <c r="BA71" s="112"/>
      <c r="BB71" s="112"/>
      <c r="BC71" s="112"/>
      <c r="BD71" s="113"/>
      <c r="BE71" s="114"/>
      <c r="BF71" s="115"/>
      <c r="BG71" s="115"/>
      <c r="BH71" s="116" t="str">
        <f t="shared" si="4"/>
        <v/>
      </c>
      <c r="BI71" s="116" t="str">
        <f t="shared" si="5"/>
        <v/>
      </c>
      <c r="BJ71" s="116" t="str">
        <f>IF(AND($A71&lt;&gt;"",$D71=반별조회!$C$5),COUNTIFS($A$3:$A71,"&lt;&gt;",$D$3:$D71,반별조회!$C$5),"")</f>
        <v/>
      </c>
    </row>
    <row r="72" spans="1:62" ht="15" customHeight="1">
      <c r="A72" s="102"/>
      <c r="B72" s="102"/>
      <c r="C72" s="102"/>
      <c r="D72" s="101"/>
      <c r="E72" s="105"/>
      <c r="F72" s="105" t="str">
        <f t="shared" ca="1" si="3"/>
        <v/>
      </c>
      <c r="G72" s="105"/>
      <c r="H72" s="105"/>
      <c r="I72" s="105"/>
      <c r="J72" s="105"/>
      <c r="K72" s="105"/>
      <c r="L72" s="105"/>
      <c r="M72" s="105"/>
      <c r="N72" s="105"/>
      <c r="O72" s="105"/>
      <c r="P72" s="106"/>
      <c r="Q72" s="106"/>
      <c r="R72" s="106"/>
      <c r="S72" s="107"/>
      <c r="T72" s="106"/>
      <c r="U72" s="106"/>
      <c r="V72" s="108"/>
      <c r="W72" s="108"/>
      <c r="X72" s="108"/>
      <c r="Y72" s="108"/>
      <c r="Z72" s="109"/>
      <c r="AA72" s="109"/>
      <c r="AB72" s="109"/>
      <c r="AC72" s="109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0"/>
      <c r="AQ72" s="111"/>
      <c r="AR72" s="110"/>
      <c r="AS72" s="111"/>
      <c r="AT72" s="112"/>
      <c r="AU72" s="112"/>
      <c r="AV72" s="112"/>
      <c r="AW72" s="112"/>
      <c r="AX72" s="112"/>
      <c r="AY72" s="112"/>
      <c r="AZ72" s="112"/>
      <c r="BA72" s="112"/>
      <c r="BB72" s="112"/>
      <c r="BC72" s="112"/>
      <c r="BD72" s="113"/>
      <c r="BE72" s="114"/>
      <c r="BF72" s="115"/>
      <c r="BG72" s="115"/>
      <c r="BH72" s="116" t="str">
        <f t="shared" si="4"/>
        <v/>
      </c>
      <c r="BI72" s="116" t="str">
        <f t="shared" si="5"/>
        <v/>
      </c>
      <c r="BJ72" s="116" t="str">
        <f>IF(AND($A72&lt;&gt;"",$D72=반별조회!$C$5),COUNTIFS($A$3:$A72,"&lt;&gt;",$D$3:$D72,반별조회!$C$5),"")</f>
        <v/>
      </c>
    </row>
    <row r="73" spans="1:62" ht="15" customHeight="1">
      <c r="A73" s="102"/>
      <c r="B73" s="102"/>
      <c r="C73" s="102"/>
      <c r="D73" s="101"/>
      <c r="E73" s="105"/>
      <c r="F73" s="105" t="str">
        <f t="shared" ca="1" si="3"/>
        <v/>
      </c>
      <c r="G73" s="105"/>
      <c r="H73" s="105"/>
      <c r="I73" s="105"/>
      <c r="J73" s="105"/>
      <c r="K73" s="105"/>
      <c r="L73" s="105"/>
      <c r="M73" s="105"/>
      <c r="N73" s="105"/>
      <c r="O73" s="105"/>
      <c r="P73" s="106"/>
      <c r="Q73" s="106"/>
      <c r="R73" s="106"/>
      <c r="S73" s="107"/>
      <c r="T73" s="106"/>
      <c r="U73" s="106"/>
      <c r="V73" s="108"/>
      <c r="W73" s="108"/>
      <c r="X73" s="108"/>
      <c r="Y73" s="108"/>
      <c r="Z73" s="109"/>
      <c r="AA73" s="109"/>
      <c r="AB73" s="109"/>
      <c r="AC73" s="109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0"/>
      <c r="AQ73" s="111"/>
      <c r="AR73" s="110"/>
      <c r="AS73" s="111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3"/>
      <c r="BE73" s="114"/>
      <c r="BF73" s="115"/>
      <c r="BG73" s="115"/>
      <c r="BH73" s="116" t="str">
        <f t="shared" si="4"/>
        <v/>
      </c>
      <c r="BI73" s="116" t="str">
        <f t="shared" si="5"/>
        <v/>
      </c>
      <c r="BJ73" s="116" t="str">
        <f>IF(AND($A73&lt;&gt;"",$D73=반별조회!$C$5),COUNTIFS($A$3:$A73,"&lt;&gt;",$D$3:$D73,반별조회!$C$5),"")</f>
        <v/>
      </c>
    </row>
    <row r="74" spans="1:62" ht="15" customHeight="1">
      <c r="A74" s="102"/>
      <c r="B74" s="102"/>
      <c r="C74" s="102"/>
      <c r="D74" s="101"/>
      <c r="E74" s="105"/>
      <c r="F74" s="105" t="str">
        <f t="shared" ca="1" si="3"/>
        <v/>
      </c>
      <c r="G74" s="105"/>
      <c r="H74" s="105"/>
      <c r="I74" s="105"/>
      <c r="J74" s="105"/>
      <c r="K74" s="105"/>
      <c r="L74" s="105"/>
      <c r="M74" s="105"/>
      <c r="N74" s="105"/>
      <c r="O74" s="105"/>
      <c r="P74" s="106"/>
      <c r="Q74" s="106"/>
      <c r="R74" s="106"/>
      <c r="S74" s="107"/>
      <c r="T74" s="106"/>
      <c r="U74" s="106"/>
      <c r="V74" s="108"/>
      <c r="W74" s="108"/>
      <c r="X74" s="108"/>
      <c r="Y74" s="108"/>
      <c r="Z74" s="109"/>
      <c r="AA74" s="109"/>
      <c r="AB74" s="109"/>
      <c r="AC74" s="109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0"/>
      <c r="AQ74" s="111"/>
      <c r="AR74" s="110"/>
      <c r="AS74" s="111"/>
      <c r="AT74" s="112"/>
      <c r="AU74" s="112"/>
      <c r="AV74" s="112"/>
      <c r="AW74" s="112"/>
      <c r="AX74" s="112"/>
      <c r="AY74" s="112"/>
      <c r="AZ74" s="112"/>
      <c r="BA74" s="112"/>
      <c r="BB74" s="112"/>
      <c r="BC74" s="112"/>
      <c r="BD74" s="113"/>
      <c r="BE74" s="114"/>
      <c r="BF74" s="115"/>
      <c r="BG74" s="115"/>
      <c r="BH74" s="116" t="str">
        <f t="shared" si="4"/>
        <v/>
      </c>
      <c r="BI74" s="116" t="str">
        <f t="shared" si="5"/>
        <v/>
      </c>
      <c r="BJ74" s="116" t="str">
        <f>IF(AND($A74&lt;&gt;"",$D74=반별조회!$C$5),COUNTIFS($A$3:$A74,"&lt;&gt;",$D$3:$D74,반별조회!$C$5),"")</f>
        <v/>
      </c>
    </row>
    <row r="75" spans="1:62" ht="15" customHeight="1">
      <c r="A75" s="102"/>
      <c r="B75" s="102"/>
      <c r="C75" s="102"/>
      <c r="D75" s="101"/>
      <c r="E75" s="105"/>
      <c r="F75" s="105" t="str">
        <f t="shared" ca="1" si="3"/>
        <v/>
      </c>
      <c r="G75" s="105"/>
      <c r="H75" s="105"/>
      <c r="I75" s="105"/>
      <c r="J75" s="105"/>
      <c r="K75" s="105"/>
      <c r="L75" s="105"/>
      <c r="M75" s="105"/>
      <c r="N75" s="105"/>
      <c r="O75" s="105"/>
      <c r="P75" s="106"/>
      <c r="Q75" s="106"/>
      <c r="R75" s="106"/>
      <c r="S75" s="107"/>
      <c r="T75" s="106"/>
      <c r="U75" s="106"/>
      <c r="V75" s="108"/>
      <c r="W75" s="108"/>
      <c r="X75" s="108"/>
      <c r="Y75" s="108"/>
      <c r="Z75" s="109"/>
      <c r="AA75" s="109"/>
      <c r="AB75" s="109"/>
      <c r="AC75" s="109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0"/>
      <c r="AQ75" s="111"/>
      <c r="AR75" s="110"/>
      <c r="AS75" s="111"/>
      <c r="AT75" s="112"/>
      <c r="AU75" s="112"/>
      <c r="AV75" s="112"/>
      <c r="AW75" s="112"/>
      <c r="AX75" s="112"/>
      <c r="AY75" s="112"/>
      <c r="AZ75" s="112"/>
      <c r="BA75" s="112"/>
      <c r="BB75" s="112"/>
      <c r="BC75" s="112"/>
      <c r="BD75" s="113"/>
      <c r="BE75" s="114"/>
      <c r="BF75" s="115"/>
      <c r="BG75" s="115"/>
      <c r="BH75" s="116" t="str">
        <f t="shared" si="4"/>
        <v/>
      </c>
      <c r="BI75" s="116" t="str">
        <f t="shared" si="5"/>
        <v/>
      </c>
      <c r="BJ75" s="116" t="str">
        <f>IF(AND($A75&lt;&gt;"",$D75=반별조회!$C$5),COUNTIFS($A$3:$A75,"&lt;&gt;",$D$3:$D75,반별조회!$C$5),"")</f>
        <v/>
      </c>
    </row>
    <row r="76" spans="1:62" ht="15" customHeight="1">
      <c r="A76" s="102"/>
      <c r="B76" s="102"/>
      <c r="C76" s="102"/>
      <c r="D76" s="101"/>
      <c r="E76" s="105"/>
      <c r="F76" s="105" t="str">
        <f t="shared" ca="1" si="3"/>
        <v/>
      </c>
      <c r="G76" s="105"/>
      <c r="H76" s="105"/>
      <c r="I76" s="105"/>
      <c r="J76" s="105"/>
      <c r="K76" s="105"/>
      <c r="L76" s="105"/>
      <c r="M76" s="105"/>
      <c r="N76" s="105"/>
      <c r="O76" s="105"/>
      <c r="P76" s="106"/>
      <c r="Q76" s="106"/>
      <c r="R76" s="106"/>
      <c r="S76" s="107"/>
      <c r="T76" s="106"/>
      <c r="U76" s="106"/>
      <c r="V76" s="108"/>
      <c r="W76" s="108"/>
      <c r="X76" s="108"/>
      <c r="Y76" s="108"/>
      <c r="Z76" s="109"/>
      <c r="AA76" s="109"/>
      <c r="AB76" s="109"/>
      <c r="AC76" s="109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1"/>
      <c r="AR76" s="110"/>
      <c r="AS76" s="111"/>
      <c r="AT76" s="112"/>
      <c r="AU76" s="112"/>
      <c r="AV76" s="112"/>
      <c r="AW76" s="112"/>
      <c r="AX76" s="112"/>
      <c r="AY76" s="112"/>
      <c r="AZ76" s="112"/>
      <c r="BA76" s="112"/>
      <c r="BB76" s="112"/>
      <c r="BC76" s="112"/>
      <c r="BD76" s="113"/>
      <c r="BE76" s="114"/>
      <c r="BF76" s="115"/>
      <c r="BG76" s="115"/>
      <c r="BH76" s="116" t="str">
        <f t="shared" si="4"/>
        <v/>
      </c>
      <c r="BI76" s="116" t="str">
        <f t="shared" si="5"/>
        <v/>
      </c>
      <c r="BJ76" s="116" t="str">
        <f>IF(AND($A76&lt;&gt;"",$D76=반별조회!$C$5),COUNTIFS($A$3:$A76,"&lt;&gt;",$D$3:$D76,반별조회!$C$5),"")</f>
        <v/>
      </c>
    </row>
    <row r="77" spans="1:62" ht="15" customHeight="1">
      <c r="A77" s="102"/>
      <c r="B77" s="102"/>
      <c r="C77" s="102"/>
      <c r="D77" s="101"/>
      <c r="E77" s="105"/>
      <c r="F77" s="105" t="str">
        <f t="shared" ca="1" si="3"/>
        <v/>
      </c>
      <c r="G77" s="105"/>
      <c r="H77" s="105"/>
      <c r="I77" s="105"/>
      <c r="J77" s="105"/>
      <c r="K77" s="105"/>
      <c r="L77" s="105"/>
      <c r="M77" s="105"/>
      <c r="N77" s="105"/>
      <c r="O77" s="105"/>
      <c r="P77" s="106"/>
      <c r="Q77" s="106"/>
      <c r="R77" s="106"/>
      <c r="S77" s="107"/>
      <c r="T77" s="106"/>
      <c r="U77" s="106"/>
      <c r="V77" s="108"/>
      <c r="W77" s="108"/>
      <c r="X77" s="108"/>
      <c r="Y77" s="108"/>
      <c r="Z77" s="109"/>
      <c r="AA77" s="109"/>
      <c r="AB77" s="109"/>
      <c r="AC77" s="109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1"/>
      <c r="AR77" s="110"/>
      <c r="AS77" s="111"/>
      <c r="AT77" s="112"/>
      <c r="AU77" s="112"/>
      <c r="AV77" s="112"/>
      <c r="AW77" s="112"/>
      <c r="AX77" s="112"/>
      <c r="AY77" s="112"/>
      <c r="AZ77" s="112"/>
      <c r="BA77" s="112"/>
      <c r="BB77" s="112"/>
      <c r="BC77" s="112"/>
      <c r="BD77" s="113"/>
      <c r="BE77" s="114"/>
      <c r="BF77" s="115"/>
      <c r="BG77" s="115"/>
      <c r="BH77" s="116" t="str">
        <f t="shared" si="4"/>
        <v/>
      </c>
      <c r="BI77" s="116" t="str">
        <f t="shared" si="5"/>
        <v/>
      </c>
      <c r="BJ77" s="116" t="str">
        <f>IF(AND($A77&lt;&gt;"",$D77=반별조회!$C$5),COUNTIFS($A$3:$A77,"&lt;&gt;",$D$3:$D77,반별조회!$C$5),"")</f>
        <v/>
      </c>
    </row>
    <row r="78" spans="1:62" ht="15" customHeight="1">
      <c r="A78" s="102"/>
      <c r="B78" s="102"/>
      <c r="C78" s="102"/>
      <c r="D78" s="101"/>
      <c r="E78" s="105"/>
      <c r="F78" s="105" t="str">
        <f t="shared" ca="1" si="3"/>
        <v/>
      </c>
      <c r="G78" s="105"/>
      <c r="H78" s="105"/>
      <c r="I78" s="105"/>
      <c r="J78" s="105"/>
      <c r="K78" s="105"/>
      <c r="L78" s="105"/>
      <c r="M78" s="105"/>
      <c r="N78" s="105"/>
      <c r="O78" s="105"/>
      <c r="P78" s="106"/>
      <c r="Q78" s="106"/>
      <c r="R78" s="106"/>
      <c r="S78" s="107"/>
      <c r="T78" s="106"/>
      <c r="U78" s="106"/>
      <c r="V78" s="108"/>
      <c r="W78" s="108"/>
      <c r="X78" s="108"/>
      <c r="Y78" s="108"/>
      <c r="Z78" s="109"/>
      <c r="AA78" s="109"/>
      <c r="AB78" s="109"/>
      <c r="AC78" s="109"/>
      <c r="AD78" s="110"/>
      <c r="AE78" s="110"/>
      <c r="AF78" s="110"/>
      <c r="AG78" s="110"/>
      <c r="AH78" s="110"/>
      <c r="AI78" s="110"/>
      <c r="AJ78" s="110"/>
      <c r="AK78" s="110"/>
      <c r="AL78" s="110"/>
      <c r="AM78" s="110"/>
      <c r="AN78" s="110"/>
      <c r="AO78" s="110"/>
      <c r="AP78" s="110"/>
      <c r="AQ78" s="111"/>
      <c r="AR78" s="110"/>
      <c r="AS78" s="111"/>
      <c r="AT78" s="112"/>
      <c r="AU78" s="112"/>
      <c r="AV78" s="112"/>
      <c r="AW78" s="112"/>
      <c r="AX78" s="112"/>
      <c r="AY78" s="112"/>
      <c r="AZ78" s="112"/>
      <c r="BA78" s="112"/>
      <c r="BB78" s="112"/>
      <c r="BC78" s="112"/>
      <c r="BD78" s="113"/>
      <c r="BE78" s="114"/>
      <c r="BF78" s="115"/>
      <c r="BG78" s="115"/>
      <c r="BH78" s="116" t="str">
        <f t="shared" si="4"/>
        <v/>
      </c>
      <c r="BI78" s="116" t="str">
        <f t="shared" si="5"/>
        <v/>
      </c>
      <c r="BJ78" s="116" t="str">
        <f>IF(AND($A78&lt;&gt;"",$D78=반별조회!$C$5),COUNTIFS($A$3:$A78,"&lt;&gt;",$D$3:$D78,반별조회!$C$5),"")</f>
        <v/>
      </c>
    </row>
    <row r="79" spans="1:62" ht="15" customHeight="1">
      <c r="A79" s="102"/>
      <c r="B79" s="102"/>
      <c r="C79" s="102"/>
      <c r="D79" s="101"/>
      <c r="E79" s="105"/>
      <c r="F79" s="105" t="str">
        <f t="shared" ca="1" si="3"/>
        <v/>
      </c>
      <c r="G79" s="105"/>
      <c r="H79" s="105"/>
      <c r="I79" s="105"/>
      <c r="J79" s="105"/>
      <c r="K79" s="105"/>
      <c r="L79" s="105"/>
      <c r="M79" s="105"/>
      <c r="N79" s="105"/>
      <c r="O79" s="105"/>
      <c r="P79" s="106"/>
      <c r="Q79" s="106"/>
      <c r="R79" s="106"/>
      <c r="S79" s="107"/>
      <c r="T79" s="106"/>
      <c r="U79" s="106"/>
      <c r="V79" s="108"/>
      <c r="W79" s="108"/>
      <c r="X79" s="108"/>
      <c r="Y79" s="108"/>
      <c r="Z79" s="109"/>
      <c r="AA79" s="109"/>
      <c r="AB79" s="109"/>
      <c r="AC79" s="109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1"/>
      <c r="AR79" s="110"/>
      <c r="AS79" s="111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3"/>
      <c r="BE79" s="114"/>
      <c r="BF79" s="115"/>
      <c r="BG79" s="115"/>
      <c r="BH79" s="116" t="str">
        <f t="shared" si="4"/>
        <v/>
      </c>
      <c r="BI79" s="116" t="str">
        <f t="shared" si="5"/>
        <v/>
      </c>
      <c r="BJ79" s="116" t="str">
        <f>IF(AND($A79&lt;&gt;"",$D79=반별조회!$C$5),COUNTIFS($A$3:$A79,"&lt;&gt;",$D$3:$D79,반별조회!$C$5),"")</f>
        <v/>
      </c>
    </row>
    <row r="80" spans="1:62" ht="15" customHeight="1">
      <c r="A80" s="102"/>
      <c r="B80" s="102"/>
      <c r="C80" s="102"/>
      <c r="D80" s="101"/>
      <c r="E80" s="105"/>
      <c r="F80" s="105" t="str">
        <f t="shared" ca="1" si="3"/>
        <v/>
      </c>
      <c r="G80" s="105"/>
      <c r="H80" s="105"/>
      <c r="I80" s="105"/>
      <c r="J80" s="105"/>
      <c r="K80" s="105"/>
      <c r="L80" s="105"/>
      <c r="M80" s="105"/>
      <c r="N80" s="105"/>
      <c r="O80" s="105"/>
      <c r="P80" s="106"/>
      <c r="Q80" s="106"/>
      <c r="R80" s="106"/>
      <c r="S80" s="107"/>
      <c r="T80" s="106"/>
      <c r="U80" s="106"/>
      <c r="V80" s="108"/>
      <c r="W80" s="108"/>
      <c r="X80" s="108"/>
      <c r="Y80" s="108"/>
      <c r="Z80" s="109"/>
      <c r="AA80" s="109"/>
      <c r="AB80" s="109"/>
      <c r="AC80" s="109"/>
      <c r="AD80" s="110"/>
      <c r="AE80" s="110"/>
      <c r="AF80" s="110"/>
      <c r="AG80" s="110"/>
      <c r="AH80" s="110"/>
      <c r="AI80" s="110"/>
      <c r="AJ80" s="110"/>
      <c r="AK80" s="110"/>
      <c r="AL80" s="110"/>
      <c r="AM80" s="110"/>
      <c r="AN80" s="110"/>
      <c r="AO80" s="110"/>
      <c r="AP80" s="110"/>
      <c r="AQ80" s="111"/>
      <c r="AR80" s="110"/>
      <c r="AS80" s="111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3"/>
      <c r="BE80" s="114"/>
      <c r="BF80" s="115"/>
      <c r="BG80" s="115"/>
      <c r="BH80" s="116" t="str">
        <f t="shared" si="4"/>
        <v/>
      </c>
      <c r="BI80" s="116" t="str">
        <f t="shared" si="5"/>
        <v/>
      </c>
      <c r="BJ80" s="116" t="str">
        <f>IF(AND($A80&lt;&gt;"",$D80=반별조회!$C$5),COUNTIFS($A$3:$A80,"&lt;&gt;",$D$3:$D80,반별조회!$C$5),"")</f>
        <v/>
      </c>
    </row>
    <row r="81" spans="1:62" ht="15" customHeight="1">
      <c r="A81" s="102"/>
      <c r="B81" s="102"/>
      <c r="C81" s="102"/>
      <c r="D81" s="101"/>
      <c r="E81" s="105"/>
      <c r="F81" s="105" t="str">
        <f t="shared" ca="1" si="3"/>
        <v/>
      </c>
      <c r="G81" s="105"/>
      <c r="H81" s="105"/>
      <c r="I81" s="105"/>
      <c r="J81" s="105"/>
      <c r="K81" s="105"/>
      <c r="L81" s="105"/>
      <c r="M81" s="105"/>
      <c r="N81" s="105"/>
      <c r="O81" s="105"/>
      <c r="P81" s="106"/>
      <c r="Q81" s="106"/>
      <c r="R81" s="106"/>
      <c r="S81" s="107"/>
      <c r="T81" s="106"/>
      <c r="U81" s="106"/>
      <c r="V81" s="108"/>
      <c r="W81" s="108"/>
      <c r="X81" s="108"/>
      <c r="Y81" s="108"/>
      <c r="Z81" s="109"/>
      <c r="AA81" s="109"/>
      <c r="AB81" s="109"/>
      <c r="AC81" s="109"/>
      <c r="AD81" s="110"/>
      <c r="AE81" s="110"/>
      <c r="AF81" s="110"/>
      <c r="AG81" s="110"/>
      <c r="AH81" s="110"/>
      <c r="AI81" s="110"/>
      <c r="AJ81" s="110"/>
      <c r="AK81" s="110"/>
      <c r="AL81" s="110"/>
      <c r="AM81" s="110"/>
      <c r="AN81" s="110"/>
      <c r="AO81" s="110"/>
      <c r="AP81" s="110"/>
      <c r="AQ81" s="111"/>
      <c r="AR81" s="110"/>
      <c r="AS81" s="111"/>
      <c r="AT81" s="112"/>
      <c r="AU81" s="112"/>
      <c r="AV81" s="112"/>
      <c r="AW81" s="112"/>
      <c r="AX81" s="112"/>
      <c r="AY81" s="112"/>
      <c r="AZ81" s="112"/>
      <c r="BA81" s="112"/>
      <c r="BB81" s="112"/>
      <c r="BC81" s="112"/>
      <c r="BD81" s="113"/>
      <c r="BE81" s="114"/>
      <c r="BF81" s="115"/>
      <c r="BG81" s="115"/>
      <c r="BH81" s="116" t="str">
        <f t="shared" si="4"/>
        <v/>
      </c>
      <c r="BI81" s="116" t="str">
        <f t="shared" si="5"/>
        <v/>
      </c>
      <c r="BJ81" s="116" t="str">
        <f>IF(AND($A81&lt;&gt;"",$D81=반별조회!$C$5),COUNTIFS($A$3:$A81,"&lt;&gt;",$D$3:$D81,반별조회!$C$5),"")</f>
        <v/>
      </c>
    </row>
    <row r="82" spans="1:62" ht="15" customHeight="1">
      <c r="A82" s="102"/>
      <c r="B82" s="102"/>
      <c r="C82" s="102"/>
      <c r="D82" s="101"/>
      <c r="E82" s="105"/>
      <c r="F82" s="105" t="str">
        <f t="shared" ca="1" si="3"/>
        <v/>
      </c>
      <c r="G82" s="105"/>
      <c r="H82" s="105"/>
      <c r="I82" s="105"/>
      <c r="J82" s="105"/>
      <c r="K82" s="105"/>
      <c r="L82" s="105"/>
      <c r="M82" s="105"/>
      <c r="N82" s="105"/>
      <c r="O82" s="105"/>
      <c r="P82" s="106"/>
      <c r="Q82" s="106"/>
      <c r="R82" s="106"/>
      <c r="S82" s="107"/>
      <c r="T82" s="106"/>
      <c r="U82" s="106"/>
      <c r="V82" s="108"/>
      <c r="W82" s="108"/>
      <c r="X82" s="108"/>
      <c r="Y82" s="108"/>
      <c r="Z82" s="109"/>
      <c r="AA82" s="109"/>
      <c r="AB82" s="109"/>
      <c r="AC82" s="109"/>
      <c r="AD82" s="110"/>
      <c r="AE82" s="110"/>
      <c r="AF82" s="110"/>
      <c r="AG82" s="110"/>
      <c r="AH82" s="110"/>
      <c r="AI82" s="110"/>
      <c r="AJ82" s="110"/>
      <c r="AK82" s="110"/>
      <c r="AL82" s="110"/>
      <c r="AM82" s="110"/>
      <c r="AN82" s="110"/>
      <c r="AO82" s="110"/>
      <c r="AP82" s="110"/>
      <c r="AQ82" s="111"/>
      <c r="AR82" s="110"/>
      <c r="AS82" s="111"/>
      <c r="AT82" s="112"/>
      <c r="AU82" s="112"/>
      <c r="AV82" s="112"/>
      <c r="AW82" s="112"/>
      <c r="AX82" s="112"/>
      <c r="AY82" s="112"/>
      <c r="AZ82" s="112"/>
      <c r="BA82" s="112"/>
      <c r="BB82" s="112"/>
      <c r="BC82" s="112"/>
      <c r="BD82" s="113"/>
      <c r="BE82" s="114"/>
      <c r="BF82" s="115"/>
      <c r="BG82" s="115"/>
      <c r="BH82" s="116" t="str">
        <f t="shared" si="4"/>
        <v/>
      </c>
      <c r="BI82" s="116" t="str">
        <f t="shared" si="5"/>
        <v/>
      </c>
      <c r="BJ82" s="116" t="str">
        <f>IF(AND($A82&lt;&gt;"",$D82=반별조회!$C$5),COUNTIFS($A$3:$A82,"&lt;&gt;",$D$3:$D82,반별조회!$C$5),"")</f>
        <v/>
      </c>
    </row>
    <row r="83" spans="1:62" ht="15" customHeight="1">
      <c r="A83" s="102"/>
      <c r="B83" s="102"/>
      <c r="C83" s="102"/>
      <c r="D83" s="101"/>
      <c r="E83" s="105"/>
      <c r="F83" s="105" t="str">
        <f t="shared" ca="1" si="3"/>
        <v/>
      </c>
      <c r="G83" s="105"/>
      <c r="H83" s="105"/>
      <c r="I83" s="105"/>
      <c r="J83" s="105"/>
      <c r="K83" s="105"/>
      <c r="L83" s="105"/>
      <c r="M83" s="105"/>
      <c r="N83" s="105"/>
      <c r="O83" s="105"/>
      <c r="P83" s="106"/>
      <c r="Q83" s="106"/>
      <c r="R83" s="106"/>
      <c r="S83" s="107"/>
      <c r="T83" s="106"/>
      <c r="U83" s="106"/>
      <c r="V83" s="108"/>
      <c r="W83" s="108"/>
      <c r="X83" s="108"/>
      <c r="Y83" s="108"/>
      <c r="Z83" s="109"/>
      <c r="AA83" s="109"/>
      <c r="AB83" s="109"/>
      <c r="AC83" s="109"/>
      <c r="AD83" s="110"/>
      <c r="AE83" s="110"/>
      <c r="AF83" s="110"/>
      <c r="AG83" s="110"/>
      <c r="AH83" s="110"/>
      <c r="AI83" s="110"/>
      <c r="AJ83" s="110"/>
      <c r="AK83" s="110"/>
      <c r="AL83" s="110"/>
      <c r="AM83" s="110"/>
      <c r="AN83" s="110"/>
      <c r="AO83" s="110"/>
      <c r="AP83" s="110"/>
      <c r="AQ83" s="111"/>
      <c r="AR83" s="110"/>
      <c r="AS83" s="111"/>
      <c r="AT83" s="112"/>
      <c r="AU83" s="112"/>
      <c r="AV83" s="112"/>
      <c r="AW83" s="112"/>
      <c r="AX83" s="112"/>
      <c r="AY83" s="112"/>
      <c r="AZ83" s="112"/>
      <c r="BA83" s="112"/>
      <c r="BB83" s="112"/>
      <c r="BC83" s="112"/>
      <c r="BD83" s="113"/>
      <c r="BE83" s="114"/>
      <c r="BF83" s="115"/>
      <c r="BG83" s="115"/>
      <c r="BH83" s="116" t="str">
        <f t="shared" si="4"/>
        <v/>
      </c>
      <c r="BI83" s="116" t="str">
        <f t="shared" si="5"/>
        <v/>
      </c>
      <c r="BJ83" s="116" t="str">
        <f>IF(AND($A83&lt;&gt;"",$D83=반별조회!$C$5),COUNTIFS($A$3:$A83,"&lt;&gt;",$D$3:$D83,반별조회!$C$5),"")</f>
        <v/>
      </c>
    </row>
    <row r="84" spans="1:62" ht="15" customHeight="1">
      <c r="A84" s="102"/>
      <c r="B84" s="102"/>
      <c r="C84" s="102"/>
      <c r="D84" s="101"/>
      <c r="E84" s="105"/>
      <c r="F84" s="105" t="str">
        <f t="shared" ca="1" si="3"/>
        <v/>
      </c>
      <c r="G84" s="105"/>
      <c r="H84" s="105"/>
      <c r="I84" s="105"/>
      <c r="J84" s="105"/>
      <c r="K84" s="105"/>
      <c r="L84" s="105"/>
      <c r="M84" s="105"/>
      <c r="N84" s="105"/>
      <c r="O84" s="105"/>
      <c r="P84" s="106"/>
      <c r="Q84" s="106"/>
      <c r="R84" s="106"/>
      <c r="S84" s="107"/>
      <c r="T84" s="106"/>
      <c r="U84" s="106"/>
      <c r="V84" s="108"/>
      <c r="W84" s="108"/>
      <c r="X84" s="108"/>
      <c r="Y84" s="108"/>
      <c r="Z84" s="109"/>
      <c r="AA84" s="109"/>
      <c r="AB84" s="109"/>
      <c r="AC84" s="109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1"/>
      <c r="AR84" s="110"/>
      <c r="AS84" s="111"/>
      <c r="AT84" s="112"/>
      <c r="AU84" s="112"/>
      <c r="AV84" s="112"/>
      <c r="AW84" s="112"/>
      <c r="AX84" s="112"/>
      <c r="AY84" s="112"/>
      <c r="AZ84" s="112"/>
      <c r="BA84" s="112"/>
      <c r="BB84" s="112"/>
      <c r="BC84" s="112"/>
      <c r="BD84" s="113"/>
      <c r="BE84" s="114"/>
      <c r="BF84" s="115"/>
      <c r="BG84" s="115"/>
      <c r="BH84" s="116" t="str">
        <f t="shared" si="4"/>
        <v/>
      </c>
      <c r="BI84" s="116" t="str">
        <f t="shared" si="5"/>
        <v/>
      </c>
      <c r="BJ84" s="116" t="str">
        <f>IF(AND($A84&lt;&gt;"",$D84=반별조회!$C$5),COUNTIFS($A$3:$A84,"&lt;&gt;",$D$3:$D84,반별조회!$C$5),"")</f>
        <v/>
      </c>
    </row>
    <row r="85" spans="1:62" ht="15" customHeight="1">
      <c r="A85" s="102"/>
      <c r="B85" s="102"/>
      <c r="C85" s="102"/>
      <c r="D85" s="101"/>
      <c r="E85" s="105"/>
      <c r="F85" s="105" t="str">
        <f t="shared" ca="1" si="3"/>
        <v/>
      </c>
      <c r="G85" s="105"/>
      <c r="H85" s="105"/>
      <c r="I85" s="105"/>
      <c r="J85" s="105"/>
      <c r="K85" s="105"/>
      <c r="L85" s="105"/>
      <c r="M85" s="105"/>
      <c r="N85" s="105"/>
      <c r="O85" s="105"/>
      <c r="P85" s="106"/>
      <c r="Q85" s="106"/>
      <c r="R85" s="106"/>
      <c r="S85" s="107"/>
      <c r="T85" s="106"/>
      <c r="U85" s="106"/>
      <c r="V85" s="108"/>
      <c r="W85" s="108"/>
      <c r="X85" s="108"/>
      <c r="Y85" s="108"/>
      <c r="Z85" s="109"/>
      <c r="AA85" s="109"/>
      <c r="AB85" s="109"/>
      <c r="AC85" s="109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1"/>
      <c r="AR85" s="110"/>
      <c r="AS85" s="111"/>
      <c r="AT85" s="112"/>
      <c r="AU85" s="112"/>
      <c r="AV85" s="112"/>
      <c r="AW85" s="112"/>
      <c r="AX85" s="112"/>
      <c r="AY85" s="112"/>
      <c r="AZ85" s="112"/>
      <c r="BA85" s="112"/>
      <c r="BB85" s="112"/>
      <c r="BC85" s="112"/>
      <c r="BD85" s="113"/>
      <c r="BE85" s="114"/>
      <c r="BF85" s="115"/>
      <c r="BG85" s="115"/>
      <c r="BH85" s="116" t="str">
        <f t="shared" si="4"/>
        <v/>
      </c>
      <c r="BI85" s="116" t="str">
        <f t="shared" si="5"/>
        <v/>
      </c>
      <c r="BJ85" s="116" t="str">
        <f>IF(AND($A85&lt;&gt;"",$D85=반별조회!$C$5),COUNTIFS($A$3:$A85,"&lt;&gt;",$D$3:$D85,반별조회!$C$5),"")</f>
        <v/>
      </c>
    </row>
    <row r="86" spans="1:62" ht="15" customHeight="1">
      <c r="A86" s="102"/>
      <c r="B86" s="102"/>
      <c r="C86" s="102"/>
      <c r="D86" s="101"/>
      <c r="E86" s="105"/>
      <c r="F86" s="105" t="str">
        <f t="shared" ca="1" si="3"/>
        <v/>
      </c>
      <c r="G86" s="105"/>
      <c r="H86" s="105"/>
      <c r="I86" s="105"/>
      <c r="J86" s="105"/>
      <c r="K86" s="105"/>
      <c r="L86" s="105"/>
      <c r="M86" s="105"/>
      <c r="N86" s="105"/>
      <c r="O86" s="105"/>
      <c r="P86" s="106"/>
      <c r="Q86" s="106"/>
      <c r="R86" s="106"/>
      <c r="S86" s="107"/>
      <c r="T86" s="106"/>
      <c r="U86" s="106"/>
      <c r="V86" s="108"/>
      <c r="W86" s="108"/>
      <c r="X86" s="108"/>
      <c r="Y86" s="108"/>
      <c r="Z86" s="109"/>
      <c r="AA86" s="109"/>
      <c r="AB86" s="109"/>
      <c r="AC86" s="109"/>
      <c r="AD86" s="110"/>
      <c r="AE86" s="110"/>
      <c r="AF86" s="110"/>
      <c r="AG86" s="110"/>
      <c r="AH86" s="110"/>
      <c r="AI86" s="110"/>
      <c r="AJ86" s="110"/>
      <c r="AK86" s="110"/>
      <c r="AL86" s="110"/>
      <c r="AM86" s="110"/>
      <c r="AN86" s="110"/>
      <c r="AO86" s="110"/>
      <c r="AP86" s="110"/>
      <c r="AQ86" s="111"/>
      <c r="AR86" s="110"/>
      <c r="AS86" s="111"/>
      <c r="AT86" s="112"/>
      <c r="AU86" s="112"/>
      <c r="AV86" s="112"/>
      <c r="AW86" s="112"/>
      <c r="AX86" s="112"/>
      <c r="AY86" s="112"/>
      <c r="AZ86" s="112"/>
      <c r="BA86" s="112"/>
      <c r="BB86" s="112"/>
      <c r="BC86" s="112"/>
      <c r="BD86" s="113"/>
      <c r="BE86" s="114"/>
      <c r="BF86" s="115"/>
      <c r="BG86" s="115"/>
      <c r="BH86" s="116" t="str">
        <f t="shared" si="4"/>
        <v/>
      </c>
      <c r="BI86" s="116" t="str">
        <f t="shared" si="5"/>
        <v/>
      </c>
      <c r="BJ86" s="116" t="str">
        <f>IF(AND($A86&lt;&gt;"",$D86=반별조회!$C$5),COUNTIFS($A$3:$A86,"&lt;&gt;",$D$3:$D86,반별조회!$C$5),"")</f>
        <v/>
      </c>
    </row>
    <row r="87" spans="1:62" ht="15" customHeight="1">
      <c r="A87" s="102"/>
      <c r="B87" s="102"/>
      <c r="C87" s="102"/>
      <c r="D87" s="101"/>
      <c r="E87" s="105"/>
      <c r="F87" s="105" t="str">
        <f t="shared" ca="1" si="3"/>
        <v/>
      </c>
      <c r="G87" s="105"/>
      <c r="H87" s="105"/>
      <c r="I87" s="105"/>
      <c r="J87" s="105"/>
      <c r="K87" s="105"/>
      <c r="L87" s="105"/>
      <c r="M87" s="105"/>
      <c r="N87" s="105"/>
      <c r="O87" s="105"/>
      <c r="P87" s="106"/>
      <c r="Q87" s="106"/>
      <c r="R87" s="106"/>
      <c r="S87" s="107"/>
      <c r="T87" s="106"/>
      <c r="U87" s="106"/>
      <c r="V87" s="108"/>
      <c r="W87" s="108"/>
      <c r="X87" s="108"/>
      <c r="Y87" s="108"/>
      <c r="Z87" s="109"/>
      <c r="AA87" s="109"/>
      <c r="AB87" s="109"/>
      <c r="AC87" s="109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1"/>
      <c r="AR87" s="110"/>
      <c r="AS87" s="111"/>
      <c r="AT87" s="112"/>
      <c r="AU87" s="112"/>
      <c r="AV87" s="112"/>
      <c r="AW87" s="112"/>
      <c r="AX87" s="112"/>
      <c r="AY87" s="112"/>
      <c r="AZ87" s="112"/>
      <c r="BA87" s="112"/>
      <c r="BB87" s="112"/>
      <c r="BC87" s="112"/>
      <c r="BD87" s="113"/>
      <c r="BE87" s="114"/>
      <c r="BF87" s="115"/>
      <c r="BG87" s="115"/>
      <c r="BH87" s="116" t="str">
        <f t="shared" si="4"/>
        <v/>
      </c>
      <c r="BI87" s="116" t="str">
        <f t="shared" si="5"/>
        <v/>
      </c>
      <c r="BJ87" s="116" t="str">
        <f>IF(AND($A87&lt;&gt;"",$D87=반별조회!$C$5),COUNTIFS($A$3:$A87,"&lt;&gt;",$D$3:$D87,반별조회!$C$5),"")</f>
        <v/>
      </c>
    </row>
    <row r="88" spans="1:62" ht="15" customHeight="1">
      <c r="A88" s="102"/>
      <c r="B88" s="102"/>
      <c r="C88" s="102"/>
      <c r="D88" s="101"/>
      <c r="E88" s="105"/>
      <c r="F88" s="105" t="str">
        <f t="shared" ca="1" si="3"/>
        <v/>
      </c>
      <c r="G88" s="105"/>
      <c r="H88" s="105"/>
      <c r="I88" s="105"/>
      <c r="J88" s="105"/>
      <c r="K88" s="105"/>
      <c r="L88" s="105"/>
      <c r="M88" s="105"/>
      <c r="N88" s="105"/>
      <c r="O88" s="105"/>
      <c r="P88" s="106"/>
      <c r="Q88" s="106"/>
      <c r="R88" s="106"/>
      <c r="S88" s="107"/>
      <c r="T88" s="106"/>
      <c r="U88" s="106"/>
      <c r="V88" s="108"/>
      <c r="W88" s="108"/>
      <c r="X88" s="108"/>
      <c r="Y88" s="108"/>
      <c r="Z88" s="109"/>
      <c r="AA88" s="109"/>
      <c r="AB88" s="109"/>
      <c r="AC88" s="109"/>
      <c r="AD88" s="110"/>
      <c r="AE88" s="110"/>
      <c r="AF88" s="110"/>
      <c r="AG88" s="110"/>
      <c r="AH88" s="110"/>
      <c r="AI88" s="110"/>
      <c r="AJ88" s="110"/>
      <c r="AK88" s="110"/>
      <c r="AL88" s="110"/>
      <c r="AM88" s="110"/>
      <c r="AN88" s="110"/>
      <c r="AO88" s="110"/>
      <c r="AP88" s="110"/>
      <c r="AQ88" s="111"/>
      <c r="AR88" s="110"/>
      <c r="AS88" s="111"/>
      <c r="AT88" s="112"/>
      <c r="AU88" s="112"/>
      <c r="AV88" s="112"/>
      <c r="AW88" s="112"/>
      <c r="AX88" s="112"/>
      <c r="AY88" s="112"/>
      <c r="AZ88" s="112"/>
      <c r="BA88" s="112"/>
      <c r="BB88" s="112"/>
      <c r="BC88" s="112"/>
      <c r="BD88" s="113"/>
      <c r="BE88" s="114"/>
      <c r="BF88" s="115"/>
      <c r="BG88" s="115"/>
      <c r="BH88" s="116" t="str">
        <f t="shared" si="4"/>
        <v/>
      </c>
      <c r="BI88" s="116" t="str">
        <f t="shared" si="5"/>
        <v/>
      </c>
      <c r="BJ88" s="116" t="str">
        <f>IF(AND($A88&lt;&gt;"",$D88=반별조회!$C$5),COUNTIFS($A$3:$A88,"&lt;&gt;",$D$3:$D88,반별조회!$C$5),"")</f>
        <v/>
      </c>
    </row>
    <row r="89" spans="1:62" ht="15" customHeight="1">
      <c r="A89" s="102"/>
      <c r="B89" s="102"/>
      <c r="C89" s="102"/>
      <c r="D89" s="101"/>
      <c r="E89" s="105"/>
      <c r="F89" s="105" t="str">
        <f t="shared" ca="1" si="3"/>
        <v/>
      </c>
      <c r="G89" s="105"/>
      <c r="H89" s="105"/>
      <c r="I89" s="105"/>
      <c r="J89" s="105"/>
      <c r="K89" s="105"/>
      <c r="L89" s="105"/>
      <c r="M89" s="105"/>
      <c r="N89" s="105"/>
      <c r="O89" s="105"/>
      <c r="P89" s="106"/>
      <c r="Q89" s="106"/>
      <c r="R89" s="106"/>
      <c r="S89" s="107"/>
      <c r="T89" s="106"/>
      <c r="U89" s="106"/>
      <c r="V89" s="108"/>
      <c r="W89" s="108"/>
      <c r="X89" s="108"/>
      <c r="Y89" s="108"/>
      <c r="Z89" s="109"/>
      <c r="AA89" s="109"/>
      <c r="AB89" s="109"/>
      <c r="AC89" s="109"/>
      <c r="AD89" s="110"/>
      <c r="AE89" s="110"/>
      <c r="AF89" s="110"/>
      <c r="AG89" s="110"/>
      <c r="AH89" s="110"/>
      <c r="AI89" s="110"/>
      <c r="AJ89" s="110"/>
      <c r="AK89" s="110"/>
      <c r="AL89" s="110"/>
      <c r="AM89" s="110"/>
      <c r="AN89" s="110"/>
      <c r="AO89" s="110"/>
      <c r="AP89" s="110"/>
      <c r="AQ89" s="111"/>
      <c r="AR89" s="110"/>
      <c r="AS89" s="111"/>
      <c r="AT89" s="112"/>
      <c r="AU89" s="112"/>
      <c r="AV89" s="112"/>
      <c r="AW89" s="112"/>
      <c r="AX89" s="112"/>
      <c r="AY89" s="112"/>
      <c r="AZ89" s="112"/>
      <c r="BA89" s="112"/>
      <c r="BB89" s="112"/>
      <c r="BC89" s="112"/>
      <c r="BD89" s="113"/>
      <c r="BE89" s="114"/>
      <c r="BF89" s="115"/>
      <c r="BG89" s="115"/>
      <c r="BH89" s="116" t="str">
        <f t="shared" si="4"/>
        <v/>
      </c>
      <c r="BI89" s="116" t="str">
        <f t="shared" si="5"/>
        <v/>
      </c>
      <c r="BJ89" s="116" t="str">
        <f>IF(AND($A89&lt;&gt;"",$D89=반별조회!$C$5),COUNTIFS($A$3:$A89,"&lt;&gt;",$D$3:$D89,반별조회!$C$5),"")</f>
        <v/>
      </c>
    </row>
    <row r="90" spans="1:62" ht="15" customHeight="1">
      <c r="A90" s="102"/>
      <c r="B90" s="102"/>
      <c r="C90" s="102"/>
      <c r="D90" s="101"/>
      <c r="E90" s="105"/>
      <c r="F90" s="105" t="str">
        <f t="shared" ca="1" si="3"/>
        <v/>
      </c>
      <c r="G90" s="105"/>
      <c r="H90" s="105"/>
      <c r="I90" s="105"/>
      <c r="J90" s="105"/>
      <c r="K90" s="105"/>
      <c r="L90" s="105"/>
      <c r="M90" s="105"/>
      <c r="N90" s="105"/>
      <c r="O90" s="105"/>
      <c r="P90" s="106"/>
      <c r="Q90" s="106"/>
      <c r="R90" s="106"/>
      <c r="S90" s="107"/>
      <c r="T90" s="106"/>
      <c r="U90" s="106"/>
      <c r="V90" s="108"/>
      <c r="W90" s="108"/>
      <c r="X90" s="108"/>
      <c r="Y90" s="108"/>
      <c r="Z90" s="109"/>
      <c r="AA90" s="109"/>
      <c r="AB90" s="109"/>
      <c r="AC90" s="109"/>
      <c r="AD90" s="110"/>
      <c r="AE90" s="110"/>
      <c r="AF90" s="110"/>
      <c r="AG90" s="110"/>
      <c r="AH90" s="110"/>
      <c r="AI90" s="110"/>
      <c r="AJ90" s="110"/>
      <c r="AK90" s="110"/>
      <c r="AL90" s="110"/>
      <c r="AM90" s="110"/>
      <c r="AN90" s="110"/>
      <c r="AO90" s="110"/>
      <c r="AP90" s="110"/>
      <c r="AQ90" s="111"/>
      <c r="AR90" s="110"/>
      <c r="AS90" s="111"/>
      <c r="AT90" s="112"/>
      <c r="AU90" s="112"/>
      <c r="AV90" s="112"/>
      <c r="AW90" s="112"/>
      <c r="AX90" s="112"/>
      <c r="AY90" s="112"/>
      <c r="AZ90" s="112"/>
      <c r="BA90" s="112"/>
      <c r="BB90" s="112"/>
      <c r="BC90" s="112"/>
      <c r="BD90" s="113"/>
      <c r="BE90" s="114"/>
      <c r="BF90" s="115"/>
      <c r="BG90" s="115"/>
      <c r="BH90" s="116" t="str">
        <f t="shared" si="4"/>
        <v/>
      </c>
      <c r="BI90" s="116" t="str">
        <f t="shared" si="5"/>
        <v/>
      </c>
      <c r="BJ90" s="116" t="str">
        <f>IF(AND($A90&lt;&gt;"",$D90=반별조회!$C$5),COUNTIFS($A$3:$A90,"&lt;&gt;",$D$3:$D90,반별조회!$C$5),"")</f>
        <v/>
      </c>
    </row>
    <row r="91" spans="1:62" ht="15" customHeight="1">
      <c r="A91" s="102"/>
      <c r="B91" s="102"/>
      <c r="C91" s="102"/>
      <c r="D91" s="101"/>
      <c r="E91" s="105"/>
      <c r="F91" s="105" t="str">
        <f t="shared" ca="1" si="3"/>
        <v/>
      </c>
      <c r="G91" s="105"/>
      <c r="H91" s="105"/>
      <c r="I91" s="105"/>
      <c r="J91" s="105"/>
      <c r="K91" s="105"/>
      <c r="L91" s="105"/>
      <c r="M91" s="105"/>
      <c r="N91" s="105"/>
      <c r="O91" s="105"/>
      <c r="P91" s="106"/>
      <c r="Q91" s="106"/>
      <c r="R91" s="106"/>
      <c r="S91" s="107"/>
      <c r="T91" s="106"/>
      <c r="U91" s="106"/>
      <c r="V91" s="108"/>
      <c r="W91" s="108"/>
      <c r="X91" s="108"/>
      <c r="Y91" s="108"/>
      <c r="Z91" s="109"/>
      <c r="AA91" s="109"/>
      <c r="AB91" s="109"/>
      <c r="AC91" s="109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1"/>
      <c r="AR91" s="110"/>
      <c r="AS91" s="111"/>
      <c r="AT91" s="112"/>
      <c r="AU91" s="112"/>
      <c r="AV91" s="112"/>
      <c r="AW91" s="112"/>
      <c r="AX91" s="112"/>
      <c r="AY91" s="112"/>
      <c r="AZ91" s="112"/>
      <c r="BA91" s="112"/>
      <c r="BB91" s="112"/>
      <c r="BC91" s="112"/>
      <c r="BD91" s="113"/>
      <c r="BE91" s="114"/>
      <c r="BF91" s="115"/>
      <c r="BG91" s="115"/>
      <c r="BH91" s="116" t="str">
        <f t="shared" si="4"/>
        <v/>
      </c>
      <c r="BI91" s="116" t="str">
        <f t="shared" si="5"/>
        <v/>
      </c>
      <c r="BJ91" s="116" t="str">
        <f>IF(AND($A91&lt;&gt;"",$D91=반별조회!$C$5),COUNTIFS($A$3:$A91,"&lt;&gt;",$D$3:$D91,반별조회!$C$5),"")</f>
        <v/>
      </c>
    </row>
    <row r="92" spans="1:62" ht="15" customHeight="1">
      <c r="A92" s="102"/>
      <c r="B92" s="102"/>
      <c r="C92" s="102"/>
      <c r="D92" s="101"/>
      <c r="E92" s="105"/>
      <c r="F92" s="105" t="str">
        <f t="shared" ca="1" si="3"/>
        <v/>
      </c>
      <c r="G92" s="105"/>
      <c r="H92" s="105"/>
      <c r="I92" s="105"/>
      <c r="J92" s="105"/>
      <c r="K92" s="105"/>
      <c r="L92" s="105"/>
      <c r="M92" s="105"/>
      <c r="N92" s="105"/>
      <c r="O92" s="105"/>
      <c r="P92" s="106"/>
      <c r="Q92" s="106"/>
      <c r="R92" s="106"/>
      <c r="S92" s="107"/>
      <c r="T92" s="106"/>
      <c r="U92" s="106"/>
      <c r="V92" s="108"/>
      <c r="W92" s="108"/>
      <c r="X92" s="108"/>
      <c r="Y92" s="108"/>
      <c r="Z92" s="109"/>
      <c r="AA92" s="109"/>
      <c r="AB92" s="109"/>
      <c r="AC92" s="109"/>
      <c r="AD92" s="110"/>
      <c r="AE92" s="110"/>
      <c r="AF92" s="110"/>
      <c r="AG92" s="110"/>
      <c r="AH92" s="110"/>
      <c r="AI92" s="110"/>
      <c r="AJ92" s="110"/>
      <c r="AK92" s="110"/>
      <c r="AL92" s="110"/>
      <c r="AM92" s="110"/>
      <c r="AN92" s="110"/>
      <c r="AO92" s="110"/>
      <c r="AP92" s="110"/>
      <c r="AQ92" s="111"/>
      <c r="AR92" s="110"/>
      <c r="AS92" s="111"/>
      <c r="AT92" s="112"/>
      <c r="AU92" s="112"/>
      <c r="AV92" s="112"/>
      <c r="AW92" s="112"/>
      <c r="AX92" s="112"/>
      <c r="AY92" s="112"/>
      <c r="AZ92" s="112"/>
      <c r="BA92" s="112"/>
      <c r="BB92" s="112"/>
      <c r="BC92" s="112"/>
      <c r="BD92" s="113"/>
      <c r="BE92" s="114"/>
      <c r="BF92" s="115"/>
      <c r="BG92" s="115"/>
      <c r="BH92" s="116" t="str">
        <f t="shared" si="4"/>
        <v/>
      </c>
      <c r="BI92" s="116" t="str">
        <f t="shared" si="5"/>
        <v/>
      </c>
      <c r="BJ92" s="116" t="str">
        <f>IF(AND($A92&lt;&gt;"",$D92=반별조회!$C$5),COUNTIFS($A$3:$A92,"&lt;&gt;",$D$3:$D92,반별조회!$C$5),"")</f>
        <v/>
      </c>
    </row>
    <row r="93" spans="1:62" ht="15" customHeight="1">
      <c r="A93" s="102"/>
      <c r="B93" s="102"/>
      <c r="C93" s="102"/>
      <c r="D93" s="101"/>
      <c r="E93" s="105"/>
      <c r="F93" s="105" t="str">
        <f t="shared" ca="1" si="3"/>
        <v/>
      </c>
      <c r="G93" s="105"/>
      <c r="H93" s="105"/>
      <c r="I93" s="105"/>
      <c r="J93" s="105"/>
      <c r="K93" s="105"/>
      <c r="L93" s="105"/>
      <c r="M93" s="105"/>
      <c r="N93" s="105"/>
      <c r="O93" s="105"/>
      <c r="P93" s="106"/>
      <c r="Q93" s="106"/>
      <c r="R93" s="106"/>
      <c r="S93" s="107"/>
      <c r="T93" s="106"/>
      <c r="U93" s="106"/>
      <c r="V93" s="108"/>
      <c r="W93" s="108"/>
      <c r="X93" s="108"/>
      <c r="Y93" s="108"/>
      <c r="Z93" s="109"/>
      <c r="AA93" s="109"/>
      <c r="AB93" s="109"/>
      <c r="AC93" s="109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0"/>
      <c r="AP93" s="110"/>
      <c r="AQ93" s="111"/>
      <c r="AR93" s="110"/>
      <c r="AS93" s="111"/>
      <c r="AT93" s="112"/>
      <c r="AU93" s="112"/>
      <c r="AV93" s="112"/>
      <c r="AW93" s="112"/>
      <c r="AX93" s="112"/>
      <c r="AY93" s="112"/>
      <c r="AZ93" s="112"/>
      <c r="BA93" s="112"/>
      <c r="BB93" s="112"/>
      <c r="BC93" s="112"/>
      <c r="BD93" s="113"/>
      <c r="BE93" s="114"/>
      <c r="BF93" s="115"/>
      <c r="BG93" s="115"/>
      <c r="BH93" s="116" t="str">
        <f t="shared" si="4"/>
        <v/>
      </c>
      <c r="BI93" s="116" t="str">
        <f t="shared" si="5"/>
        <v/>
      </c>
      <c r="BJ93" s="116" t="str">
        <f>IF(AND($A93&lt;&gt;"",$D93=반별조회!$C$5),COUNTIFS($A$3:$A93,"&lt;&gt;",$D$3:$D93,반별조회!$C$5),"")</f>
        <v/>
      </c>
    </row>
    <row r="94" spans="1:62" ht="15" customHeight="1">
      <c r="A94" s="102"/>
      <c r="B94" s="102"/>
      <c r="C94" s="102"/>
      <c r="D94" s="101"/>
      <c r="E94" s="105"/>
      <c r="F94" s="105" t="str">
        <f t="shared" ca="1" si="3"/>
        <v/>
      </c>
      <c r="G94" s="105"/>
      <c r="H94" s="105"/>
      <c r="I94" s="105"/>
      <c r="J94" s="105"/>
      <c r="K94" s="105"/>
      <c r="L94" s="105"/>
      <c r="M94" s="105"/>
      <c r="N94" s="105"/>
      <c r="O94" s="105"/>
      <c r="P94" s="106"/>
      <c r="Q94" s="106"/>
      <c r="R94" s="106"/>
      <c r="S94" s="107"/>
      <c r="T94" s="106"/>
      <c r="U94" s="106"/>
      <c r="V94" s="108"/>
      <c r="W94" s="108"/>
      <c r="X94" s="108"/>
      <c r="Y94" s="108"/>
      <c r="Z94" s="109"/>
      <c r="AA94" s="109"/>
      <c r="AB94" s="109"/>
      <c r="AC94" s="109"/>
      <c r="AD94" s="110"/>
      <c r="AE94" s="110"/>
      <c r="AF94" s="110"/>
      <c r="AG94" s="110"/>
      <c r="AH94" s="110"/>
      <c r="AI94" s="110"/>
      <c r="AJ94" s="110"/>
      <c r="AK94" s="110"/>
      <c r="AL94" s="110"/>
      <c r="AM94" s="110"/>
      <c r="AN94" s="110"/>
      <c r="AO94" s="110"/>
      <c r="AP94" s="110"/>
      <c r="AQ94" s="111"/>
      <c r="AR94" s="110"/>
      <c r="AS94" s="111"/>
      <c r="AT94" s="112"/>
      <c r="AU94" s="112"/>
      <c r="AV94" s="112"/>
      <c r="AW94" s="112"/>
      <c r="AX94" s="112"/>
      <c r="AY94" s="112"/>
      <c r="AZ94" s="112"/>
      <c r="BA94" s="112"/>
      <c r="BB94" s="112"/>
      <c r="BC94" s="112"/>
      <c r="BD94" s="113"/>
      <c r="BE94" s="114"/>
      <c r="BF94" s="115"/>
      <c r="BG94" s="115"/>
      <c r="BH94" s="116" t="str">
        <f t="shared" si="4"/>
        <v/>
      </c>
      <c r="BI94" s="116" t="str">
        <f t="shared" si="5"/>
        <v/>
      </c>
      <c r="BJ94" s="116" t="str">
        <f>IF(AND($A94&lt;&gt;"",$D94=반별조회!$C$5),COUNTIFS($A$3:$A94,"&lt;&gt;",$D$3:$D94,반별조회!$C$5),"")</f>
        <v/>
      </c>
    </row>
    <row r="95" spans="1:62" ht="15" customHeight="1">
      <c r="A95" s="102"/>
      <c r="B95" s="102"/>
      <c r="C95" s="102"/>
      <c r="D95" s="101"/>
      <c r="E95" s="105"/>
      <c r="F95" s="105" t="str">
        <f t="shared" ca="1" si="3"/>
        <v/>
      </c>
      <c r="G95" s="105"/>
      <c r="H95" s="105"/>
      <c r="I95" s="105"/>
      <c r="J95" s="105"/>
      <c r="K95" s="105"/>
      <c r="L95" s="105"/>
      <c r="M95" s="105"/>
      <c r="N95" s="105"/>
      <c r="O95" s="105"/>
      <c r="P95" s="106"/>
      <c r="Q95" s="106"/>
      <c r="R95" s="106"/>
      <c r="S95" s="107"/>
      <c r="T95" s="106"/>
      <c r="U95" s="106"/>
      <c r="V95" s="108"/>
      <c r="W95" s="108"/>
      <c r="X95" s="108"/>
      <c r="Y95" s="108"/>
      <c r="Z95" s="109"/>
      <c r="AA95" s="109"/>
      <c r="AB95" s="109"/>
      <c r="AC95" s="109"/>
      <c r="AD95" s="110"/>
      <c r="AE95" s="110"/>
      <c r="AF95" s="110"/>
      <c r="AG95" s="110"/>
      <c r="AH95" s="110"/>
      <c r="AI95" s="110"/>
      <c r="AJ95" s="110"/>
      <c r="AK95" s="110"/>
      <c r="AL95" s="110"/>
      <c r="AM95" s="110"/>
      <c r="AN95" s="110"/>
      <c r="AO95" s="110"/>
      <c r="AP95" s="110"/>
      <c r="AQ95" s="111"/>
      <c r="AR95" s="110"/>
      <c r="AS95" s="111"/>
      <c r="AT95" s="112"/>
      <c r="AU95" s="112"/>
      <c r="AV95" s="112"/>
      <c r="AW95" s="112"/>
      <c r="AX95" s="112"/>
      <c r="AY95" s="112"/>
      <c r="AZ95" s="112"/>
      <c r="BA95" s="112"/>
      <c r="BB95" s="112"/>
      <c r="BC95" s="112"/>
      <c r="BD95" s="113"/>
      <c r="BE95" s="114"/>
      <c r="BF95" s="115"/>
      <c r="BG95" s="115"/>
      <c r="BH95" s="116" t="str">
        <f t="shared" si="4"/>
        <v/>
      </c>
      <c r="BI95" s="116" t="str">
        <f t="shared" si="5"/>
        <v/>
      </c>
      <c r="BJ95" s="116" t="str">
        <f>IF(AND($A95&lt;&gt;"",$D95=반별조회!$C$5),COUNTIFS($A$3:$A95,"&lt;&gt;",$D$3:$D95,반별조회!$C$5),"")</f>
        <v/>
      </c>
    </row>
    <row r="96" spans="1:62" ht="15" customHeight="1">
      <c r="A96" s="102"/>
      <c r="B96" s="102"/>
      <c r="C96" s="102"/>
      <c r="D96" s="101"/>
      <c r="E96" s="105"/>
      <c r="F96" s="105" t="str">
        <f t="shared" ca="1" si="3"/>
        <v/>
      </c>
      <c r="G96" s="105"/>
      <c r="H96" s="105"/>
      <c r="I96" s="105"/>
      <c r="J96" s="105"/>
      <c r="K96" s="105"/>
      <c r="L96" s="105"/>
      <c r="M96" s="105"/>
      <c r="N96" s="105"/>
      <c r="O96" s="105"/>
      <c r="P96" s="106"/>
      <c r="Q96" s="106"/>
      <c r="R96" s="106"/>
      <c r="S96" s="107"/>
      <c r="T96" s="106"/>
      <c r="U96" s="106"/>
      <c r="V96" s="108"/>
      <c r="W96" s="108"/>
      <c r="X96" s="108"/>
      <c r="Y96" s="108"/>
      <c r="Z96" s="109"/>
      <c r="AA96" s="109"/>
      <c r="AB96" s="109"/>
      <c r="AC96" s="109"/>
      <c r="AD96" s="110"/>
      <c r="AE96" s="110"/>
      <c r="AF96" s="110"/>
      <c r="AG96" s="110"/>
      <c r="AH96" s="110"/>
      <c r="AI96" s="110"/>
      <c r="AJ96" s="110"/>
      <c r="AK96" s="110"/>
      <c r="AL96" s="110"/>
      <c r="AM96" s="110"/>
      <c r="AN96" s="110"/>
      <c r="AO96" s="110"/>
      <c r="AP96" s="110"/>
      <c r="AQ96" s="111"/>
      <c r="AR96" s="110"/>
      <c r="AS96" s="111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3"/>
      <c r="BE96" s="114"/>
      <c r="BF96" s="115"/>
      <c r="BG96" s="115"/>
      <c r="BH96" s="116" t="str">
        <f t="shared" si="4"/>
        <v/>
      </c>
      <c r="BI96" s="116" t="str">
        <f t="shared" si="5"/>
        <v/>
      </c>
      <c r="BJ96" s="116" t="str">
        <f>IF(AND($A96&lt;&gt;"",$D96=반별조회!$C$5),COUNTIFS($A$3:$A96,"&lt;&gt;",$D$3:$D96,반별조회!$C$5),"")</f>
        <v/>
      </c>
    </row>
    <row r="97" spans="1:62" ht="15" customHeight="1">
      <c r="A97" s="102"/>
      <c r="B97" s="102"/>
      <c r="C97" s="102"/>
      <c r="D97" s="101"/>
      <c r="E97" s="105"/>
      <c r="F97" s="105" t="str">
        <f t="shared" ca="1" si="3"/>
        <v/>
      </c>
      <c r="G97" s="105"/>
      <c r="H97" s="105"/>
      <c r="I97" s="105"/>
      <c r="J97" s="105"/>
      <c r="K97" s="105"/>
      <c r="L97" s="105"/>
      <c r="M97" s="105"/>
      <c r="N97" s="105"/>
      <c r="O97" s="105"/>
      <c r="P97" s="106"/>
      <c r="Q97" s="106"/>
      <c r="R97" s="106"/>
      <c r="S97" s="107"/>
      <c r="T97" s="106"/>
      <c r="U97" s="106"/>
      <c r="V97" s="108"/>
      <c r="W97" s="108"/>
      <c r="X97" s="108"/>
      <c r="Y97" s="108"/>
      <c r="Z97" s="109"/>
      <c r="AA97" s="109"/>
      <c r="AB97" s="109"/>
      <c r="AC97" s="109"/>
      <c r="AD97" s="110"/>
      <c r="AE97" s="110"/>
      <c r="AF97" s="110"/>
      <c r="AG97" s="110"/>
      <c r="AH97" s="110"/>
      <c r="AI97" s="110"/>
      <c r="AJ97" s="110"/>
      <c r="AK97" s="110"/>
      <c r="AL97" s="110"/>
      <c r="AM97" s="110"/>
      <c r="AN97" s="110"/>
      <c r="AO97" s="110"/>
      <c r="AP97" s="110"/>
      <c r="AQ97" s="111"/>
      <c r="AR97" s="110"/>
      <c r="AS97" s="111"/>
      <c r="AT97" s="112"/>
      <c r="AU97" s="112"/>
      <c r="AV97" s="112"/>
      <c r="AW97" s="112"/>
      <c r="AX97" s="112"/>
      <c r="AY97" s="112"/>
      <c r="AZ97" s="112"/>
      <c r="BA97" s="112"/>
      <c r="BB97" s="112"/>
      <c r="BC97" s="112"/>
      <c r="BD97" s="113"/>
      <c r="BE97" s="114"/>
      <c r="BF97" s="115"/>
      <c r="BG97" s="115"/>
      <c r="BH97" s="116" t="str">
        <f t="shared" si="4"/>
        <v/>
      </c>
      <c r="BI97" s="116" t="str">
        <f t="shared" si="5"/>
        <v/>
      </c>
      <c r="BJ97" s="116" t="str">
        <f>IF(AND($A97&lt;&gt;"",$D97=반별조회!$C$5),COUNTIFS($A$3:$A97,"&lt;&gt;",$D$3:$D97,반별조회!$C$5),"")</f>
        <v/>
      </c>
    </row>
    <row r="98" spans="1:62" ht="15" customHeight="1">
      <c r="A98" s="102"/>
      <c r="B98" s="102"/>
      <c r="C98" s="102"/>
      <c r="D98" s="101"/>
      <c r="E98" s="105"/>
      <c r="F98" s="105" t="str">
        <f t="shared" ca="1" si="3"/>
        <v/>
      </c>
      <c r="G98" s="105"/>
      <c r="H98" s="105"/>
      <c r="I98" s="105"/>
      <c r="J98" s="105"/>
      <c r="K98" s="105"/>
      <c r="L98" s="105"/>
      <c r="M98" s="105"/>
      <c r="N98" s="105"/>
      <c r="O98" s="105"/>
      <c r="P98" s="106"/>
      <c r="Q98" s="106"/>
      <c r="R98" s="106"/>
      <c r="S98" s="107"/>
      <c r="T98" s="106"/>
      <c r="U98" s="106"/>
      <c r="V98" s="108"/>
      <c r="W98" s="108"/>
      <c r="X98" s="108"/>
      <c r="Y98" s="108"/>
      <c r="Z98" s="109"/>
      <c r="AA98" s="109"/>
      <c r="AB98" s="109"/>
      <c r="AC98" s="109"/>
      <c r="AD98" s="110"/>
      <c r="AE98" s="110"/>
      <c r="AF98" s="110"/>
      <c r="AG98" s="110"/>
      <c r="AH98" s="110"/>
      <c r="AI98" s="110"/>
      <c r="AJ98" s="110"/>
      <c r="AK98" s="110"/>
      <c r="AL98" s="110"/>
      <c r="AM98" s="110"/>
      <c r="AN98" s="110"/>
      <c r="AO98" s="110"/>
      <c r="AP98" s="110"/>
      <c r="AQ98" s="111"/>
      <c r="AR98" s="110"/>
      <c r="AS98" s="111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3"/>
      <c r="BE98" s="114"/>
      <c r="BF98" s="115"/>
      <c r="BG98" s="115"/>
      <c r="BH98" s="116" t="str">
        <f t="shared" si="4"/>
        <v/>
      </c>
      <c r="BI98" s="116" t="str">
        <f t="shared" si="5"/>
        <v/>
      </c>
      <c r="BJ98" s="116" t="str">
        <f>IF(AND($A98&lt;&gt;"",$D98=반별조회!$C$5),COUNTIFS($A$3:$A98,"&lt;&gt;",$D$3:$D98,반별조회!$C$5),"")</f>
        <v/>
      </c>
    </row>
    <row r="99" spans="1:62" ht="15" customHeight="1">
      <c r="A99" s="102"/>
      <c r="B99" s="102"/>
      <c r="C99" s="102"/>
      <c r="D99" s="101"/>
      <c r="E99" s="105"/>
      <c r="F99" s="105" t="str">
        <f t="shared" ca="1" si="3"/>
        <v/>
      </c>
      <c r="G99" s="105"/>
      <c r="H99" s="105"/>
      <c r="I99" s="105"/>
      <c r="J99" s="105"/>
      <c r="K99" s="105"/>
      <c r="L99" s="105"/>
      <c r="M99" s="105"/>
      <c r="N99" s="105"/>
      <c r="O99" s="105"/>
      <c r="P99" s="106"/>
      <c r="Q99" s="106"/>
      <c r="R99" s="106"/>
      <c r="S99" s="107"/>
      <c r="T99" s="106"/>
      <c r="U99" s="106"/>
      <c r="V99" s="108"/>
      <c r="W99" s="108"/>
      <c r="X99" s="108"/>
      <c r="Y99" s="108"/>
      <c r="Z99" s="109"/>
      <c r="AA99" s="109"/>
      <c r="AB99" s="109"/>
      <c r="AC99" s="109"/>
      <c r="AD99" s="110"/>
      <c r="AE99" s="110"/>
      <c r="AF99" s="110"/>
      <c r="AG99" s="110"/>
      <c r="AH99" s="110"/>
      <c r="AI99" s="110"/>
      <c r="AJ99" s="110"/>
      <c r="AK99" s="110"/>
      <c r="AL99" s="110"/>
      <c r="AM99" s="110"/>
      <c r="AN99" s="110"/>
      <c r="AO99" s="110"/>
      <c r="AP99" s="110"/>
      <c r="AQ99" s="111"/>
      <c r="AR99" s="110"/>
      <c r="AS99" s="111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3"/>
      <c r="BE99" s="114"/>
      <c r="BF99" s="115"/>
      <c r="BG99" s="115"/>
      <c r="BH99" s="116" t="str">
        <f t="shared" si="4"/>
        <v/>
      </c>
      <c r="BI99" s="116" t="str">
        <f t="shared" si="5"/>
        <v/>
      </c>
      <c r="BJ99" s="116" t="str">
        <f>IF(AND($A99&lt;&gt;"",$D99=반별조회!$C$5),COUNTIFS($A$3:$A99,"&lt;&gt;",$D$3:$D99,반별조회!$C$5),"")</f>
        <v/>
      </c>
    </row>
    <row r="100" spans="1:62" ht="15" customHeight="1">
      <c r="A100" s="102"/>
      <c r="B100" s="102"/>
      <c r="C100" s="102"/>
      <c r="D100" s="101"/>
      <c r="E100" s="105"/>
      <c r="F100" s="105" t="str">
        <f t="shared" ca="1" si="3"/>
        <v/>
      </c>
      <c r="G100" s="105"/>
      <c r="H100" s="105"/>
      <c r="I100" s="105"/>
      <c r="J100" s="105"/>
      <c r="K100" s="105"/>
      <c r="L100" s="105"/>
      <c r="M100" s="105"/>
      <c r="N100" s="105"/>
      <c r="O100" s="105"/>
      <c r="P100" s="106"/>
      <c r="Q100" s="106"/>
      <c r="R100" s="106"/>
      <c r="S100" s="107"/>
      <c r="T100" s="106"/>
      <c r="U100" s="106"/>
      <c r="V100" s="108"/>
      <c r="W100" s="108"/>
      <c r="X100" s="108"/>
      <c r="Y100" s="108"/>
      <c r="Z100" s="109"/>
      <c r="AA100" s="109"/>
      <c r="AB100" s="109"/>
      <c r="AC100" s="109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1"/>
      <c r="AR100" s="110"/>
      <c r="AS100" s="111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3"/>
      <c r="BE100" s="114"/>
      <c r="BF100" s="115"/>
      <c r="BG100" s="115"/>
      <c r="BH100" s="116" t="str">
        <f t="shared" si="4"/>
        <v/>
      </c>
      <c r="BI100" s="116" t="str">
        <f t="shared" si="5"/>
        <v/>
      </c>
      <c r="BJ100" s="116" t="str">
        <f>IF(AND($A100&lt;&gt;"",$D100=반별조회!$C$5),COUNTIFS($A$3:$A100,"&lt;&gt;",$D$3:$D100,반별조회!$C$5),"")</f>
        <v/>
      </c>
    </row>
    <row r="101" spans="1:62" ht="15" customHeight="1">
      <c r="A101" s="102"/>
      <c r="B101" s="102"/>
      <c r="C101" s="102"/>
      <c r="D101" s="101"/>
      <c r="E101" s="105"/>
      <c r="F101" s="105" t="str">
        <f t="shared" ca="1" si="3"/>
        <v/>
      </c>
      <c r="G101" s="105"/>
      <c r="H101" s="105"/>
      <c r="I101" s="105"/>
      <c r="J101" s="105"/>
      <c r="K101" s="105"/>
      <c r="L101" s="105"/>
      <c r="M101" s="105"/>
      <c r="N101" s="105"/>
      <c r="O101" s="105"/>
      <c r="P101" s="106"/>
      <c r="Q101" s="106"/>
      <c r="R101" s="106"/>
      <c r="S101" s="107"/>
      <c r="T101" s="106"/>
      <c r="U101" s="106"/>
      <c r="V101" s="108"/>
      <c r="W101" s="108"/>
      <c r="X101" s="108"/>
      <c r="Y101" s="108"/>
      <c r="Z101" s="109"/>
      <c r="AA101" s="109"/>
      <c r="AB101" s="109"/>
      <c r="AC101" s="109"/>
      <c r="AD101" s="110"/>
      <c r="AE101" s="110"/>
      <c r="AF101" s="110"/>
      <c r="AG101" s="110"/>
      <c r="AH101" s="110"/>
      <c r="AI101" s="110"/>
      <c r="AJ101" s="110"/>
      <c r="AK101" s="110"/>
      <c r="AL101" s="110"/>
      <c r="AM101" s="110"/>
      <c r="AN101" s="110"/>
      <c r="AO101" s="110"/>
      <c r="AP101" s="110"/>
      <c r="AQ101" s="111"/>
      <c r="AR101" s="110"/>
      <c r="AS101" s="111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3"/>
      <c r="BE101" s="114"/>
      <c r="BF101" s="115"/>
      <c r="BG101" s="115"/>
      <c r="BH101" s="116" t="str">
        <f t="shared" si="4"/>
        <v/>
      </c>
      <c r="BI101" s="116" t="str">
        <f t="shared" si="5"/>
        <v/>
      </c>
      <c r="BJ101" s="116" t="str">
        <f>IF(AND($A101&lt;&gt;"",$D101=반별조회!$C$5),COUNTIFS($A$3:$A101,"&lt;&gt;",$D$3:$D101,반별조회!$C$5),"")</f>
        <v/>
      </c>
    </row>
    <row r="102" spans="1:62" ht="15" customHeight="1">
      <c r="A102" s="102"/>
      <c r="B102" s="102"/>
      <c r="C102" s="102"/>
      <c r="D102" s="101"/>
      <c r="E102" s="105"/>
      <c r="F102" s="105" t="str">
        <f t="shared" ca="1" si="3"/>
        <v/>
      </c>
      <c r="G102" s="105"/>
      <c r="H102" s="105"/>
      <c r="I102" s="105"/>
      <c r="J102" s="105"/>
      <c r="K102" s="105"/>
      <c r="L102" s="105"/>
      <c r="M102" s="105"/>
      <c r="N102" s="105"/>
      <c r="O102" s="105"/>
      <c r="P102" s="106"/>
      <c r="Q102" s="106"/>
      <c r="R102" s="106"/>
      <c r="S102" s="107"/>
      <c r="T102" s="106"/>
      <c r="U102" s="106"/>
      <c r="V102" s="108"/>
      <c r="W102" s="108"/>
      <c r="X102" s="108"/>
      <c r="Y102" s="108"/>
      <c r="Z102" s="109"/>
      <c r="AA102" s="109"/>
      <c r="AB102" s="109"/>
      <c r="AC102" s="109"/>
      <c r="AD102" s="110"/>
      <c r="AE102" s="110"/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1"/>
      <c r="AR102" s="110"/>
      <c r="AS102" s="111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3"/>
      <c r="BE102" s="114"/>
      <c r="BF102" s="115"/>
      <c r="BG102" s="115"/>
      <c r="BH102" s="116" t="str">
        <f t="shared" si="4"/>
        <v/>
      </c>
      <c r="BI102" s="116" t="str">
        <f t="shared" si="5"/>
        <v/>
      </c>
      <c r="BJ102" s="116" t="str">
        <f>IF(AND($A102&lt;&gt;"",$D102=반별조회!$C$5),COUNTIFS($A$3:$A102,"&lt;&gt;",$D$3:$D102,반별조회!$C$5),"")</f>
        <v/>
      </c>
    </row>
    <row r="103" spans="1:62" ht="15" customHeight="1">
      <c r="A103" s="102"/>
      <c r="B103" s="102"/>
      <c r="C103" s="102"/>
      <c r="D103" s="101"/>
      <c r="E103" s="105"/>
      <c r="F103" s="105" t="str">
        <f t="shared" ca="1" si="3"/>
        <v/>
      </c>
      <c r="G103" s="105"/>
      <c r="H103" s="105"/>
      <c r="I103" s="105"/>
      <c r="J103" s="105"/>
      <c r="K103" s="105"/>
      <c r="L103" s="105"/>
      <c r="M103" s="105"/>
      <c r="N103" s="105"/>
      <c r="O103" s="105"/>
      <c r="P103" s="106"/>
      <c r="Q103" s="106"/>
      <c r="R103" s="106"/>
      <c r="S103" s="107"/>
      <c r="T103" s="106"/>
      <c r="U103" s="106"/>
      <c r="V103" s="108"/>
      <c r="W103" s="108"/>
      <c r="X103" s="108"/>
      <c r="Y103" s="108"/>
      <c r="Z103" s="109"/>
      <c r="AA103" s="109"/>
      <c r="AB103" s="109"/>
      <c r="AC103" s="109"/>
      <c r="AD103" s="110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1"/>
      <c r="AR103" s="110"/>
      <c r="AS103" s="111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3"/>
      <c r="BE103" s="114"/>
      <c r="BF103" s="115"/>
      <c r="BG103" s="115"/>
      <c r="BH103" s="116" t="str">
        <f t="shared" si="4"/>
        <v/>
      </c>
      <c r="BI103" s="116" t="str">
        <f t="shared" si="5"/>
        <v/>
      </c>
      <c r="BJ103" s="116" t="str">
        <f>IF(AND($A103&lt;&gt;"",$D103=반별조회!$C$5),COUNTIFS($A$3:$A103,"&lt;&gt;",$D$3:$D103,반별조회!$C$5),"")</f>
        <v/>
      </c>
    </row>
    <row r="104" spans="1:62" ht="15" customHeight="1">
      <c r="A104" s="102"/>
      <c r="B104" s="102"/>
      <c r="C104" s="102"/>
      <c r="D104" s="101"/>
      <c r="E104" s="105"/>
      <c r="F104" s="105" t="str">
        <f t="shared" ca="1" si="3"/>
        <v/>
      </c>
      <c r="G104" s="105"/>
      <c r="H104" s="105"/>
      <c r="I104" s="105"/>
      <c r="J104" s="105"/>
      <c r="K104" s="105"/>
      <c r="L104" s="105"/>
      <c r="M104" s="105"/>
      <c r="N104" s="105"/>
      <c r="O104" s="105"/>
      <c r="P104" s="106"/>
      <c r="Q104" s="106"/>
      <c r="R104" s="106"/>
      <c r="S104" s="107"/>
      <c r="T104" s="106"/>
      <c r="U104" s="106"/>
      <c r="V104" s="108"/>
      <c r="W104" s="108"/>
      <c r="X104" s="108"/>
      <c r="Y104" s="108"/>
      <c r="Z104" s="109"/>
      <c r="AA104" s="109"/>
      <c r="AB104" s="109"/>
      <c r="AC104" s="109"/>
      <c r="AD104" s="110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1"/>
      <c r="AR104" s="110"/>
      <c r="AS104" s="111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3"/>
      <c r="BE104" s="114"/>
      <c r="BF104" s="115"/>
      <c r="BG104" s="115"/>
      <c r="BH104" s="116" t="str">
        <f t="shared" si="4"/>
        <v/>
      </c>
      <c r="BI104" s="116" t="str">
        <f t="shared" si="5"/>
        <v/>
      </c>
      <c r="BJ104" s="116" t="str">
        <f>IF(AND($A104&lt;&gt;"",$D104=반별조회!$C$5),COUNTIFS($A$3:$A104,"&lt;&gt;",$D$3:$D104,반별조회!$C$5),"")</f>
        <v/>
      </c>
    </row>
    <row r="105" spans="1:62" ht="15" customHeight="1">
      <c r="A105" s="102"/>
      <c r="B105" s="102"/>
      <c r="C105" s="102"/>
      <c r="D105" s="101"/>
      <c r="E105" s="105"/>
      <c r="F105" s="105" t="str">
        <f t="shared" ca="1" si="3"/>
        <v/>
      </c>
      <c r="G105" s="105"/>
      <c r="H105" s="105"/>
      <c r="I105" s="105"/>
      <c r="J105" s="105"/>
      <c r="K105" s="105"/>
      <c r="L105" s="105"/>
      <c r="M105" s="105"/>
      <c r="N105" s="105"/>
      <c r="O105" s="105"/>
      <c r="P105" s="106"/>
      <c r="Q105" s="106"/>
      <c r="R105" s="106"/>
      <c r="S105" s="107"/>
      <c r="T105" s="106"/>
      <c r="U105" s="106"/>
      <c r="V105" s="108"/>
      <c r="W105" s="108"/>
      <c r="X105" s="108"/>
      <c r="Y105" s="108"/>
      <c r="Z105" s="109"/>
      <c r="AA105" s="109"/>
      <c r="AB105" s="109"/>
      <c r="AC105" s="109"/>
      <c r="AD105" s="110"/>
      <c r="AE105" s="110"/>
      <c r="AF105" s="110"/>
      <c r="AG105" s="110"/>
      <c r="AH105" s="110"/>
      <c r="AI105" s="110"/>
      <c r="AJ105" s="110"/>
      <c r="AK105" s="110"/>
      <c r="AL105" s="110"/>
      <c r="AM105" s="110"/>
      <c r="AN105" s="110"/>
      <c r="AO105" s="110"/>
      <c r="AP105" s="110"/>
      <c r="AQ105" s="111"/>
      <c r="AR105" s="110"/>
      <c r="AS105" s="111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3"/>
      <c r="BE105" s="114"/>
      <c r="BF105" s="115"/>
      <c r="BG105" s="115"/>
      <c r="BH105" s="116" t="str">
        <f t="shared" si="4"/>
        <v/>
      </c>
      <c r="BI105" s="116" t="str">
        <f t="shared" si="5"/>
        <v/>
      </c>
      <c r="BJ105" s="116" t="str">
        <f>IF(AND($A105&lt;&gt;"",$D105=반별조회!$C$5),COUNTIFS($A$3:$A105,"&lt;&gt;",$D$3:$D105,반별조회!$C$5),"")</f>
        <v/>
      </c>
    </row>
    <row r="106" spans="1:62" ht="15" customHeight="1">
      <c r="A106" s="102"/>
      <c r="B106" s="102"/>
      <c r="C106" s="102"/>
      <c r="D106" s="101"/>
      <c r="E106" s="105"/>
      <c r="F106" s="105" t="str">
        <f t="shared" ca="1" si="3"/>
        <v/>
      </c>
      <c r="G106" s="105"/>
      <c r="H106" s="105"/>
      <c r="I106" s="105"/>
      <c r="J106" s="105"/>
      <c r="K106" s="105"/>
      <c r="L106" s="105"/>
      <c r="M106" s="105"/>
      <c r="N106" s="105"/>
      <c r="O106" s="105"/>
      <c r="P106" s="106"/>
      <c r="Q106" s="106"/>
      <c r="R106" s="106"/>
      <c r="S106" s="107"/>
      <c r="T106" s="106"/>
      <c r="U106" s="106"/>
      <c r="V106" s="108"/>
      <c r="W106" s="108"/>
      <c r="X106" s="108"/>
      <c r="Y106" s="108"/>
      <c r="Z106" s="109"/>
      <c r="AA106" s="109"/>
      <c r="AB106" s="109"/>
      <c r="AC106" s="109"/>
      <c r="AD106" s="110"/>
      <c r="AE106" s="110"/>
      <c r="AF106" s="110"/>
      <c r="AG106" s="110"/>
      <c r="AH106" s="110"/>
      <c r="AI106" s="110"/>
      <c r="AJ106" s="110"/>
      <c r="AK106" s="110"/>
      <c r="AL106" s="110"/>
      <c r="AM106" s="110"/>
      <c r="AN106" s="110"/>
      <c r="AO106" s="110"/>
      <c r="AP106" s="110"/>
      <c r="AQ106" s="111"/>
      <c r="AR106" s="110"/>
      <c r="AS106" s="111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3"/>
      <c r="BE106" s="114"/>
      <c r="BF106" s="115"/>
      <c r="BG106" s="115"/>
      <c r="BH106" s="116" t="str">
        <f t="shared" si="4"/>
        <v/>
      </c>
      <c r="BI106" s="116" t="str">
        <f t="shared" si="5"/>
        <v/>
      </c>
      <c r="BJ106" s="116" t="str">
        <f>IF(AND($A106&lt;&gt;"",$D106=반별조회!$C$5),COUNTIFS($A$3:$A106,"&lt;&gt;",$D$3:$D106,반별조회!$C$5),"")</f>
        <v/>
      </c>
    </row>
    <row r="107" spans="1:62" ht="15" customHeight="1">
      <c r="A107" s="102"/>
      <c r="B107" s="102"/>
      <c r="C107" s="102"/>
      <c r="D107" s="101"/>
      <c r="E107" s="105"/>
      <c r="F107" s="105" t="str">
        <f t="shared" ca="1" si="3"/>
        <v/>
      </c>
      <c r="G107" s="105"/>
      <c r="H107" s="105"/>
      <c r="I107" s="105"/>
      <c r="J107" s="105"/>
      <c r="K107" s="105"/>
      <c r="L107" s="105"/>
      <c r="M107" s="105"/>
      <c r="N107" s="105"/>
      <c r="O107" s="105"/>
      <c r="P107" s="106"/>
      <c r="Q107" s="106"/>
      <c r="R107" s="106"/>
      <c r="S107" s="107"/>
      <c r="T107" s="106"/>
      <c r="U107" s="106"/>
      <c r="V107" s="108"/>
      <c r="W107" s="108"/>
      <c r="X107" s="108"/>
      <c r="Y107" s="108"/>
      <c r="Z107" s="109"/>
      <c r="AA107" s="109"/>
      <c r="AB107" s="109"/>
      <c r="AC107" s="109"/>
      <c r="AD107" s="110"/>
      <c r="AE107" s="110"/>
      <c r="AF107" s="110"/>
      <c r="AG107" s="110"/>
      <c r="AH107" s="110"/>
      <c r="AI107" s="110"/>
      <c r="AJ107" s="110"/>
      <c r="AK107" s="110"/>
      <c r="AL107" s="110"/>
      <c r="AM107" s="110"/>
      <c r="AN107" s="110"/>
      <c r="AO107" s="110"/>
      <c r="AP107" s="110"/>
      <c r="AQ107" s="111"/>
      <c r="AR107" s="110"/>
      <c r="AS107" s="111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3"/>
      <c r="BE107" s="114"/>
      <c r="BF107" s="115"/>
      <c r="BG107" s="115"/>
      <c r="BH107" s="116" t="str">
        <f t="shared" si="4"/>
        <v/>
      </c>
      <c r="BI107" s="116" t="str">
        <f t="shared" si="5"/>
        <v/>
      </c>
      <c r="BJ107" s="116" t="str">
        <f>IF(AND($A107&lt;&gt;"",$D107=반별조회!$C$5),COUNTIFS($A$3:$A107,"&lt;&gt;",$D$3:$D107,반별조회!$C$5),"")</f>
        <v/>
      </c>
    </row>
    <row r="108" spans="1:62" ht="15" customHeight="1">
      <c r="A108" s="102"/>
      <c r="B108" s="102"/>
      <c r="C108" s="102"/>
      <c r="D108" s="101"/>
      <c r="E108" s="105"/>
      <c r="F108" s="105" t="str">
        <f t="shared" ca="1" si="3"/>
        <v/>
      </c>
      <c r="G108" s="105"/>
      <c r="H108" s="105"/>
      <c r="I108" s="105"/>
      <c r="J108" s="105"/>
      <c r="K108" s="105"/>
      <c r="L108" s="105"/>
      <c r="M108" s="105"/>
      <c r="N108" s="105"/>
      <c r="O108" s="105"/>
      <c r="P108" s="106"/>
      <c r="Q108" s="106"/>
      <c r="R108" s="106"/>
      <c r="S108" s="107"/>
      <c r="T108" s="106"/>
      <c r="U108" s="106"/>
      <c r="V108" s="108"/>
      <c r="W108" s="108"/>
      <c r="X108" s="108"/>
      <c r="Y108" s="108"/>
      <c r="Z108" s="109"/>
      <c r="AA108" s="109"/>
      <c r="AB108" s="109"/>
      <c r="AC108" s="109"/>
      <c r="AD108" s="110"/>
      <c r="AE108" s="110"/>
      <c r="AF108" s="110"/>
      <c r="AG108" s="110"/>
      <c r="AH108" s="110"/>
      <c r="AI108" s="110"/>
      <c r="AJ108" s="110"/>
      <c r="AK108" s="110"/>
      <c r="AL108" s="110"/>
      <c r="AM108" s="110"/>
      <c r="AN108" s="110"/>
      <c r="AO108" s="110"/>
      <c r="AP108" s="110"/>
      <c r="AQ108" s="111"/>
      <c r="AR108" s="110"/>
      <c r="AS108" s="111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3"/>
      <c r="BE108" s="114"/>
      <c r="BF108" s="115"/>
      <c r="BG108" s="115"/>
      <c r="BH108" s="116" t="str">
        <f t="shared" si="4"/>
        <v/>
      </c>
      <c r="BI108" s="116" t="str">
        <f t="shared" si="5"/>
        <v/>
      </c>
      <c r="BJ108" s="116" t="str">
        <f>IF(AND($A108&lt;&gt;"",$D108=반별조회!$C$5),COUNTIFS($A$3:$A108,"&lt;&gt;",$D$3:$D108,반별조회!$C$5),"")</f>
        <v/>
      </c>
    </row>
    <row r="109" spans="1:62" ht="15" customHeight="1">
      <c r="A109" s="102"/>
      <c r="B109" s="102"/>
      <c r="C109" s="102"/>
      <c r="D109" s="101"/>
      <c r="E109" s="105"/>
      <c r="F109" s="105" t="str">
        <f t="shared" ca="1" si="3"/>
        <v/>
      </c>
      <c r="G109" s="105"/>
      <c r="H109" s="105"/>
      <c r="I109" s="105"/>
      <c r="J109" s="105"/>
      <c r="K109" s="105"/>
      <c r="L109" s="105"/>
      <c r="M109" s="105"/>
      <c r="N109" s="105"/>
      <c r="O109" s="105"/>
      <c r="P109" s="106"/>
      <c r="Q109" s="106"/>
      <c r="R109" s="106"/>
      <c r="S109" s="107"/>
      <c r="T109" s="106"/>
      <c r="U109" s="106"/>
      <c r="V109" s="108"/>
      <c r="W109" s="108"/>
      <c r="X109" s="108"/>
      <c r="Y109" s="108"/>
      <c r="Z109" s="109"/>
      <c r="AA109" s="109"/>
      <c r="AB109" s="109"/>
      <c r="AC109" s="109"/>
      <c r="AD109" s="110"/>
      <c r="AE109" s="110"/>
      <c r="AF109" s="110"/>
      <c r="AG109" s="110"/>
      <c r="AH109" s="110"/>
      <c r="AI109" s="110"/>
      <c r="AJ109" s="110"/>
      <c r="AK109" s="110"/>
      <c r="AL109" s="110"/>
      <c r="AM109" s="110"/>
      <c r="AN109" s="110"/>
      <c r="AO109" s="110"/>
      <c r="AP109" s="110"/>
      <c r="AQ109" s="111"/>
      <c r="AR109" s="110"/>
      <c r="AS109" s="111"/>
      <c r="AT109" s="112"/>
      <c r="AU109" s="112"/>
      <c r="AV109" s="112"/>
      <c r="AW109" s="112"/>
      <c r="AX109" s="112"/>
      <c r="AY109" s="112"/>
      <c r="AZ109" s="112"/>
      <c r="BA109" s="112"/>
      <c r="BB109" s="112"/>
      <c r="BC109" s="112"/>
      <c r="BD109" s="113"/>
      <c r="BE109" s="114"/>
      <c r="BF109" s="115"/>
      <c r="BG109" s="115"/>
      <c r="BH109" s="116" t="str">
        <f t="shared" si="4"/>
        <v/>
      </c>
      <c r="BI109" s="116" t="str">
        <f t="shared" si="5"/>
        <v/>
      </c>
      <c r="BJ109" s="116" t="str">
        <f>IF(AND($A109&lt;&gt;"",$D109=반별조회!$C$5),COUNTIFS($A$3:$A109,"&lt;&gt;",$D$3:$D109,반별조회!$C$5),"")</f>
        <v/>
      </c>
    </row>
    <row r="110" spans="1:62" ht="15" customHeight="1">
      <c r="A110" s="102"/>
      <c r="B110" s="102"/>
      <c r="C110" s="102"/>
      <c r="D110" s="101"/>
      <c r="E110" s="105"/>
      <c r="F110" s="105" t="str">
        <f t="shared" ca="1" si="3"/>
        <v/>
      </c>
      <c r="G110" s="105"/>
      <c r="H110" s="105"/>
      <c r="I110" s="105"/>
      <c r="J110" s="105"/>
      <c r="K110" s="105"/>
      <c r="L110" s="105"/>
      <c r="M110" s="105"/>
      <c r="N110" s="105"/>
      <c r="O110" s="105"/>
      <c r="P110" s="106"/>
      <c r="Q110" s="106"/>
      <c r="R110" s="106"/>
      <c r="S110" s="107"/>
      <c r="T110" s="106"/>
      <c r="U110" s="106"/>
      <c r="V110" s="108"/>
      <c r="W110" s="108"/>
      <c r="X110" s="108"/>
      <c r="Y110" s="108"/>
      <c r="Z110" s="109"/>
      <c r="AA110" s="109"/>
      <c r="AB110" s="109"/>
      <c r="AC110" s="109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110"/>
      <c r="AN110" s="110"/>
      <c r="AO110" s="110"/>
      <c r="AP110" s="110"/>
      <c r="AQ110" s="111"/>
      <c r="AR110" s="110"/>
      <c r="AS110" s="111"/>
      <c r="AT110" s="112"/>
      <c r="AU110" s="112"/>
      <c r="AV110" s="112"/>
      <c r="AW110" s="112"/>
      <c r="AX110" s="112"/>
      <c r="AY110" s="112"/>
      <c r="AZ110" s="112"/>
      <c r="BA110" s="112"/>
      <c r="BB110" s="112"/>
      <c r="BC110" s="112"/>
      <c r="BD110" s="113"/>
      <c r="BE110" s="114"/>
      <c r="BF110" s="115"/>
      <c r="BG110" s="115"/>
      <c r="BH110" s="116" t="str">
        <f t="shared" si="4"/>
        <v/>
      </c>
      <c r="BI110" s="116" t="str">
        <f t="shared" si="5"/>
        <v/>
      </c>
      <c r="BJ110" s="116" t="str">
        <f>IF(AND($A110&lt;&gt;"",$D110=반별조회!$C$5),COUNTIFS($A$3:$A110,"&lt;&gt;",$D$3:$D110,반별조회!$C$5),"")</f>
        <v/>
      </c>
    </row>
    <row r="111" spans="1:62" ht="15" customHeight="1">
      <c r="A111" s="102"/>
      <c r="B111" s="102"/>
      <c r="C111" s="102"/>
      <c r="D111" s="101"/>
      <c r="E111" s="105"/>
      <c r="F111" s="105" t="str">
        <f t="shared" ca="1" si="3"/>
        <v/>
      </c>
      <c r="G111" s="105"/>
      <c r="H111" s="105"/>
      <c r="I111" s="105"/>
      <c r="J111" s="105"/>
      <c r="K111" s="105"/>
      <c r="L111" s="105"/>
      <c r="M111" s="105"/>
      <c r="N111" s="105"/>
      <c r="O111" s="105"/>
      <c r="P111" s="106"/>
      <c r="Q111" s="106"/>
      <c r="R111" s="106"/>
      <c r="S111" s="107"/>
      <c r="T111" s="106"/>
      <c r="U111" s="106"/>
      <c r="V111" s="108"/>
      <c r="W111" s="108"/>
      <c r="X111" s="108"/>
      <c r="Y111" s="108"/>
      <c r="Z111" s="109"/>
      <c r="AA111" s="109"/>
      <c r="AB111" s="109"/>
      <c r="AC111" s="109"/>
      <c r="AD111" s="110"/>
      <c r="AE111" s="110"/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1"/>
      <c r="AR111" s="110"/>
      <c r="AS111" s="111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3"/>
      <c r="BE111" s="114"/>
      <c r="BF111" s="115"/>
      <c r="BG111" s="115"/>
      <c r="BH111" s="116" t="str">
        <f t="shared" si="4"/>
        <v/>
      </c>
      <c r="BI111" s="116" t="str">
        <f t="shared" si="5"/>
        <v/>
      </c>
      <c r="BJ111" s="116" t="str">
        <f>IF(AND($A111&lt;&gt;"",$D111=반별조회!$C$5),COUNTIFS($A$3:$A111,"&lt;&gt;",$D$3:$D111,반별조회!$C$5),"")</f>
        <v/>
      </c>
    </row>
    <row r="112" spans="1:62" ht="15" customHeight="1">
      <c r="A112" s="102"/>
      <c r="B112" s="102"/>
      <c r="C112" s="102"/>
      <c r="D112" s="101"/>
      <c r="E112" s="105"/>
      <c r="F112" s="105" t="str">
        <f t="shared" ca="1" si="3"/>
        <v/>
      </c>
      <c r="G112" s="105"/>
      <c r="H112" s="105"/>
      <c r="I112" s="105"/>
      <c r="J112" s="105"/>
      <c r="K112" s="105"/>
      <c r="L112" s="105"/>
      <c r="M112" s="105"/>
      <c r="N112" s="105"/>
      <c r="O112" s="105"/>
      <c r="P112" s="106"/>
      <c r="Q112" s="106"/>
      <c r="R112" s="106"/>
      <c r="S112" s="107"/>
      <c r="T112" s="106"/>
      <c r="U112" s="106"/>
      <c r="V112" s="108"/>
      <c r="W112" s="108"/>
      <c r="X112" s="108"/>
      <c r="Y112" s="108"/>
      <c r="Z112" s="109"/>
      <c r="AA112" s="109"/>
      <c r="AB112" s="109"/>
      <c r="AC112" s="109"/>
      <c r="AD112" s="110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1"/>
      <c r="AR112" s="110"/>
      <c r="AS112" s="111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3"/>
      <c r="BE112" s="114"/>
      <c r="BF112" s="115"/>
      <c r="BG112" s="115"/>
      <c r="BH112" s="116" t="str">
        <f t="shared" si="4"/>
        <v/>
      </c>
      <c r="BI112" s="116" t="str">
        <f t="shared" si="5"/>
        <v/>
      </c>
      <c r="BJ112" s="116" t="str">
        <f>IF(AND($A112&lt;&gt;"",$D112=반별조회!$C$5),COUNTIFS($A$3:$A112,"&lt;&gt;",$D$3:$D112,반별조회!$C$5),"")</f>
        <v/>
      </c>
    </row>
    <row r="113" spans="1:62" ht="15" customHeight="1">
      <c r="A113" s="102"/>
      <c r="B113" s="102"/>
      <c r="C113" s="102"/>
      <c r="D113" s="101"/>
      <c r="E113" s="105"/>
      <c r="F113" s="105" t="str">
        <f t="shared" ca="1" si="3"/>
        <v/>
      </c>
      <c r="G113" s="105"/>
      <c r="H113" s="105"/>
      <c r="I113" s="105"/>
      <c r="J113" s="105"/>
      <c r="K113" s="105"/>
      <c r="L113" s="105"/>
      <c r="M113" s="105"/>
      <c r="N113" s="105"/>
      <c r="O113" s="105"/>
      <c r="P113" s="106"/>
      <c r="Q113" s="106"/>
      <c r="R113" s="106"/>
      <c r="S113" s="107"/>
      <c r="T113" s="106"/>
      <c r="U113" s="106"/>
      <c r="V113" s="108"/>
      <c r="W113" s="108"/>
      <c r="X113" s="108"/>
      <c r="Y113" s="108"/>
      <c r="Z113" s="109"/>
      <c r="AA113" s="109"/>
      <c r="AB113" s="109"/>
      <c r="AC113" s="109"/>
      <c r="AD113" s="110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1"/>
      <c r="AR113" s="110"/>
      <c r="AS113" s="111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3"/>
      <c r="BE113" s="114"/>
      <c r="BF113" s="115"/>
      <c r="BG113" s="115"/>
      <c r="BH113" s="116" t="str">
        <f t="shared" si="4"/>
        <v/>
      </c>
      <c r="BI113" s="116" t="str">
        <f t="shared" si="5"/>
        <v/>
      </c>
      <c r="BJ113" s="116" t="str">
        <f>IF(AND($A113&lt;&gt;"",$D113=반별조회!$C$5),COUNTIFS($A$3:$A113,"&lt;&gt;",$D$3:$D113,반별조회!$C$5),"")</f>
        <v/>
      </c>
    </row>
    <row r="114" spans="1:62" ht="15" customHeight="1">
      <c r="A114" s="102"/>
      <c r="B114" s="102"/>
      <c r="C114" s="102"/>
      <c r="D114" s="101"/>
      <c r="E114" s="105"/>
      <c r="F114" s="105" t="str">
        <f t="shared" ca="1" si="3"/>
        <v/>
      </c>
      <c r="G114" s="105"/>
      <c r="H114" s="105"/>
      <c r="I114" s="105"/>
      <c r="J114" s="105"/>
      <c r="K114" s="105"/>
      <c r="L114" s="105"/>
      <c r="M114" s="105"/>
      <c r="N114" s="105"/>
      <c r="O114" s="105"/>
      <c r="P114" s="106"/>
      <c r="Q114" s="106"/>
      <c r="R114" s="106"/>
      <c r="S114" s="107"/>
      <c r="T114" s="106"/>
      <c r="U114" s="106"/>
      <c r="V114" s="108"/>
      <c r="W114" s="108"/>
      <c r="X114" s="108"/>
      <c r="Y114" s="108"/>
      <c r="Z114" s="109"/>
      <c r="AA114" s="109"/>
      <c r="AB114" s="109"/>
      <c r="AC114" s="109"/>
      <c r="AD114" s="110"/>
      <c r="AE114" s="110"/>
      <c r="AF114" s="110"/>
      <c r="AG114" s="110"/>
      <c r="AH114" s="110"/>
      <c r="AI114" s="110"/>
      <c r="AJ114" s="110"/>
      <c r="AK114" s="110"/>
      <c r="AL114" s="110"/>
      <c r="AM114" s="110"/>
      <c r="AN114" s="110"/>
      <c r="AO114" s="110"/>
      <c r="AP114" s="110"/>
      <c r="AQ114" s="111"/>
      <c r="AR114" s="110"/>
      <c r="AS114" s="111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3"/>
      <c r="BE114" s="114"/>
      <c r="BF114" s="115"/>
      <c r="BG114" s="115"/>
      <c r="BH114" s="116" t="str">
        <f t="shared" si="4"/>
        <v/>
      </c>
      <c r="BI114" s="116" t="str">
        <f t="shared" si="5"/>
        <v/>
      </c>
      <c r="BJ114" s="116" t="str">
        <f>IF(AND($A114&lt;&gt;"",$D114=반별조회!$C$5),COUNTIFS($A$3:$A114,"&lt;&gt;",$D$3:$D114,반별조회!$C$5),"")</f>
        <v/>
      </c>
    </row>
    <row r="115" spans="1:62" ht="15" customHeight="1">
      <c r="A115" s="102"/>
      <c r="B115" s="102"/>
      <c r="C115" s="102"/>
      <c r="D115" s="101"/>
      <c r="E115" s="105"/>
      <c r="F115" s="105" t="str">
        <f t="shared" ca="1" si="3"/>
        <v/>
      </c>
      <c r="G115" s="105"/>
      <c r="H115" s="105"/>
      <c r="I115" s="105"/>
      <c r="J115" s="105"/>
      <c r="K115" s="105"/>
      <c r="L115" s="105"/>
      <c r="M115" s="105"/>
      <c r="N115" s="105"/>
      <c r="O115" s="105"/>
      <c r="P115" s="106"/>
      <c r="Q115" s="106"/>
      <c r="R115" s="106"/>
      <c r="S115" s="107"/>
      <c r="T115" s="106"/>
      <c r="U115" s="106"/>
      <c r="V115" s="108"/>
      <c r="W115" s="108"/>
      <c r="X115" s="108"/>
      <c r="Y115" s="108"/>
      <c r="Z115" s="109"/>
      <c r="AA115" s="109"/>
      <c r="AB115" s="109"/>
      <c r="AC115" s="109"/>
      <c r="AD115" s="110"/>
      <c r="AE115" s="110"/>
      <c r="AF115" s="110"/>
      <c r="AG115" s="110"/>
      <c r="AH115" s="110"/>
      <c r="AI115" s="110"/>
      <c r="AJ115" s="110"/>
      <c r="AK115" s="110"/>
      <c r="AL115" s="110"/>
      <c r="AM115" s="110"/>
      <c r="AN115" s="110"/>
      <c r="AO115" s="110"/>
      <c r="AP115" s="110"/>
      <c r="AQ115" s="111"/>
      <c r="AR115" s="110"/>
      <c r="AS115" s="111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3"/>
      <c r="BE115" s="114"/>
      <c r="BF115" s="115"/>
      <c r="BG115" s="115"/>
      <c r="BH115" s="116" t="str">
        <f t="shared" si="4"/>
        <v/>
      </c>
      <c r="BI115" s="116" t="str">
        <f t="shared" si="5"/>
        <v/>
      </c>
      <c r="BJ115" s="116" t="str">
        <f>IF(AND($A115&lt;&gt;"",$D115=반별조회!$C$5),COUNTIFS($A$3:$A115,"&lt;&gt;",$D$3:$D115,반별조회!$C$5),"")</f>
        <v/>
      </c>
    </row>
    <row r="116" spans="1:62" ht="15" customHeight="1">
      <c r="A116" s="102"/>
      <c r="B116" s="102"/>
      <c r="C116" s="102"/>
      <c r="D116" s="101"/>
      <c r="E116" s="105"/>
      <c r="F116" s="105" t="str">
        <f t="shared" ca="1" si="3"/>
        <v/>
      </c>
      <c r="G116" s="105"/>
      <c r="H116" s="105"/>
      <c r="I116" s="105"/>
      <c r="J116" s="105"/>
      <c r="K116" s="105"/>
      <c r="L116" s="105"/>
      <c r="M116" s="105"/>
      <c r="N116" s="105"/>
      <c r="O116" s="105"/>
      <c r="P116" s="106"/>
      <c r="Q116" s="106"/>
      <c r="R116" s="106"/>
      <c r="S116" s="107"/>
      <c r="T116" s="106"/>
      <c r="U116" s="106"/>
      <c r="V116" s="108"/>
      <c r="W116" s="108"/>
      <c r="X116" s="108"/>
      <c r="Y116" s="108"/>
      <c r="Z116" s="109"/>
      <c r="AA116" s="109"/>
      <c r="AB116" s="109"/>
      <c r="AC116" s="109"/>
      <c r="AD116" s="110"/>
      <c r="AE116" s="110"/>
      <c r="AF116" s="110"/>
      <c r="AG116" s="110"/>
      <c r="AH116" s="110"/>
      <c r="AI116" s="110"/>
      <c r="AJ116" s="110"/>
      <c r="AK116" s="110"/>
      <c r="AL116" s="110"/>
      <c r="AM116" s="110"/>
      <c r="AN116" s="110"/>
      <c r="AO116" s="110"/>
      <c r="AP116" s="110"/>
      <c r="AQ116" s="111"/>
      <c r="AR116" s="110"/>
      <c r="AS116" s="111"/>
      <c r="AT116" s="112"/>
      <c r="AU116" s="112"/>
      <c r="AV116" s="112"/>
      <c r="AW116" s="112"/>
      <c r="AX116" s="112"/>
      <c r="AY116" s="112"/>
      <c r="AZ116" s="112"/>
      <c r="BA116" s="112"/>
      <c r="BB116" s="112"/>
      <c r="BC116" s="112"/>
      <c r="BD116" s="113"/>
      <c r="BE116" s="114"/>
      <c r="BF116" s="115"/>
      <c r="BG116" s="115"/>
      <c r="BH116" s="116" t="str">
        <f t="shared" si="4"/>
        <v/>
      </c>
      <c r="BI116" s="116" t="str">
        <f t="shared" si="5"/>
        <v/>
      </c>
      <c r="BJ116" s="116" t="str">
        <f>IF(AND($A116&lt;&gt;"",$D116=반별조회!$C$5),COUNTIFS($A$3:$A116,"&lt;&gt;",$D$3:$D116,반별조회!$C$5),"")</f>
        <v/>
      </c>
    </row>
    <row r="117" spans="1:62" ht="15" customHeight="1">
      <c r="A117" s="102"/>
      <c r="B117" s="102"/>
      <c r="C117" s="102"/>
      <c r="D117" s="101"/>
      <c r="E117" s="105"/>
      <c r="F117" s="105" t="str">
        <f t="shared" ca="1" si="3"/>
        <v/>
      </c>
      <c r="G117" s="105"/>
      <c r="H117" s="105"/>
      <c r="I117" s="105"/>
      <c r="J117" s="105"/>
      <c r="K117" s="105"/>
      <c r="L117" s="105"/>
      <c r="M117" s="105"/>
      <c r="N117" s="105"/>
      <c r="O117" s="105"/>
      <c r="P117" s="106"/>
      <c r="Q117" s="106"/>
      <c r="R117" s="106"/>
      <c r="S117" s="107"/>
      <c r="T117" s="106"/>
      <c r="U117" s="106"/>
      <c r="V117" s="108"/>
      <c r="W117" s="108"/>
      <c r="X117" s="108"/>
      <c r="Y117" s="108"/>
      <c r="Z117" s="109"/>
      <c r="AA117" s="109"/>
      <c r="AB117" s="109"/>
      <c r="AC117" s="109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1"/>
      <c r="AR117" s="110"/>
      <c r="AS117" s="111"/>
      <c r="AT117" s="112"/>
      <c r="AU117" s="112"/>
      <c r="AV117" s="112"/>
      <c r="AW117" s="112"/>
      <c r="AX117" s="112"/>
      <c r="AY117" s="112"/>
      <c r="AZ117" s="112"/>
      <c r="BA117" s="112"/>
      <c r="BB117" s="112"/>
      <c r="BC117" s="112"/>
      <c r="BD117" s="113"/>
      <c r="BE117" s="114"/>
      <c r="BF117" s="115"/>
      <c r="BG117" s="115"/>
      <c r="BH117" s="116" t="str">
        <f t="shared" si="4"/>
        <v/>
      </c>
      <c r="BI117" s="116" t="str">
        <f t="shared" si="5"/>
        <v/>
      </c>
      <c r="BJ117" s="116" t="str">
        <f>IF(AND($A117&lt;&gt;"",$D117=반별조회!$C$5),COUNTIFS($A$3:$A117,"&lt;&gt;",$D$3:$D117,반별조회!$C$5),"")</f>
        <v/>
      </c>
    </row>
    <row r="118" spans="1:62" ht="15" customHeight="1">
      <c r="A118" s="102"/>
      <c r="B118" s="102"/>
      <c r="C118" s="102"/>
      <c r="D118" s="101"/>
      <c r="E118" s="105"/>
      <c r="F118" s="105" t="str">
        <f t="shared" ca="1" si="3"/>
        <v/>
      </c>
      <c r="G118" s="105"/>
      <c r="H118" s="105"/>
      <c r="I118" s="105"/>
      <c r="J118" s="105"/>
      <c r="K118" s="105"/>
      <c r="L118" s="105"/>
      <c r="M118" s="105"/>
      <c r="N118" s="105"/>
      <c r="O118" s="105"/>
      <c r="P118" s="106"/>
      <c r="Q118" s="106"/>
      <c r="R118" s="106"/>
      <c r="S118" s="107"/>
      <c r="T118" s="106"/>
      <c r="U118" s="106"/>
      <c r="V118" s="108"/>
      <c r="W118" s="108"/>
      <c r="X118" s="108"/>
      <c r="Y118" s="108"/>
      <c r="Z118" s="109"/>
      <c r="AA118" s="109"/>
      <c r="AB118" s="109"/>
      <c r="AC118" s="109"/>
      <c r="AD118" s="110"/>
      <c r="AE118" s="110"/>
      <c r="AF118" s="110"/>
      <c r="AG118" s="110"/>
      <c r="AH118" s="110"/>
      <c r="AI118" s="110"/>
      <c r="AJ118" s="110"/>
      <c r="AK118" s="110"/>
      <c r="AL118" s="110"/>
      <c r="AM118" s="110"/>
      <c r="AN118" s="110"/>
      <c r="AO118" s="110"/>
      <c r="AP118" s="110"/>
      <c r="AQ118" s="111"/>
      <c r="AR118" s="110"/>
      <c r="AS118" s="111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3"/>
      <c r="BE118" s="114"/>
      <c r="BF118" s="115"/>
      <c r="BG118" s="115"/>
      <c r="BH118" s="116" t="str">
        <f t="shared" si="4"/>
        <v/>
      </c>
      <c r="BI118" s="116" t="str">
        <f t="shared" si="5"/>
        <v/>
      </c>
      <c r="BJ118" s="116" t="str">
        <f>IF(AND($A118&lt;&gt;"",$D118=반별조회!$C$5),COUNTIFS($A$3:$A118,"&lt;&gt;",$D$3:$D118,반별조회!$C$5),"")</f>
        <v/>
      </c>
    </row>
    <row r="119" spans="1:62" ht="15" customHeight="1">
      <c r="A119" s="102"/>
      <c r="B119" s="102"/>
      <c r="C119" s="102"/>
      <c r="D119" s="101"/>
      <c r="E119" s="105"/>
      <c r="F119" s="105" t="str">
        <f t="shared" ca="1" si="3"/>
        <v/>
      </c>
      <c r="G119" s="105"/>
      <c r="H119" s="105"/>
      <c r="I119" s="105"/>
      <c r="J119" s="105"/>
      <c r="K119" s="105"/>
      <c r="L119" s="105"/>
      <c r="M119" s="105"/>
      <c r="N119" s="105"/>
      <c r="O119" s="105"/>
      <c r="P119" s="106"/>
      <c r="Q119" s="106"/>
      <c r="R119" s="106"/>
      <c r="S119" s="107"/>
      <c r="T119" s="106"/>
      <c r="U119" s="106"/>
      <c r="V119" s="108"/>
      <c r="W119" s="108"/>
      <c r="X119" s="108"/>
      <c r="Y119" s="108"/>
      <c r="Z119" s="109"/>
      <c r="AA119" s="109"/>
      <c r="AB119" s="109"/>
      <c r="AC119" s="109"/>
      <c r="AD119" s="110"/>
      <c r="AE119" s="110"/>
      <c r="AF119" s="110"/>
      <c r="AG119" s="110"/>
      <c r="AH119" s="110"/>
      <c r="AI119" s="110"/>
      <c r="AJ119" s="110"/>
      <c r="AK119" s="110"/>
      <c r="AL119" s="110"/>
      <c r="AM119" s="110"/>
      <c r="AN119" s="110"/>
      <c r="AO119" s="110"/>
      <c r="AP119" s="110"/>
      <c r="AQ119" s="111"/>
      <c r="AR119" s="110"/>
      <c r="AS119" s="111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3"/>
      <c r="BE119" s="114"/>
      <c r="BF119" s="115"/>
      <c r="BG119" s="115"/>
      <c r="BH119" s="116" t="str">
        <f t="shared" si="4"/>
        <v/>
      </c>
      <c r="BI119" s="116" t="str">
        <f t="shared" si="5"/>
        <v/>
      </c>
      <c r="BJ119" s="116" t="str">
        <f>IF(AND($A119&lt;&gt;"",$D119=반별조회!$C$5),COUNTIFS($A$3:$A119,"&lt;&gt;",$D$3:$D119,반별조회!$C$5),"")</f>
        <v/>
      </c>
    </row>
    <row r="120" spans="1:62" ht="15" customHeight="1">
      <c r="A120" s="102"/>
      <c r="B120" s="102"/>
      <c r="C120" s="102"/>
      <c r="D120" s="101"/>
      <c r="E120" s="105"/>
      <c r="F120" s="105" t="str">
        <f t="shared" ca="1" si="3"/>
        <v/>
      </c>
      <c r="G120" s="105"/>
      <c r="H120" s="105"/>
      <c r="I120" s="105"/>
      <c r="J120" s="105"/>
      <c r="K120" s="105"/>
      <c r="L120" s="105"/>
      <c r="M120" s="105"/>
      <c r="N120" s="105"/>
      <c r="O120" s="105"/>
      <c r="P120" s="106"/>
      <c r="Q120" s="106"/>
      <c r="R120" s="106"/>
      <c r="S120" s="107"/>
      <c r="T120" s="106"/>
      <c r="U120" s="106"/>
      <c r="V120" s="108"/>
      <c r="W120" s="108"/>
      <c r="X120" s="108"/>
      <c r="Y120" s="108"/>
      <c r="Z120" s="109"/>
      <c r="AA120" s="109"/>
      <c r="AB120" s="109"/>
      <c r="AC120" s="109"/>
      <c r="AD120" s="110"/>
      <c r="AE120" s="110"/>
      <c r="AF120" s="110"/>
      <c r="AG120" s="110"/>
      <c r="AH120" s="110"/>
      <c r="AI120" s="110"/>
      <c r="AJ120" s="110"/>
      <c r="AK120" s="110"/>
      <c r="AL120" s="110"/>
      <c r="AM120" s="110"/>
      <c r="AN120" s="110"/>
      <c r="AO120" s="110"/>
      <c r="AP120" s="110"/>
      <c r="AQ120" s="111"/>
      <c r="AR120" s="110"/>
      <c r="AS120" s="111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3"/>
      <c r="BE120" s="114"/>
      <c r="BF120" s="115"/>
      <c r="BG120" s="115"/>
      <c r="BH120" s="116" t="str">
        <f t="shared" si="4"/>
        <v/>
      </c>
      <c r="BI120" s="116" t="str">
        <f t="shared" si="5"/>
        <v/>
      </c>
      <c r="BJ120" s="116" t="str">
        <f>IF(AND($A120&lt;&gt;"",$D120=반별조회!$C$5),COUNTIFS($A$3:$A120,"&lt;&gt;",$D$3:$D120,반별조회!$C$5),"")</f>
        <v/>
      </c>
    </row>
    <row r="121" spans="1:62" ht="15" customHeight="1">
      <c r="A121" s="102"/>
      <c r="B121" s="102"/>
      <c r="C121" s="102"/>
      <c r="D121" s="101"/>
      <c r="E121" s="105"/>
      <c r="F121" s="105" t="str">
        <f t="shared" ca="1" si="3"/>
        <v/>
      </c>
      <c r="G121" s="105"/>
      <c r="H121" s="105"/>
      <c r="I121" s="105"/>
      <c r="J121" s="105"/>
      <c r="K121" s="105"/>
      <c r="L121" s="105"/>
      <c r="M121" s="105"/>
      <c r="N121" s="105"/>
      <c r="O121" s="105"/>
      <c r="P121" s="106"/>
      <c r="Q121" s="106"/>
      <c r="R121" s="106"/>
      <c r="S121" s="107"/>
      <c r="T121" s="106"/>
      <c r="U121" s="106"/>
      <c r="V121" s="108"/>
      <c r="W121" s="108"/>
      <c r="X121" s="108"/>
      <c r="Y121" s="108"/>
      <c r="Z121" s="109"/>
      <c r="AA121" s="109"/>
      <c r="AB121" s="109"/>
      <c r="AC121" s="109"/>
      <c r="AD121" s="110"/>
      <c r="AE121" s="110"/>
      <c r="AF121" s="110"/>
      <c r="AG121" s="110"/>
      <c r="AH121" s="110"/>
      <c r="AI121" s="110"/>
      <c r="AJ121" s="110"/>
      <c r="AK121" s="110"/>
      <c r="AL121" s="110"/>
      <c r="AM121" s="110"/>
      <c r="AN121" s="110"/>
      <c r="AO121" s="110"/>
      <c r="AP121" s="110"/>
      <c r="AQ121" s="111"/>
      <c r="AR121" s="110"/>
      <c r="AS121" s="111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3"/>
      <c r="BE121" s="114"/>
      <c r="BF121" s="115"/>
      <c r="BG121" s="115"/>
      <c r="BH121" s="116" t="str">
        <f t="shared" si="4"/>
        <v/>
      </c>
      <c r="BI121" s="116" t="str">
        <f t="shared" si="5"/>
        <v/>
      </c>
      <c r="BJ121" s="116" t="str">
        <f>IF(AND($A121&lt;&gt;"",$D121=반별조회!$C$5),COUNTIFS($A$3:$A121,"&lt;&gt;",$D$3:$D121,반별조회!$C$5),"")</f>
        <v/>
      </c>
    </row>
    <row r="122" spans="1:62" ht="15" customHeight="1">
      <c r="A122" s="102"/>
      <c r="B122" s="102"/>
      <c r="C122" s="102"/>
      <c r="D122" s="101"/>
      <c r="E122" s="105"/>
      <c r="F122" s="105" t="str">
        <f t="shared" ca="1" si="3"/>
        <v/>
      </c>
      <c r="G122" s="105"/>
      <c r="H122" s="105"/>
      <c r="I122" s="105"/>
      <c r="J122" s="105"/>
      <c r="K122" s="105"/>
      <c r="L122" s="105"/>
      <c r="M122" s="105"/>
      <c r="N122" s="105"/>
      <c r="O122" s="105"/>
      <c r="P122" s="106"/>
      <c r="Q122" s="106"/>
      <c r="R122" s="106"/>
      <c r="S122" s="107"/>
      <c r="T122" s="106"/>
      <c r="U122" s="106"/>
      <c r="V122" s="108"/>
      <c r="W122" s="108"/>
      <c r="X122" s="108"/>
      <c r="Y122" s="108"/>
      <c r="Z122" s="109"/>
      <c r="AA122" s="109"/>
      <c r="AB122" s="109"/>
      <c r="AC122" s="109"/>
      <c r="AD122" s="110"/>
      <c r="AE122" s="110"/>
      <c r="AF122" s="110"/>
      <c r="AG122" s="110"/>
      <c r="AH122" s="110"/>
      <c r="AI122" s="110"/>
      <c r="AJ122" s="110"/>
      <c r="AK122" s="110"/>
      <c r="AL122" s="110"/>
      <c r="AM122" s="110"/>
      <c r="AN122" s="110"/>
      <c r="AO122" s="110"/>
      <c r="AP122" s="110"/>
      <c r="AQ122" s="111"/>
      <c r="AR122" s="110"/>
      <c r="AS122" s="111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3"/>
      <c r="BE122" s="114"/>
      <c r="BF122" s="115"/>
      <c r="BG122" s="115"/>
      <c r="BH122" s="116" t="str">
        <f t="shared" si="4"/>
        <v/>
      </c>
      <c r="BI122" s="116" t="str">
        <f t="shared" si="5"/>
        <v/>
      </c>
      <c r="BJ122" s="116" t="str">
        <f>IF(AND($A122&lt;&gt;"",$D122=반별조회!$C$5),COUNTIFS($A$3:$A122,"&lt;&gt;",$D$3:$D122,반별조회!$C$5),"")</f>
        <v/>
      </c>
    </row>
    <row r="123" spans="1:62" ht="15" customHeight="1">
      <c r="A123" s="102"/>
      <c r="B123" s="102"/>
      <c r="C123" s="102"/>
      <c r="D123" s="101"/>
      <c r="E123" s="105"/>
      <c r="F123" s="105" t="str">
        <f t="shared" ca="1" si="3"/>
        <v/>
      </c>
      <c r="G123" s="105"/>
      <c r="H123" s="105"/>
      <c r="I123" s="105"/>
      <c r="J123" s="105"/>
      <c r="K123" s="105"/>
      <c r="L123" s="105"/>
      <c r="M123" s="105"/>
      <c r="N123" s="105"/>
      <c r="O123" s="105"/>
      <c r="P123" s="106"/>
      <c r="Q123" s="106"/>
      <c r="R123" s="106"/>
      <c r="S123" s="107"/>
      <c r="T123" s="106"/>
      <c r="U123" s="106"/>
      <c r="V123" s="108"/>
      <c r="W123" s="108"/>
      <c r="X123" s="108"/>
      <c r="Y123" s="108"/>
      <c r="Z123" s="109"/>
      <c r="AA123" s="109"/>
      <c r="AB123" s="109"/>
      <c r="AC123" s="109"/>
      <c r="AD123" s="110"/>
      <c r="AE123" s="110"/>
      <c r="AF123" s="110"/>
      <c r="AG123" s="110"/>
      <c r="AH123" s="110"/>
      <c r="AI123" s="110"/>
      <c r="AJ123" s="110"/>
      <c r="AK123" s="110"/>
      <c r="AL123" s="110"/>
      <c r="AM123" s="110"/>
      <c r="AN123" s="110"/>
      <c r="AO123" s="110"/>
      <c r="AP123" s="110"/>
      <c r="AQ123" s="111"/>
      <c r="AR123" s="110"/>
      <c r="AS123" s="111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3"/>
      <c r="BE123" s="114"/>
      <c r="BF123" s="115"/>
      <c r="BG123" s="115"/>
      <c r="BH123" s="116" t="str">
        <f t="shared" si="4"/>
        <v/>
      </c>
      <c r="BI123" s="116" t="str">
        <f t="shared" si="5"/>
        <v/>
      </c>
      <c r="BJ123" s="116" t="str">
        <f>IF(AND($A123&lt;&gt;"",$D123=반별조회!$C$5),COUNTIFS($A$3:$A123,"&lt;&gt;",$D$3:$D123,반별조회!$C$5),"")</f>
        <v/>
      </c>
    </row>
    <row r="124" spans="1:62" ht="15" customHeight="1">
      <c r="A124" s="102"/>
      <c r="B124" s="102"/>
      <c r="C124" s="102"/>
      <c r="D124" s="101"/>
      <c r="E124" s="105"/>
      <c r="F124" s="105" t="str">
        <f t="shared" ca="1" si="3"/>
        <v/>
      </c>
      <c r="G124" s="105"/>
      <c r="H124" s="105"/>
      <c r="I124" s="105"/>
      <c r="J124" s="105"/>
      <c r="K124" s="105"/>
      <c r="L124" s="105"/>
      <c r="M124" s="105"/>
      <c r="N124" s="105"/>
      <c r="O124" s="105"/>
      <c r="P124" s="106"/>
      <c r="Q124" s="106"/>
      <c r="R124" s="106"/>
      <c r="S124" s="107"/>
      <c r="T124" s="106"/>
      <c r="U124" s="106"/>
      <c r="V124" s="108"/>
      <c r="W124" s="108"/>
      <c r="X124" s="108"/>
      <c r="Y124" s="108"/>
      <c r="Z124" s="109"/>
      <c r="AA124" s="109"/>
      <c r="AB124" s="109"/>
      <c r="AC124" s="109"/>
      <c r="AD124" s="110"/>
      <c r="AE124" s="110"/>
      <c r="AF124" s="110"/>
      <c r="AG124" s="110"/>
      <c r="AH124" s="110"/>
      <c r="AI124" s="110"/>
      <c r="AJ124" s="110"/>
      <c r="AK124" s="110"/>
      <c r="AL124" s="110"/>
      <c r="AM124" s="110"/>
      <c r="AN124" s="110"/>
      <c r="AO124" s="110"/>
      <c r="AP124" s="110"/>
      <c r="AQ124" s="111"/>
      <c r="AR124" s="110"/>
      <c r="AS124" s="111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3"/>
      <c r="BE124" s="114"/>
      <c r="BF124" s="115"/>
      <c r="BG124" s="115"/>
      <c r="BH124" s="116" t="str">
        <f t="shared" si="4"/>
        <v/>
      </c>
      <c r="BI124" s="116" t="str">
        <f t="shared" si="5"/>
        <v/>
      </c>
      <c r="BJ124" s="116" t="str">
        <f>IF(AND($A124&lt;&gt;"",$D124=반별조회!$C$5),COUNTIFS($A$3:$A124,"&lt;&gt;",$D$3:$D124,반별조회!$C$5),"")</f>
        <v/>
      </c>
    </row>
    <row r="125" spans="1:62" ht="15" customHeight="1">
      <c r="A125" s="102"/>
      <c r="B125" s="102"/>
      <c r="C125" s="102"/>
      <c r="D125" s="101"/>
      <c r="E125" s="105"/>
      <c r="F125" s="105" t="str">
        <f t="shared" ca="1" si="3"/>
        <v/>
      </c>
      <c r="G125" s="105"/>
      <c r="H125" s="105"/>
      <c r="I125" s="105"/>
      <c r="J125" s="105"/>
      <c r="K125" s="105"/>
      <c r="L125" s="105"/>
      <c r="M125" s="105"/>
      <c r="N125" s="105"/>
      <c r="O125" s="105"/>
      <c r="P125" s="106"/>
      <c r="Q125" s="106"/>
      <c r="R125" s="106"/>
      <c r="S125" s="107"/>
      <c r="T125" s="106"/>
      <c r="U125" s="106"/>
      <c r="V125" s="108"/>
      <c r="W125" s="108"/>
      <c r="X125" s="108"/>
      <c r="Y125" s="108"/>
      <c r="Z125" s="109"/>
      <c r="AA125" s="109"/>
      <c r="AB125" s="109"/>
      <c r="AC125" s="109"/>
      <c r="AD125" s="110"/>
      <c r="AE125" s="110"/>
      <c r="AF125" s="110"/>
      <c r="AG125" s="110"/>
      <c r="AH125" s="110"/>
      <c r="AI125" s="110"/>
      <c r="AJ125" s="110"/>
      <c r="AK125" s="110"/>
      <c r="AL125" s="110"/>
      <c r="AM125" s="110"/>
      <c r="AN125" s="110"/>
      <c r="AO125" s="110"/>
      <c r="AP125" s="110"/>
      <c r="AQ125" s="111"/>
      <c r="AR125" s="110"/>
      <c r="AS125" s="111"/>
      <c r="AT125" s="112"/>
      <c r="AU125" s="112"/>
      <c r="AV125" s="112"/>
      <c r="AW125" s="112"/>
      <c r="AX125" s="112"/>
      <c r="AY125" s="112"/>
      <c r="AZ125" s="112"/>
      <c r="BA125" s="112"/>
      <c r="BB125" s="112"/>
      <c r="BC125" s="112"/>
      <c r="BD125" s="113"/>
      <c r="BE125" s="114"/>
      <c r="BF125" s="115"/>
      <c r="BG125" s="115"/>
      <c r="BH125" s="116" t="str">
        <f t="shared" si="4"/>
        <v/>
      </c>
      <c r="BI125" s="116" t="str">
        <f t="shared" si="5"/>
        <v/>
      </c>
      <c r="BJ125" s="116" t="str">
        <f>IF(AND($A125&lt;&gt;"",$D125=반별조회!$C$5),COUNTIFS($A$3:$A125,"&lt;&gt;",$D$3:$D125,반별조회!$C$5),"")</f>
        <v/>
      </c>
    </row>
    <row r="126" spans="1:62" ht="15" customHeight="1">
      <c r="A126" s="102"/>
      <c r="B126" s="102"/>
      <c r="C126" s="102"/>
      <c r="D126" s="101"/>
      <c r="E126" s="105"/>
      <c r="F126" s="105" t="str">
        <f t="shared" ca="1" si="3"/>
        <v/>
      </c>
      <c r="G126" s="105"/>
      <c r="H126" s="105"/>
      <c r="I126" s="105"/>
      <c r="J126" s="105"/>
      <c r="K126" s="105"/>
      <c r="L126" s="105"/>
      <c r="M126" s="105"/>
      <c r="N126" s="105"/>
      <c r="O126" s="105"/>
      <c r="P126" s="106"/>
      <c r="Q126" s="106"/>
      <c r="R126" s="106"/>
      <c r="S126" s="107"/>
      <c r="T126" s="106"/>
      <c r="U126" s="106"/>
      <c r="V126" s="108"/>
      <c r="W126" s="108"/>
      <c r="X126" s="108"/>
      <c r="Y126" s="108"/>
      <c r="Z126" s="109"/>
      <c r="AA126" s="109"/>
      <c r="AB126" s="109"/>
      <c r="AC126" s="109"/>
      <c r="AD126" s="110"/>
      <c r="AE126" s="110"/>
      <c r="AF126" s="110"/>
      <c r="AG126" s="110"/>
      <c r="AH126" s="110"/>
      <c r="AI126" s="110"/>
      <c r="AJ126" s="110"/>
      <c r="AK126" s="110"/>
      <c r="AL126" s="110"/>
      <c r="AM126" s="110"/>
      <c r="AN126" s="110"/>
      <c r="AO126" s="110"/>
      <c r="AP126" s="110"/>
      <c r="AQ126" s="111"/>
      <c r="AR126" s="110"/>
      <c r="AS126" s="111"/>
      <c r="AT126" s="112"/>
      <c r="AU126" s="112"/>
      <c r="AV126" s="112"/>
      <c r="AW126" s="112"/>
      <c r="AX126" s="112"/>
      <c r="AY126" s="112"/>
      <c r="AZ126" s="112"/>
      <c r="BA126" s="112"/>
      <c r="BB126" s="112"/>
      <c r="BC126" s="112"/>
      <c r="BD126" s="113"/>
      <c r="BE126" s="114"/>
      <c r="BF126" s="115"/>
      <c r="BG126" s="115"/>
      <c r="BH126" s="116" t="str">
        <f t="shared" si="4"/>
        <v/>
      </c>
      <c r="BI126" s="116" t="str">
        <f t="shared" si="5"/>
        <v/>
      </c>
      <c r="BJ126" s="116" t="str">
        <f>IF(AND($A126&lt;&gt;"",$D126=반별조회!$C$5),COUNTIFS($A$3:$A126,"&lt;&gt;",$D$3:$D126,반별조회!$C$5),"")</f>
        <v/>
      </c>
    </row>
    <row r="127" spans="1:62" ht="15" customHeight="1">
      <c r="A127" s="102"/>
      <c r="B127" s="102"/>
      <c r="C127" s="102"/>
      <c r="D127" s="101"/>
      <c r="E127" s="105"/>
      <c r="F127" s="105" t="str">
        <f t="shared" ca="1" si="3"/>
        <v/>
      </c>
      <c r="G127" s="105"/>
      <c r="H127" s="105"/>
      <c r="I127" s="105"/>
      <c r="J127" s="105"/>
      <c r="K127" s="105"/>
      <c r="L127" s="105"/>
      <c r="M127" s="105"/>
      <c r="N127" s="105"/>
      <c r="O127" s="105"/>
      <c r="P127" s="106"/>
      <c r="Q127" s="106"/>
      <c r="R127" s="106"/>
      <c r="S127" s="107"/>
      <c r="T127" s="106"/>
      <c r="U127" s="106"/>
      <c r="V127" s="108"/>
      <c r="W127" s="108"/>
      <c r="X127" s="108"/>
      <c r="Y127" s="108"/>
      <c r="Z127" s="109"/>
      <c r="AA127" s="109"/>
      <c r="AB127" s="109"/>
      <c r="AC127" s="109"/>
      <c r="AD127" s="110"/>
      <c r="AE127" s="110"/>
      <c r="AF127" s="110"/>
      <c r="AG127" s="110"/>
      <c r="AH127" s="110"/>
      <c r="AI127" s="110"/>
      <c r="AJ127" s="110"/>
      <c r="AK127" s="110"/>
      <c r="AL127" s="110"/>
      <c r="AM127" s="110"/>
      <c r="AN127" s="110"/>
      <c r="AO127" s="110"/>
      <c r="AP127" s="110"/>
      <c r="AQ127" s="111"/>
      <c r="AR127" s="110"/>
      <c r="AS127" s="111"/>
      <c r="AT127" s="112"/>
      <c r="AU127" s="112"/>
      <c r="AV127" s="112"/>
      <c r="AW127" s="112"/>
      <c r="AX127" s="112"/>
      <c r="AY127" s="112"/>
      <c r="AZ127" s="112"/>
      <c r="BA127" s="112"/>
      <c r="BB127" s="112"/>
      <c r="BC127" s="112"/>
      <c r="BD127" s="113"/>
      <c r="BE127" s="114"/>
      <c r="BF127" s="115"/>
      <c r="BG127" s="115"/>
      <c r="BH127" s="116" t="str">
        <f t="shared" si="4"/>
        <v/>
      </c>
      <c r="BI127" s="116" t="str">
        <f t="shared" si="5"/>
        <v/>
      </c>
      <c r="BJ127" s="116" t="str">
        <f>IF(AND($A127&lt;&gt;"",$D127=반별조회!$C$5),COUNTIFS($A$3:$A127,"&lt;&gt;",$D$3:$D127,반별조회!$C$5),"")</f>
        <v/>
      </c>
    </row>
    <row r="128" spans="1:62" ht="15" customHeight="1">
      <c r="A128" s="102"/>
      <c r="B128" s="102"/>
      <c r="C128" s="102"/>
      <c r="D128" s="101"/>
      <c r="E128" s="105"/>
      <c r="F128" s="105" t="str">
        <f t="shared" ca="1" si="3"/>
        <v/>
      </c>
      <c r="G128" s="105"/>
      <c r="H128" s="105"/>
      <c r="I128" s="105"/>
      <c r="J128" s="105"/>
      <c r="K128" s="105"/>
      <c r="L128" s="105"/>
      <c r="M128" s="105"/>
      <c r="N128" s="105"/>
      <c r="O128" s="105"/>
      <c r="P128" s="106"/>
      <c r="Q128" s="106"/>
      <c r="R128" s="106"/>
      <c r="S128" s="107"/>
      <c r="T128" s="106"/>
      <c r="U128" s="106"/>
      <c r="V128" s="108"/>
      <c r="W128" s="108"/>
      <c r="X128" s="108"/>
      <c r="Y128" s="108"/>
      <c r="Z128" s="109"/>
      <c r="AA128" s="109"/>
      <c r="AB128" s="109"/>
      <c r="AC128" s="109"/>
      <c r="AD128" s="110"/>
      <c r="AE128" s="110"/>
      <c r="AF128" s="110"/>
      <c r="AG128" s="110"/>
      <c r="AH128" s="110"/>
      <c r="AI128" s="110"/>
      <c r="AJ128" s="110"/>
      <c r="AK128" s="110"/>
      <c r="AL128" s="110"/>
      <c r="AM128" s="110"/>
      <c r="AN128" s="110"/>
      <c r="AO128" s="110"/>
      <c r="AP128" s="110"/>
      <c r="AQ128" s="111"/>
      <c r="AR128" s="110"/>
      <c r="AS128" s="111"/>
      <c r="AT128" s="112"/>
      <c r="AU128" s="112"/>
      <c r="AV128" s="112"/>
      <c r="AW128" s="112"/>
      <c r="AX128" s="112"/>
      <c r="AY128" s="112"/>
      <c r="AZ128" s="112"/>
      <c r="BA128" s="112"/>
      <c r="BB128" s="112"/>
      <c r="BC128" s="112"/>
      <c r="BD128" s="113"/>
      <c r="BE128" s="114"/>
      <c r="BF128" s="115"/>
      <c r="BG128" s="115"/>
      <c r="BH128" s="116" t="str">
        <f t="shared" si="4"/>
        <v/>
      </c>
      <c r="BI128" s="116" t="str">
        <f t="shared" si="5"/>
        <v/>
      </c>
      <c r="BJ128" s="116" t="str">
        <f>IF(AND($A128&lt;&gt;"",$D128=반별조회!$C$5),COUNTIFS($A$3:$A128,"&lt;&gt;",$D$3:$D128,반별조회!$C$5),"")</f>
        <v/>
      </c>
    </row>
    <row r="129" spans="1:62" ht="15" customHeight="1">
      <c r="A129" s="102"/>
      <c r="B129" s="102"/>
      <c r="C129" s="102"/>
      <c r="D129" s="101"/>
      <c r="E129" s="105"/>
      <c r="F129" s="105" t="str">
        <f t="shared" ca="1" si="3"/>
        <v/>
      </c>
      <c r="G129" s="105"/>
      <c r="H129" s="105"/>
      <c r="I129" s="105"/>
      <c r="J129" s="105"/>
      <c r="K129" s="105"/>
      <c r="L129" s="105"/>
      <c r="M129" s="105"/>
      <c r="N129" s="105"/>
      <c r="O129" s="105"/>
      <c r="P129" s="106"/>
      <c r="Q129" s="106"/>
      <c r="R129" s="106"/>
      <c r="S129" s="107"/>
      <c r="T129" s="106"/>
      <c r="U129" s="106"/>
      <c r="V129" s="108"/>
      <c r="W129" s="108"/>
      <c r="X129" s="108"/>
      <c r="Y129" s="108"/>
      <c r="Z129" s="109"/>
      <c r="AA129" s="109"/>
      <c r="AB129" s="109"/>
      <c r="AC129" s="109"/>
      <c r="AD129" s="110"/>
      <c r="AE129" s="110"/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1"/>
      <c r="AR129" s="110"/>
      <c r="AS129" s="111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3"/>
      <c r="BE129" s="114"/>
      <c r="BF129" s="115"/>
      <c r="BG129" s="115"/>
      <c r="BH129" s="116" t="str">
        <f t="shared" si="4"/>
        <v/>
      </c>
      <c r="BI129" s="116" t="str">
        <f t="shared" si="5"/>
        <v/>
      </c>
      <c r="BJ129" s="116" t="str">
        <f>IF(AND($A129&lt;&gt;"",$D129=반별조회!$C$5),COUNTIFS($A$3:$A129,"&lt;&gt;",$D$3:$D129,반별조회!$C$5),"")</f>
        <v/>
      </c>
    </row>
    <row r="130" spans="1:62" ht="15" customHeight="1">
      <c r="A130" s="102"/>
      <c r="B130" s="102"/>
      <c r="C130" s="102"/>
      <c r="D130" s="101"/>
      <c r="E130" s="105"/>
      <c r="F130" s="105" t="str">
        <f t="shared" ca="1" si="3"/>
        <v/>
      </c>
      <c r="G130" s="105"/>
      <c r="H130" s="105"/>
      <c r="I130" s="105"/>
      <c r="J130" s="105"/>
      <c r="K130" s="105"/>
      <c r="L130" s="105"/>
      <c r="M130" s="105"/>
      <c r="N130" s="105"/>
      <c r="O130" s="105"/>
      <c r="P130" s="106"/>
      <c r="Q130" s="106"/>
      <c r="R130" s="106"/>
      <c r="S130" s="107"/>
      <c r="T130" s="106"/>
      <c r="U130" s="106"/>
      <c r="V130" s="108"/>
      <c r="W130" s="108"/>
      <c r="X130" s="108"/>
      <c r="Y130" s="108"/>
      <c r="Z130" s="109"/>
      <c r="AA130" s="109"/>
      <c r="AB130" s="109"/>
      <c r="AC130" s="109"/>
      <c r="AD130" s="110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1"/>
      <c r="AR130" s="110"/>
      <c r="AS130" s="111"/>
      <c r="AT130" s="112"/>
      <c r="AU130" s="112"/>
      <c r="AV130" s="112"/>
      <c r="AW130" s="112"/>
      <c r="AX130" s="112"/>
      <c r="AY130" s="112"/>
      <c r="AZ130" s="112"/>
      <c r="BA130" s="112"/>
      <c r="BB130" s="112"/>
      <c r="BC130" s="112"/>
      <c r="BD130" s="113"/>
      <c r="BE130" s="114"/>
      <c r="BF130" s="115"/>
      <c r="BG130" s="115"/>
      <c r="BH130" s="116" t="str">
        <f t="shared" si="4"/>
        <v/>
      </c>
      <c r="BI130" s="116" t="str">
        <f t="shared" si="5"/>
        <v/>
      </c>
      <c r="BJ130" s="116" t="str">
        <f>IF(AND($A130&lt;&gt;"",$D130=반별조회!$C$5),COUNTIFS($A$3:$A130,"&lt;&gt;",$D$3:$D130,반별조회!$C$5),"")</f>
        <v/>
      </c>
    </row>
    <row r="131" spans="1:62" ht="15" customHeight="1">
      <c r="A131" s="102"/>
      <c r="B131" s="102"/>
      <c r="C131" s="102"/>
      <c r="D131" s="101"/>
      <c r="E131" s="105"/>
      <c r="F131" s="105" t="str">
        <f t="shared" ref="F131:F194" ca="1" si="6">IF($E131="","",INT((TODAY()-$E131)/365.25))</f>
        <v/>
      </c>
      <c r="G131" s="105"/>
      <c r="H131" s="105"/>
      <c r="I131" s="105"/>
      <c r="J131" s="105"/>
      <c r="K131" s="105"/>
      <c r="L131" s="105"/>
      <c r="M131" s="105"/>
      <c r="N131" s="105"/>
      <c r="O131" s="105"/>
      <c r="P131" s="106"/>
      <c r="Q131" s="106"/>
      <c r="R131" s="106"/>
      <c r="S131" s="107"/>
      <c r="T131" s="106"/>
      <c r="U131" s="106"/>
      <c r="V131" s="108"/>
      <c r="W131" s="108"/>
      <c r="X131" s="108"/>
      <c r="Y131" s="108"/>
      <c r="Z131" s="109"/>
      <c r="AA131" s="109"/>
      <c r="AB131" s="109"/>
      <c r="AC131" s="109"/>
      <c r="AD131" s="110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1"/>
      <c r="AR131" s="110"/>
      <c r="AS131" s="111"/>
      <c r="AT131" s="112"/>
      <c r="AU131" s="112"/>
      <c r="AV131" s="112"/>
      <c r="AW131" s="112"/>
      <c r="AX131" s="112"/>
      <c r="AY131" s="112"/>
      <c r="AZ131" s="112"/>
      <c r="BA131" s="112"/>
      <c r="BB131" s="112"/>
      <c r="BC131" s="112"/>
      <c r="BD131" s="113"/>
      <c r="BE131" s="114"/>
      <c r="BF131" s="115"/>
      <c r="BG131" s="115"/>
      <c r="BH131" s="116" t="str">
        <f t="shared" ref="BH131:BH194" si="7">IF($A131="","","SYNK-"&amp;TEXT(ROW()-2,"000"))</f>
        <v/>
      </c>
      <c r="BI131" s="116" t="str">
        <f t="shared" ref="BI131:BI194" si="8">IF(A131="","",TRIM(IF(AA131="거절","⚠비자거절 ","")&amp;IF(AS131="설득필요","⚠가족설득필요 ","")&amp;IF(AND(W131="5~6급",OR(S131="완전초보",S131="기초")),"⚠목표-수준괴리 ","")&amp;IF(AND(AQ131="빠듯함",AS131="설득필요"),"⚠재정리스크 ","")))</f>
        <v/>
      </c>
      <c r="BJ131" s="116" t="str">
        <f>IF(AND($A131&lt;&gt;"",$D131=반별조회!$C$5),COUNTIFS($A$3:$A131,"&lt;&gt;",$D$3:$D131,반별조회!$C$5),"")</f>
        <v/>
      </c>
    </row>
    <row r="132" spans="1:62" ht="15" customHeight="1">
      <c r="A132" s="102"/>
      <c r="B132" s="102"/>
      <c r="C132" s="102"/>
      <c r="D132" s="101"/>
      <c r="E132" s="105"/>
      <c r="F132" s="105" t="str">
        <f t="shared" ca="1" si="6"/>
        <v/>
      </c>
      <c r="G132" s="105"/>
      <c r="H132" s="105"/>
      <c r="I132" s="105"/>
      <c r="J132" s="105"/>
      <c r="K132" s="105"/>
      <c r="L132" s="105"/>
      <c r="M132" s="105"/>
      <c r="N132" s="105"/>
      <c r="O132" s="105"/>
      <c r="P132" s="106"/>
      <c r="Q132" s="106"/>
      <c r="R132" s="106"/>
      <c r="S132" s="107"/>
      <c r="T132" s="106"/>
      <c r="U132" s="106"/>
      <c r="V132" s="108"/>
      <c r="W132" s="108"/>
      <c r="X132" s="108"/>
      <c r="Y132" s="108"/>
      <c r="Z132" s="109"/>
      <c r="AA132" s="109"/>
      <c r="AB132" s="109"/>
      <c r="AC132" s="109"/>
      <c r="AD132" s="110"/>
      <c r="AE132" s="110"/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1"/>
      <c r="AR132" s="110"/>
      <c r="AS132" s="111"/>
      <c r="AT132" s="112"/>
      <c r="AU132" s="112"/>
      <c r="AV132" s="112"/>
      <c r="AW132" s="112"/>
      <c r="AX132" s="112"/>
      <c r="AY132" s="112"/>
      <c r="AZ132" s="112"/>
      <c r="BA132" s="112"/>
      <c r="BB132" s="112"/>
      <c r="BC132" s="112"/>
      <c r="BD132" s="113"/>
      <c r="BE132" s="114"/>
      <c r="BF132" s="115"/>
      <c r="BG132" s="115"/>
      <c r="BH132" s="116" t="str">
        <f t="shared" si="7"/>
        <v/>
      </c>
      <c r="BI132" s="116" t="str">
        <f t="shared" si="8"/>
        <v/>
      </c>
      <c r="BJ132" s="116" t="str">
        <f>IF(AND($A132&lt;&gt;"",$D132=반별조회!$C$5),COUNTIFS($A$3:$A132,"&lt;&gt;",$D$3:$D132,반별조회!$C$5),"")</f>
        <v/>
      </c>
    </row>
    <row r="133" spans="1:62" ht="15" customHeight="1">
      <c r="A133" s="102"/>
      <c r="B133" s="102"/>
      <c r="C133" s="102"/>
      <c r="D133" s="101"/>
      <c r="E133" s="105"/>
      <c r="F133" s="105" t="str">
        <f t="shared" ca="1" si="6"/>
        <v/>
      </c>
      <c r="G133" s="105"/>
      <c r="H133" s="105"/>
      <c r="I133" s="105"/>
      <c r="J133" s="105"/>
      <c r="K133" s="105"/>
      <c r="L133" s="105"/>
      <c r="M133" s="105"/>
      <c r="N133" s="105"/>
      <c r="O133" s="105"/>
      <c r="P133" s="106"/>
      <c r="Q133" s="106"/>
      <c r="R133" s="106"/>
      <c r="S133" s="107"/>
      <c r="T133" s="106"/>
      <c r="U133" s="106"/>
      <c r="V133" s="108"/>
      <c r="W133" s="108"/>
      <c r="X133" s="108"/>
      <c r="Y133" s="108"/>
      <c r="Z133" s="109"/>
      <c r="AA133" s="109"/>
      <c r="AB133" s="109"/>
      <c r="AC133" s="109"/>
      <c r="AD133" s="110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1"/>
      <c r="AR133" s="110"/>
      <c r="AS133" s="111"/>
      <c r="AT133" s="112"/>
      <c r="AU133" s="112"/>
      <c r="AV133" s="112"/>
      <c r="AW133" s="112"/>
      <c r="AX133" s="112"/>
      <c r="AY133" s="112"/>
      <c r="AZ133" s="112"/>
      <c r="BA133" s="112"/>
      <c r="BB133" s="112"/>
      <c r="BC133" s="112"/>
      <c r="BD133" s="113"/>
      <c r="BE133" s="114"/>
      <c r="BF133" s="115"/>
      <c r="BG133" s="115"/>
      <c r="BH133" s="116" t="str">
        <f t="shared" si="7"/>
        <v/>
      </c>
      <c r="BI133" s="116" t="str">
        <f t="shared" si="8"/>
        <v/>
      </c>
      <c r="BJ133" s="116" t="str">
        <f>IF(AND($A133&lt;&gt;"",$D133=반별조회!$C$5),COUNTIFS($A$3:$A133,"&lt;&gt;",$D$3:$D133,반별조회!$C$5),"")</f>
        <v/>
      </c>
    </row>
    <row r="134" spans="1:62" ht="15" customHeight="1">
      <c r="A134" s="102"/>
      <c r="B134" s="102"/>
      <c r="C134" s="102"/>
      <c r="D134" s="101"/>
      <c r="E134" s="105"/>
      <c r="F134" s="105" t="str">
        <f t="shared" ca="1" si="6"/>
        <v/>
      </c>
      <c r="G134" s="105"/>
      <c r="H134" s="105"/>
      <c r="I134" s="105"/>
      <c r="J134" s="105"/>
      <c r="K134" s="105"/>
      <c r="L134" s="105"/>
      <c r="M134" s="105"/>
      <c r="N134" s="105"/>
      <c r="O134" s="105"/>
      <c r="P134" s="106"/>
      <c r="Q134" s="106"/>
      <c r="R134" s="106"/>
      <c r="S134" s="107"/>
      <c r="T134" s="106"/>
      <c r="U134" s="106"/>
      <c r="V134" s="108"/>
      <c r="W134" s="108"/>
      <c r="X134" s="108"/>
      <c r="Y134" s="108"/>
      <c r="Z134" s="109"/>
      <c r="AA134" s="109"/>
      <c r="AB134" s="109"/>
      <c r="AC134" s="109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1"/>
      <c r="AR134" s="110"/>
      <c r="AS134" s="111"/>
      <c r="AT134" s="112"/>
      <c r="AU134" s="112"/>
      <c r="AV134" s="112"/>
      <c r="AW134" s="112"/>
      <c r="AX134" s="112"/>
      <c r="AY134" s="112"/>
      <c r="AZ134" s="112"/>
      <c r="BA134" s="112"/>
      <c r="BB134" s="112"/>
      <c r="BC134" s="112"/>
      <c r="BD134" s="113"/>
      <c r="BE134" s="114"/>
      <c r="BF134" s="115"/>
      <c r="BG134" s="115"/>
      <c r="BH134" s="116" t="str">
        <f t="shared" si="7"/>
        <v/>
      </c>
      <c r="BI134" s="116" t="str">
        <f t="shared" si="8"/>
        <v/>
      </c>
      <c r="BJ134" s="116" t="str">
        <f>IF(AND($A134&lt;&gt;"",$D134=반별조회!$C$5),COUNTIFS($A$3:$A134,"&lt;&gt;",$D$3:$D134,반별조회!$C$5),"")</f>
        <v/>
      </c>
    </row>
    <row r="135" spans="1:62" ht="15" customHeight="1">
      <c r="A135" s="102"/>
      <c r="B135" s="102"/>
      <c r="C135" s="102"/>
      <c r="D135" s="101"/>
      <c r="E135" s="105"/>
      <c r="F135" s="105" t="str">
        <f t="shared" ca="1" si="6"/>
        <v/>
      </c>
      <c r="G135" s="105"/>
      <c r="H135" s="105"/>
      <c r="I135" s="105"/>
      <c r="J135" s="105"/>
      <c r="K135" s="105"/>
      <c r="L135" s="105"/>
      <c r="M135" s="105"/>
      <c r="N135" s="105"/>
      <c r="O135" s="105"/>
      <c r="P135" s="106"/>
      <c r="Q135" s="106"/>
      <c r="R135" s="106"/>
      <c r="S135" s="107"/>
      <c r="T135" s="106"/>
      <c r="U135" s="106"/>
      <c r="V135" s="108"/>
      <c r="W135" s="108"/>
      <c r="X135" s="108"/>
      <c r="Y135" s="108"/>
      <c r="Z135" s="109"/>
      <c r="AA135" s="109"/>
      <c r="AB135" s="109"/>
      <c r="AC135" s="109"/>
      <c r="AD135" s="110"/>
      <c r="AE135" s="110"/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1"/>
      <c r="AR135" s="110"/>
      <c r="AS135" s="111"/>
      <c r="AT135" s="112"/>
      <c r="AU135" s="112"/>
      <c r="AV135" s="112"/>
      <c r="AW135" s="112"/>
      <c r="AX135" s="112"/>
      <c r="AY135" s="112"/>
      <c r="AZ135" s="112"/>
      <c r="BA135" s="112"/>
      <c r="BB135" s="112"/>
      <c r="BC135" s="112"/>
      <c r="BD135" s="113"/>
      <c r="BE135" s="114"/>
      <c r="BF135" s="115"/>
      <c r="BG135" s="115"/>
      <c r="BH135" s="116" t="str">
        <f t="shared" si="7"/>
        <v/>
      </c>
      <c r="BI135" s="116" t="str">
        <f t="shared" si="8"/>
        <v/>
      </c>
      <c r="BJ135" s="116" t="str">
        <f>IF(AND($A135&lt;&gt;"",$D135=반별조회!$C$5),COUNTIFS($A$3:$A135,"&lt;&gt;",$D$3:$D135,반별조회!$C$5),"")</f>
        <v/>
      </c>
    </row>
    <row r="136" spans="1:62" ht="15" customHeight="1">
      <c r="A136" s="102"/>
      <c r="B136" s="102"/>
      <c r="C136" s="102"/>
      <c r="D136" s="101"/>
      <c r="E136" s="105"/>
      <c r="F136" s="105" t="str">
        <f t="shared" ca="1" si="6"/>
        <v/>
      </c>
      <c r="G136" s="105"/>
      <c r="H136" s="105"/>
      <c r="I136" s="105"/>
      <c r="J136" s="105"/>
      <c r="K136" s="105"/>
      <c r="L136" s="105"/>
      <c r="M136" s="105"/>
      <c r="N136" s="105"/>
      <c r="O136" s="105"/>
      <c r="P136" s="106"/>
      <c r="Q136" s="106"/>
      <c r="R136" s="106"/>
      <c r="S136" s="107"/>
      <c r="T136" s="106"/>
      <c r="U136" s="106"/>
      <c r="V136" s="108"/>
      <c r="W136" s="108"/>
      <c r="X136" s="108"/>
      <c r="Y136" s="108"/>
      <c r="Z136" s="109"/>
      <c r="AA136" s="109"/>
      <c r="AB136" s="109"/>
      <c r="AC136" s="109"/>
      <c r="AD136" s="110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1"/>
      <c r="AR136" s="110"/>
      <c r="AS136" s="111"/>
      <c r="AT136" s="112"/>
      <c r="AU136" s="112"/>
      <c r="AV136" s="112"/>
      <c r="AW136" s="112"/>
      <c r="AX136" s="112"/>
      <c r="AY136" s="112"/>
      <c r="AZ136" s="112"/>
      <c r="BA136" s="112"/>
      <c r="BB136" s="112"/>
      <c r="BC136" s="112"/>
      <c r="BD136" s="113"/>
      <c r="BE136" s="114"/>
      <c r="BF136" s="115"/>
      <c r="BG136" s="115"/>
      <c r="BH136" s="116" t="str">
        <f t="shared" si="7"/>
        <v/>
      </c>
      <c r="BI136" s="116" t="str">
        <f t="shared" si="8"/>
        <v/>
      </c>
      <c r="BJ136" s="116" t="str">
        <f>IF(AND($A136&lt;&gt;"",$D136=반별조회!$C$5),COUNTIFS($A$3:$A136,"&lt;&gt;",$D$3:$D136,반별조회!$C$5),"")</f>
        <v/>
      </c>
    </row>
    <row r="137" spans="1:62" ht="15" customHeight="1">
      <c r="A137" s="102"/>
      <c r="B137" s="102"/>
      <c r="C137" s="102"/>
      <c r="D137" s="101"/>
      <c r="E137" s="105"/>
      <c r="F137" s="105" t="str">
        <f t="shared" ca="1" si="6"/>
        <v/>
      </c>
      <c r="G137" s="105"/>
      <c r="H137" s="105"/>
      <c r="I137" s="105"/>
      <c r="J137" s="105"/>
      <c r="K137" s="105"/>
      <c r="L137" s="105"/>
      <c r="M137" s="105"/>
      <c r="N137" s="105"/>
      <c r="O137" s="105"/>
      <c r="P137" s="106"/>
      <c r="Q137" s="106"/>
      <c r="R137" s="106"/>
      <c r="S137" s="107"/>
      <c r="T137" s="106"/>
      <c r="U137" s="106"/>
      <c r="V137" s="108"/>
      <c r="W137" s="108"/>
      <c r="X137" s="108"/>
      <c r="Y137" s="108"/>
      <c r="Z137" s="109"/>
      <c r="AA137" s="109"/>
      <c r="AB137" s="109"/>
      <c r="AC137" s="109"/>
      <c r="AD137" s="110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1"/>
      <c r="AR137" s="110"/>
      <c r="AS137" s="111"/>
      <c r="AT137" s="112"/>
      <c r="AU137" s="112"/>
      <c r="AV137" s="112"/>
      <c r="AW137" s="112"/>
      <c r="AX137" s="112"/>
      <c r="AY137" s="112"/>
      <c r="AZ137" s="112"/>
      <c r="BA137" s="112"/>
      <c r="BB137" s="112"/>
      <c r="BC137" s="112"/>
      <c r="BD137" s="113"/>
      <c r="BE137" s="114"/>
      <c r="BF137" s="115"/>
      <c r="BG137" s="115"/>
      <c r="BH137" s="116" t="str">
        <f t="shared" si="7"/>
        <v/>
      </c>
      <c r="BI137" s="116" t="str">
        <f t="shared" si="8"/>
        <v/>
      </c>
      <c r="BJ137" s="116" t="str">
        <f>IF(AND($A137&lt;&gt;"",$D137=반별조회!$C$5),COUNTIFS($A$3:$A137,"&lt;&gt;",$D$3:$D137,반별조회!$C$5),"")</f>
        <v/>
      </c>
    </row>
    <row r="138" spans="1:62" ht="15" customHeight="1">
      <c r="A138" s="102"/>
      <c r="B138" s="102"/>
      <c r="C138" s="102"/>
      <c r="D138" s="101"/>
      <c r="E138" s="105"/>
      <c r="F138" s="105" t="str">
        <f t="shared" ca="1" si="6"/>
        <v/>
      </c>
      <c r="G138" s="105"/>
      <c r="H138" s="105"/>
      <c r="I138" s="105"/>
      <c r="J138" s="105"/>
      <c r="K138" s="105"/>
      <c r="L138" s="105"/>
      <c r="M138" s="105"/>
      <c r="N138" s="105"/>
      <c r="O138" s="105"/>
      <c r="P138" s="106"/>
      <c r="Q138" s="106"/>
      <c r="R138" s="106"/>
      <c r="S138" s="107"/>
      <c r="T138" s="106"/>
      <c r="U138" s="106"/>
      <c r="V138" s="108"/>
      <c r="W138" s="108"/>
      <c r="X138" s="108"/>
      <c r="Y138" s="108"/>
      <c r="Z138" s="109"/>
      <c r="AA138" s="109"/>
      <c r="AB138" s="109"/>
      <c r="AC138" s="109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1"/>
      <c r="AR138" s="110"/>
      <c r="AS138" s="111"/>
      <c r="AT138" s="112"/>
      <c r="AU138" s="112"/>
      <c r="AV138" s="112"/>
      <c r="AW138" s="112"/>
      <c r="AX138" s="112"/>
      <c r="AY138" s="112"/>
      <c r="AZ138" s="112"/>
      <c r="BA138" s="112"/>
      <c r="BB138" s="112"/>
      <c r="BC138" s="112"/>
      <c r="BD138" s="113"/>
      <c r="BE138" s="114"/>
      <c r="BF138" s="115"/>
      <c r="BG138" s="115"/>
      <c r="BH138" s="116" t="str">
        <f t="shared" si="7"/>
        <v/>
      </c>
      <c r="BI138" s="116" t="str">
        <f t="shared" si="8"/>
        <v/>
      </c>
      <c r="BJ138" s="116" t="str">
        <f>IF(AND($A138&lt;&gt;"",$D138=반별조회!$C$5),COUNTIFS($A$3:$A138,"&lt;&gt;",$D$3:$D138,반별조회!$C$5),"")</f>
        <v/>
      </c>
    </row>
    <row r="139" spans="1:62" ht="15" customHeight="1">
      <c r="A139" s="102"/>
      <c r="B139" s="102"/>
      <c r="C139" s="102"/>
      <c r="D139" s="101"/>
      <c r="E139" s="105"/>
      <c r="F139" s="105" t="str">
        <f t="shared" ca="1" si="6"/>
        <v/>
      </c>
      <c r="G139" s="105"/>
      <c r="H139" s="105"/>
      <c r="I139" s="105"/>
      <c r="J139" s="105"/>
      <c r="K139" s="105"/>
      <c r="L139" s="105"/>
      <c r="M139" s="105"/>
      <c r="N139" s="105"/>
      <c r="O139" s="105"/>
      <c r="P139" s="106"/>
      <c r="Q139" s="106"/>
      <c r="R139" s="106"/>
      <c r="S139" s="107"/>
      <c r="T139" s="106"/>
      <c r="U139" s="106"/>
      <c r="V139" s="108"/>
      <c r="W139" s="108"/>
      <c r="X139" s="108"/>
      <c r="Y139" s="108"/>
      <c r="Z139" s="109"/>
      <c r="AA139" s="109"/>
      <c r="AB139" s="109"/>
      <c r="AC139" s="109"/>
      <c r="AD139" s="110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1"/>
      <c r="AR139" s="110"/>
      <c r="AS139" s="111"/>
      <c r="AT139" s="112"/>
      <c r="AU139" s="112"/>
      <c r="AV139" s="112"/>
      <c r="AW139" s="112"/>
      <c r="AX139" s="112"/>
      <c r="AY139" s="112"/>
      <c r="AZ139" s="112"/>
      <c r="BA139" s="112"/>
      <c r="BB139" s="112"/>
      <c r="BC139" s="112"/>
      <c r="BD139" s="113"/>
      <c r="BE139" s="114"/>
      <c r="BF139" s="115"/>
      <c r="BG139" s="115"/>
      <c r="BH139" s="116" t="str">
        <f t="shared" si="7"/>
        <v/>
      </c>
      <c r="BI139" s="116" t="str">
        <f t="shared" si="8"/>
        <v/>
      </c>
      <c r="BJ139" s="116" t="str">
        <f>IF(AND($A139&lt;&gt;"",$D139=반별조회!$C$5),COUNTIFS($A$3:$A139,"&lt;&gt;",$D$3:$D139,반별조회!$C$5),"")</f>
        <v/>
      </c>
    </row>
    <row r="140" spans="1:62" ht="15" customHeight="1">
      <c r="A140" s="102"/>
      <c r="B140" s="102"/>
      <c r="C140" s="102"/>
      <c r="D140" s="101"/>
      <c r="E140" s="105"/>
      <c r="F140" s="105" t="str">
        <f t="shared" ca="1" si="6"/>
        <v/>
      </c>
      <c r="G140" s="105"/>
      <c r="H140" s="105"/>
      <c r="I140" s="105"/>
      <c r="J140" s="105"/>
      <c r="K140" s="105"/>
      <c r="L140" s="105"/>
      <c r="M140" s="105"/>
      <c r="N140" s="105"/>
      <c r="O140" s="105"/>
      <c r="P140" s="106"/>
      <c r="Q140" s="106"/>
      <c r="R140" s="106"/>
      <c r="S140" s="107"/>
      <c r="T140" s="106"/>
      <c r="U140" s="106"/>
      <c r="V140" s="108"/>
      <c r="W140" s="108"/>
      <c r="X140" s="108"/>
      <c r="Y140" s="108"/>
      <c r="Z140" s="109"/>
      <c r="AA140" s="109"/>
      <c r="AB140" s="109"/>
      <c r="AC140" s="109"/>
      <c r="AD140" s="110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1"/>
      <c r="AR140" s="110"/>
      <c r="AS140" s="111"/>
      <c r="AT140" s="112"/>
      <c r="AU140" s="112"/>
      <c r="AV140" s="112"/>
      <c r="AW140" s="112"/>
      <c r="AX140" s="112"/>
      <c r="AY140" s="112"/>
      <c r="AZ140" s="112"/>
      <c r="BA140" s="112"/>
      <c r="BB140" s="112"/>
      <c r="BC140" s="112"/>
      <c r="BD140" s="113"/>
      <c r="BE140" s="114"/>
      <c r="BF140" s="115"/>
      <c r="BG140" s="115"/>
      <c r="BH140" s="116" t="str">
        <f t="shared" si="7"/>
        <v/>
      </c>
      <c r="BI140" s="116" t="str">
        <f t="shared" si="8"/>
        <v/>
      </c>
      <c r="BJ140" s="116" t="str">
        <f>IF(AND($A140&lt;&gt;"",$D140=반별조회!$C$5),COUNTIFS($A$3:$A140,"&lt;&gt;",$D$3:$D140,반별조회!$C$5),"")</f>
        <v/>
      </c>
    </row>
    <row r="141" spans="1:62" ht="15" customHeight="1">
      <c r="A141" s="102"/>
      <c r="B141" s="102"/>
      <c r="C141" s="102"/>
      <c r="D141" s="101"/>
      <c r="E141" s="105"/>
      <c r="F141" s="105" t="str">
        <f t="shared" ca="1" si="6"/>
        <v/>
      </c>
      <c r="G141" s="105"/>
      <c r="H141" s="105"/>
      <c r="I141" s="105"/>
      <c r="J141" s="105"/>
      <c r="K141" s="105"/>
      <c r="L141" s="105"/>
      <c r="M141" s="105"/>
      <c r="N141" s="105"/>
      <c r="O141" s="105"/>
      <c r="P141" s="106"/>
      <c r="Q141" s="106"/>
      <c r="R141" s="106"/>
      <c r="S141" s="107"/>
      <c r="T141" s="106"/>
      <c r="U141" s="106"/>
      <c r="V141" s="108"/>
      <c r="W141" s="108"/>
      <c r="X141" s="108"/>
      <c r="Y141" s="108"/>
      <c r="Z141" s="109"/>
      <c r="AA141" s="109"/>
      <c r="AB141" s="109"/>
      <c r="AC141" s="109"/>
      <c r="AD141" s="110"/>
      <c r="AE141" s="110"/>
      <c r="AF141" s="110"/>
      <c r="AG141" s="110"/>
      <c r="AH141" s="110"/>
      <c r="AI141" s="110"/>
      <c r="AJ141" s="110"/>
      <c r="AK141" s="110"/>
      <c r="AL141" s="110"/>
      <c r="AM141" s="110"/>
      <c r="AN141" s="110"/>
      <c r="AO141" s="110"/>
      <c r="AP141" s="110"/>
      <c r="AQ141" s="111"/>
      <c r="AR141" s="110"/>
      <c r="AS141" s="111"/>
      <c r="AT141" s="112"/>
      <c r="AU141" s="112"/>
      <c r="AV141" s="112"/>
      <c r="AW141" s="112"/>
      <c r="AX141" s="112"/>
      <c r="AY141" s="112"/>
      <c r="AZ141" s="112"/>
      <c r="BA141" s="112"/>
      <c r="BB141" s="112"/>
      <c r="BC141" s="112"/>
      <c r="BD141" s="113"/>
      <c r="BE141" s="114"/>
      <c r="BF141" s="115"/>
      <c r="BG141" s="115"/>
      <c r="BH141" s="116" t="str">
        <f t="shared" si="7"/>
        <v/>
      </c>
      <c r="BI141" s="116" t="str">
        <f t="shared" si="8"/>
        <v/>
      </c>
      <c r="BJ141" s="116" t="str">
        <f>IF(AND($A141&lt;&gt;"",$D141=반별조회!$C$5),COUNTIFS($A$3:$A141,"&lt;&gt;",$D$3:$D141,반별조회!$C$5),"")</f>
        <v/>
      </c>
    </row>
    <row r="142" spans="1:62" ht="15" customHeight="1">
      <c r="A142" s="102"/>
      <c r="B142" s="102"/>
      <c r="C142" s="102"/>
      <c r="D142" s="101"/>
      <c r="E142" s="105"/>
      <c r="F142" s="105" t="str">
        <f t="shared" ca="1" si="6"/>
        <v/>
      </c>
      <c r="G142" s="105"/>
      <c r="H142" s="105"/>
      <c r="I142" s="105"/>
      <c r="J142" s="105"/>
      <c r="K142" s="105"/>
      <c r="L142" s="105"/>
      <c r="M142" s="105"/>
      <c r="N142" s="105"/>
      <c r="O142" s="105"/>
      <c r="P142" s="106"/>
      <c r="Q142" s="106"/>
      <c r="R142" s="106"/>
      <c r="S142" s="107"/>
      <c r="T142" s="106"/>
      <c r="U142" s="106"/>
      <c r="V142" s="108"/>
      <c r="W142" s="108"/>
      <c r="X142" s="108"/>
      <c r="Y142" s="108"/>
      <c r="Z142" s="109"/>
      <c r="AA142" s="109"/>
      <c r="AB142" s="109"/>
      <c r="AC142" s="109"/>
      <c r="AD142" s="110"/>
      <c r="AE142" s="110"/>
      <c r="AF142" s="110"/>
      <c r="AG142" s="110"/>
      <c r="AH142" s="110"/>
      <c r="AI142" s="110"/>
      <c r="AJ142" s="110"/>
      <c r="AK142" s="110"/>
      <c r="AL142" s="110"/>
      <c r="AM142" s="110"/>
      <c r="AN142" s="110"/>
      <c r="AO142" s="110"/>
      <c r="AP142" s="110"/>
      <c r="AQ142" s="111"/>
      <c r="AR142" s="110"/>
      <c r="AS142" s="111"/>
      <c r="AT142" s="112"/>
      <c r="AU142" s="112"/>
      <c r="AV142" s="112"/>
      <c r="AW142" s="112"/>
      <c r="AX142" s="112"/>
      <c r="AY142" s="112"/>
      <c r="AZ142" s="112"/>
      <c r="BA142" s="112"/>
      <c r="BB142" s="112"/>
      <c r="BC142" s="112"/>
      <c r="BD142" s="113"/>
      <c r="BE142" s="114"/>
      <c r="BF142" s="115"/>
      <c r="BG142" s="115"/>
      <c r="BH142" s="116" t="str">
        <f t="shared" si="7"/>
        <v/>
      </c>
      <c r="BI142" s="116" t="str">
        <f t="shared" si="8"/>
        <v/>
      </c>
      <c r="BJ142" s="116" t="str">
        <f>IF(AND($A142&lt;&gt;"",$D142=반별조회!$C$5),COUNTIFS($A$3:$A142,"&lt;&gt;",$D$3:$D142,반별조회!$C$5),"")</f>
        <v/>
      </c>
    </row>
    <row r="143" spans="1:62" ht="15" customHeight="1">
      <c r="A143" s="102"/>
      <c r="B143" s="102"/>
      <c r="C143" s="102"/>
      <c r="D143" s="101"/>
      <c r="E143" s="105"/>
      <c r="F143" s="105" t="str">
        <f t="shared" ca="1" si="6"/>
        <v/>
      </c>
      <c r="G143" s="105"/>
      <c r="H143" s="105"/>
      <c r="I143" s="105"/>
      <c r="J143" s="105"/>
      <c r="K143" s="105"/>
      <c r="L143" s="105"/>
      <c r="M143" s="105"/>
      <c r="N143" s="105"/>
      <c r="O143" s="105"/>
      <c r="P143" s="106"/>
      <c r="Q143" s="106"/>
      <c r="R143" s="106"/>
      <c r="S143" s="107"/>
      <c r="T143" s="106"/>
      <c r="U143" s="106"/>
      <c r="V143" s="108"/>
      <c r="W143" s="108"/>
      <c r="X143" s="108"/>
      <c r="Y143" s="108"/>
      <c r="Z143" s="109"/>
      <c r="AA143" s="109"/>
      <c r="AB143" s="109"/>
      <c r="AC143" s="109"/>
      <c r="AD143" s="110"/>
      <c r="AE143" s="110"/>
      <c r="AF143" s="110"/>
      <c r="AG143" s="110"/>
      <c r="AH143" s="110"/>
      <c r="AI143" s="110"/>
      <c r="AJ143" s="110"/>
      <c r="AK143" s="110"/>
      <c r="AL143" s="110"/>
      <c r="AM143" s="110"/>
      <c r="AN143" s="110"/>
      <c r="AO143" s="110"/>
      <c r="AP143" s="110"/>
      <c r="AQ143" s="111"/>
      <c r="AR143" s="110"/>
      <c r="AS143" s="111"/>
      <c r="AT143" s="112"/>
      <c r="AU143" s="112"/>
      <c r="AV143" s="112"/>
      <c r="AW143" s="112"/>
      <c r="AX143" s="112"/>
      <c r="AY143" s="112"/>
      <c r="AZ143" s="112"/>
      <c r="BA143" s="112"/>
      <c r="BB143" s="112"/>
      <c r="BC143" s="112"/>
      <c r="BD143" s="113"/>
      <c r="BE143" s="114"/>
      <c r="BF143" s="115"/>
      <c r="BG143" s="115"/>
      <c r="BH143" s="116" t="str">
        <f t="shared" si="7"/>
        <v/>
      </c>
      <c r="BI143" s="116" t="str">
        <f t="shared" si="8"/>
        <v/>
      </c>
      <c r="BJ143" s="116" t="str">
        <f>IF(AND($A143&lt;&gt;"",$D143=반별조회!$C$5),COUNTIFS($A$3:$A143,"&lt;&gt;",$D$3:$D143,반별조회!$C$5),"")</f>
        <v/>
      </c>
    </row>
    <row r="144" spans="1:62" ht="15" customHeight="1">
      <c r="A144" s="102"/>
      <c r="B144" s="102"/>
      <c r="C144" s="102"/>
      <c r="D144" s="101"/>
      <c r="E144" s="105"/>
      <c r="F144" s="105" t="str">
        <f t="shared" ca="1" si="6"/>
        <v/>
      </c>
      <c r="G144" s="105"/>
      <c r="H144" s="105"/>
      <c r="I144" s="105"/>
      <c r="J144" s="105"/>
      <c r="K144" s="105"/>
      <c r="L144" s="105"/>
      <c r="M144" s="105"/>
      <c r="N144" s="105"/>
      <c r="O144" s="105"/>
      <c r="P144" s="106"/>
      <c r="Q144" s="106"/>
      <c r="R144" s="106"/>
      <c r="S144" s="107"/>
      <c r="T144" s="106"/>
      <c r="U144" s="106"/>
      <c r="V144" s="108"/>
      <c r="W144" s="108"/>
      <c r="X144" s="108"/>
      <c r="Y144" s="108"/>
      <c r="Z144" s="109"/>
      <c r="AA144" s="109"/>
      <c r="AB144" s="109"/>
      <c r="AC144" s="109"/>
      <c r="AD144" s="110"/>
      <c r="AE144" s="110"/>
      <c r="AF144" s="110"/>
      <c r="AG144" s="110"/>
      <c r="AH144" s="110"/>
      <c r="AI144" s="110"/>
      <c r="AJ144" s="110"/>
      <c r="AK144" s="110"/>
      <c r="AL144" s="110"/>
      <c r="AM144" s="110"/>
      <c r="AN144" s="110"/>
      <c r="AO144" s="110"/>
      <c r="AP144" s="110"/>
      <c r="AQ144" s="111"/>
      <c r="AR144" s="110"/>
      <c r="AS144" s="111"/>
      <c r="AT144" s="112"/>
      <c r="AU144" s="112"/>
      <c r="AV144" s="112"/>
      <c r="AW144" s="112"/>
      <c r="AX144" s="112"/>
      <c r="AY144" s="112"/>
      <c r="AZ144" s="112"/>
      <c r="BA144" s="112"/>
      <c r="BB144" s="112"/>
      <c r="BC144" s="112"/>
      <c r="BD144" s="113"/>
      <c r="BE144" s="114"/>
      <c r="BF144" s="115"/>
      <c r="BG144" s="115"/>
      <c r="BH144" s="116" t="str">
        <f t="shared" si="7"/>
        <v/>
      </c>
      <c r="BI144" s="116" t="str">
        <f t="shared" si="8"/>
        <v/>
      </c>
      <c r="BJ144" s="116" t="str">
        <f>IF(AND($A144&lt;&gt;"",$D144=반별조회!$C$5),COUNTIFS($A$3:$A144,"&lt;&gt;",$D$3:$D144,반별조회!$C$5),"")</f>
        <v/>
      </c>
    </row>
    <row r="145" spans="1:62" ht="15" customHeight="1">
      <c r="A145" s="102"/>
      <c r="B145" s="102"/>
      <c r="C145" s="102"/>
      <c r="D145" s="101"/>
      <c r="E145" s="105"/>
      <c r="F145" s="105" t="str">
        <f t="shared" ca="1" si="6"/>
        <v/>
      </c>
      <c r="G145" s="105"/>
      <c r="H145" s="105"/>
      <c r="I145" s="105"/>
      <c r="J145" s="105"/>
      <c r="K145" s="105"/>
      <c r="L145" s="105"/>
      <c r="M145" s="105"/>
      <c r="N145" s="105"/>
      <c r="O145" s="105"/>
      <c r="P145" s="106"/>
      <c r="Q145" s="106"/>
      <c r="R145" s="106"/>
      <c r="S145" s="107"/>
      <c r="T145" s="106"/>
      <c r="U145" s="106"/>
      <c r="V145" s="108"/>
      <c r="W145" s="108"/>
      <c r="X145" s="108"/>
      <c r="Y145" s="108"/>
      <c r="Z145" s="109"/>
      <c r="AA145" s="109"/>
      <c r="AB145" s="109"/>
      <c r="AC145" s="109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111"/>
      <c r="AR145" s="110"/>
      <c r="AS145" s="111"/>
      <c r="AT145" s="112"/>
      <c r="AU145" s="112"/>
      <c r="AV145" s="112"/>
      <c r="AW145" s="112"/>
      <c r="AX145" s="112"/>
      <c r="AY145" s="112"/>
      <c r="AZ145" s="112"/>
      <c r="BA145" s="112"/>
      <c r="BB145" s="112"/>
      <c r="BC145" s="112"/>
      <c r="BD145" s="113"/>
      <c r="BE145" s="114"/>
      <c r="BF145" s="115"/>
      <c r="BG145" s="115"/>
      <c r="BH145" s="116" t="str">
        <f t="shared" si="7"/>
        <v/>
      </c>
      <c r="BI145" s="116" t="str">
        <f t="shared" si="8"/>
        <v/>
      </c>
      <c r="BJ145" s="116" t="str">
        <f>IF(AND($A145&lt;&gt;"",$D145=반별조회!$C$5),COUNTIFS($A$3:$A145,"&lt;&gt;",$D$3:$D145,반별조회!$C$5),"")</f>
        <v/>
      </c>
    </row>
    <row r="146" spans="1:62" ht="15" customHeight="1">
      <c r="A146" s="102"/>
      <c r="B146" s="102"/>
      <c r="C146" s="102"/>
      <c r="D146" s="101"/>
      <c r="E146" s="105"/>
      <c r="F146" s="105" t="str">
        <f t="shared" ca="1" si="6"/>
        <v/>
      </c>
      <c r="G146" s="105"/>
      <c r="H146" s="105"/>
      <c r="I146" s="105"/>
      <c r="J146" s="105"/>
      <c r="K146" s="105"/>
      <c r="L146" s="105"/>
      <c r="M146" s="105"/>
      <c r="N146" s="105"/>
      <c r="O146" s="105"/>
      <c r="P146" s="106"/>
      <c r="Q146" s="106"/>
      <c r="R146" s="106"/>
      <c r="S146" s="107"/>
      <c r="T146" s="106"/>
      <c r="U146" s="106"/>
      <c r="V146" s="108"/>
      <c r="W146" s="108"/>
      <c r="X146" s="108"/>
      <c r="Y146" s="108"/>
      <c r="Z146" s="109"/>
      <c r="AA146" s="109"/>
      <c r="AB146" s="109"/>
      <c r="AC146" s="109"/>
      <c r="AD146" s="110"/>
      <c r="AE146" s="110"/>
      <c r="AF146" s="110"/>
      <c r="AG146" s="110"/>
      <c r="AH146" s="110"/>
      <c r="AI146" s="110"/>
      <c r="AJ146" s="110"/>
      <c r="AK146" s="110"/>
      <c r="AL146" s="110"/>
      <c r="AM146" s="110"/>
      <c r="AN146" s="110"/>
      <c r="AO146" s="110"/>
      <c r="AP146" s="110"/>
      <c r="AQ146" s="111"/>
      <c r="AR146" s="110"/>
      <c r="AS146" s="111"/>
      <c r="AT146" s="112"/>
      <c r="AU146" s="112"/>
      <c r="AV146" s="112"/>
      <c r="AW146" s="112"/>
      <c r="AX146" s="112"/>
      <c r="AY146" s="112"/>
      <c r="AZ146" s="112"/>
      <c r="BA146" s="112"/>
      <c r="BB146" s="112"/>
      <c r="BC146" s="112"/>
      <c r="BD146" s="113"/>
      <c r="BE146" s="114"/>
      <c r="BF146" s="115"/>
      <c r="BG146" s="115"/>
      <c r="BH146" s="116" t="str">
        <f t="shared" si="7"/>
        <v/>
      </c>
      <c r="BI146" s="116" t="str">
        <f t="shared" si="8"/>
        <v/>
      </c>
      <c r="BJ146" s="116" t="str">
        <f>IF(AND($A146&lt;&gt;"",$D146=반별조회!$C$5),COUNTIFS($A$3:$A146,"&lt;&gt;",$D$3:$D146,반별조회!$C$5),"")</f>
        <v/>
      </c>
    </row>
    <row r="147" spans="1:62" ht="15" customHeight="1">
      <c r="A147" s="102"/>
      <c r="B147" s="102"/>
      <c r="C147" s="102"/>
      <c r="D147" s="101"/>
      <c r="E147" s="105"/>
      <c r="F147" s="105" t="str">
        <f t="shared" ca="1" si="6"/>
        <v/>
      </c>
      <c r="G147" s="105"/>
      <c r="H147" s="105"/>
      <c r="I147" s="105"/>
      <c r="J147" s="105"/>
      <c r="K147" s="105"/>
      <c r="L147" s="105"/>
      <c r="M147" s="105"/>
      <c r="N147" s="105"/>
      <c r="O147" s="105"/>
      <c r="P147" s="106"/>
      <c r="Q147" s="106"/>
      <c r="R147" s="106"/>
      <c r="S147" s="107"/>
      <c r="T147" s="106"/>
      <c r="U147" s="106"/>
      <c r="V147" s="108"/>
      <c r="W147" s="108"/>
      <c r="X147" s="108"/>
      <c r="Y147" s="108"/>
      <c r="Z147" s="109"/>
      <c r="AA147" s="109"/>
      <c r="AB147" s="109"/>
      <c r="AC147" s="109"/>
      <c r="AD147" s="110"/>
      <c r="AE147" s="110"/>
      <c r="AF147" s="110"/>
      <c r="AG147" s="110"/>
      <c r="AH147" s="110"/>
      <c r="AI147" s="110"/>
      <c r="AJ147" s="110"/>
      <c r="AK147" s="110"/>
      <c r="AL147" s="110"/>
      <c r="AM147" s="110"/>
      <c r="AN147" s="110"/>
      <c r="AO147" s="110"/>
      <c r="AP147" s="110"/>
      <c r="AQ147" s="111"/>
      <c r="AR147" s="110"/>
      <c r="AS147" s="111"/>
      <c r="AT147" s="112"/>
      <c r="AU147" s="112"/>
      <c r="AV147" s="112"/>
      <c r="AW147" s="112"/>
      <c r="AX147" s="112"/>
      <c r="AY147" s="112"/>
      <c r="AZ147" s="112"/>
      <c r="BA147" s="112"/>
      <c r="BB147" s="112"/>
      <c r="BC147" s="112"/>
      <c r="BD147" s="113"/>
      <c r="BE147" s="114"/>
      <c r="BF147" s="115"/>
      <c r="BG147" s="115"/>
      <c r="BH147" s="116" t="str">
        <f t="shared" si="7"/>
        <v/>
      </c>
      <c r="BI147" s="116" t="str">
        <f t="shared" si="8"/>
        <v/>
      </c>
      <c r="BJ147" s="116" t="str">
        <f>IF(AND($A147&lt;&gt;"",$D147=반별조회!$C$5),COUNTIFS($A$3:$A147,"&lt;&gt;",$D$3:$D147,반별조회!$C$5),"")</f>
        <v/>
      </c>
    </row>
    <row r="148" spans="1:62" ht="15" customHeight="1">
      <c r="A148" s="102"/>
      <c r="B148" s="102"/>
      <c r="C148" s="102"/>
      <c r="D148" s="101"/>
      <c r="E148" s="105"/>
      <c r="F148" s="105" t="str">
        <f t="shared" ca="1" si="6"/>
        <v/>
      </c>
      <c r="G148" s="105"/>
      <c r="H148" s="105"/>
      <c r="I148" s="105"/>
      <c r="J148" s="105"/>
      <c r="K148" s="105"/>
      <c r="L148" s="105"/>
      <c r="M148" s="105"/>
      <c r="N148" s="105"/>
      <c r="O148" s="105"/>
      <c r="P148" s="106"/>
      <c r="Q148" s="106"/>
      <c r="R148" s="106"/>
      <c r="S148" s="107"/>
      <c r="T148" s="106"/>
      <c r="U148" s="106"/>
      <c r="V148" s="108"/>
      <c r="W148" s="108"/>
      <c r="X148" s="108"/>
      <c r="Y148" s="108"/>
      <c r="Z148" s="109"/>
      <c r="AA148" s="109"/>
      <c r="AB148" s="109"/>
      <c r="AC148" s="109"/>
      <c r="AD148" s="110"/>
      <c r="AE148" s="110"/>
      <c r="AF148" s="110"/>
      <c r="AG148" s="110"/>
      <c r="AH148" s="110"/>
      <c r="AI148" s="110"/>
      <c r="AJ148" s="110"/>
      <c r="AK148" s="110"/>
      <c r="AL148" s="110"/>
      <c r="AM148" s="110"/>
      <c r="AN148" s="110"/>
      <c r="AO148" s="110"/>
      <c r="AP148" s="110"/>
      <c r="AQ148" s="111"/>
      <c r="AR148" s="110"/>
      <c r="AS148" s="111"/>
      <c r="AT148" s="112"/>
      <c r="AU148" s="112"/>
      <c r="AV148" s="112"/>
      <c r="AW148" s="112"/>
      <c r="AX148" s="112"/>
      <c r="AY148" s="112"/>
      <c r="AZ148" s="112"/>
      <c r="BA148" s="112"/>
      <c r="BB148" s="112"/>
      <c r="BC148" s="112"/>
      <c r="BD148" s="113"/>
      <c r="BE148" s="114"/>
      <c r="BF148" s="115"/>
      <c r="BG148" s="115"/>
      <c r="BH148" s="116" t="str">
        <f t="shared" si="7"/>
        <v/>
      </c>
      <c r="BI148" s="116" t="str">
        <f t="shared" si="8"/>
        <v/>
      </c>
      <c r="BJ148" s="116" t="str">
        <f>IF(AND($A148&lt;&gt;"",$D148=반별조회!$C$5),COUNTIFS($A$3:$A148,"&lt;&gt;",$D$3:$D148,반별조회!$C$5),"")</f>
        <v/>
      </c>
    </row>
    <row r="149" spans="1:62" ht="15" customHeight="1">
      <c r="A149" s="102"/>
      <c r="B149" s="102"/>
      <c r="C149" s="102"/>
      <c r="D149" s="101"/>
      <c r="E149" s="105"/>
      <c r="F149" s="105" t="str">
        <f t="shared" ca="1" si="6"/>
        <v/>
      </c>
      <c r="G149" s="105"/>
      <c r="H149" s="105"/>
      <c r="I149" s="105"/>
      <c r="J149" s="105"/>
      <c r="K149" s="105"/>
      <c r="L149" s="105"/>
      <c r="M149" s="105"/>
      <c r="N149" s="105"/>
      <c r="O149" s="105"/>
      <c r="P149" s="106"/>
      <c r="Q149" s="106"/>
      <c r="R149" s="106"/>
      <c r="S149" s="107"/>
      <c r="T149" s="106"/>
      <c r="U149" s="106"/>
      <c r="V149" s="108"/>
      <c r="W149" s="108"/>
      <c r="X149" s="108"/>
      <c r="Y149" s="108"/>
      <c r="Z149" s="109"/>
      <c r="AA149" s="109"/>
      <c r="AB149" s="109"/>
      <c r="AC149" s="109"/>
      <c r="AD149" s="110"/>
      <c r="AE149" s="110"/>
      <c r="AF149" s="110"/>
      <c r="AG149" s="110"/>
      <c r="AH149" s="110"/>
      <c r="AI149" s="110"/>
      <c r="AJ149" s="110"/>
      <c r="AK149" s="110"/>
      <c r="AL149" s="110"/>
      <c r="AM149" s="110"/>
      <c r="AN149" s="110"/>
      <c r="AO149" s="110"/>
      <c r="AP149" s="110"/>
      <c r="AQ149" s="111"/>
      <c r="AR149" s="110"/>
      <c r="AS149" s="111"/>
      <c r="AT149" s="112"/>
      <c r="AU149" s="112"/>
      <c r="AV149" s="112"/>
      <c r="AW149" s="112"/>
      <c r="AX149" s="112"/>
      <c r="AY149" s="112"/>
      <c r="AZ149" s="112"/>
      <c r="BA149" s="112"/>
      <c r="BB149" s="112"/>
      <c r="BC149" s="112"/>
      <c r="BD149" s="113"/>
      <c r="BE149" s="114"/>
      <c r="BF149" s="115"/>
      <c r="BG149" s="115"/>
      <c r="BH149" s="116" t="str">
        <f t="shared" si="7"/>
        <v/>
      </c>
      <c r="BI149" s="116" t="str">
        <f t="shared" si="8"/>
        <v/>
      </c>
      <c r="BJ149" s="116" t="str">
        <f>IF(AND($A149&lt;&gt;"",$D149=반별조회!$C$5),COUNTIFS($A$3:$A149,"&lt;&gt;",$D$3:$D149,반별조회!$C$5),"")</f>
        <v/>
      </c>
    </row>
    <row r="150" spans="1:62" ht="15" customHeight="1">
      <c r="A150" s="102"/>
      <c r="B150" s="102"/>
      <c r="C150" s="102"/>
      <c r="D150" s="101"/>
      <c r="E150" s="105"/>
      <c r="F150" s="105" t="str">
        <f t="shared" ca="1" si="6"/>
        <v/>
      </c>
      <c r="G150" s="105"/>
      <c r="H150" s="105"/>
      <c r="I150" s="105"/>
      <c r="J150" s="105"/>
      <c r="K150" s="105"/>
      <c r="L150" s="105"/>
      <c r="M150" s="105"/>
      <c r="N150" s="105"/>
      <c r="O150" s="105"/>
      <c r="P150" s="106"/>
      <c r="Q150" s="106"/>
      <c r="R150" s="106"/>
      <c r="S150" s="107"/>
      <c r="T150" s="106"/>
      <c r="U150" s="106"/>
      <c r="V150" s="108"/>
      <c r="W150" s="108"/>
      <c r="X150" s="108"/>
      <c r="Y150" s="108"/>
      <c r="Z150" s="109"/>
      <c r="AA150" s="109"/>
      <c r="AB150" s="109"/>
      <c r="AC150" s="109"/>
      <c r="AD150" s="110"/>
      <c r="AE150" s="110"/>
      <c r="AF150" s="110"/>
      <c r="AG150" s="110"/>
      <c r="AH150" s="110"/>
      <c r="AI150" s="110"/>
      <c r="AJ150" s="110"/>
      <c r="AK150" s="110"/>
      <c r="AL150" s="110"/>
      <c r="AM150" s="110"/>
      <c r="AN150" s="110"/>
      <c r="AO150" s="110"/>
      <c r="AP150" s="110"/>
      <c r="AQ150" s="111"/>
      <c r="AR150" s="110"/>
      <c r="AS150" s="111"/>
      <c r="AT150" s="112"/>
      <c r="AU150" s="112"/>
      <c r="AV150" s="112"/>
      <c r="AW150" s="112"/>
      <c r="AX150" s="112"/>
      <c r="AY150" s="112"/>
      <c r="AZ150" s="112"/>
      <c r="BA150" s="112"/>
      <c r="BB150" s="112"/>
      <c r="BC150" s="112"/>
      <c r="BD150" s="113"/>
      <c r="BE150" s="114"/>
      <c r="BF150" s="115"/>
      <c r="BG150" s="115"/>
      <c r="BH150" s="116" t="str">
        <f t="shared" si="7"/>
        <v/>
      </c>
      <c r="BI150" s="116" t="str">
        <f t="shared" si="8"/>
        <v/>
      </c>
      <c r="BJ150" s="116" t="str">
        <f>IF(AND($A150&lt;&gt;"",$D150=반별조회!$C$5),COUNTIFS($A$3:$A150,"&lt;&gt;",$D$3:$D150,반별조회!$C$5),"")</f>
        <v/>
      </c>
    </row>
    <row r="151" spans="1:62" ht="15" customHeight="1">
      <c r="A151" s="102"/>
      <c r="B151" s="102"/>
      <c r="C151" s="102"/>
      <c r="D151" s="101"/>
      <c r="E151" s="105"/>
      <c r="F151" s="105" t="str">
        <f t="shared" ca="1" si="6"/>
        <v/>
      </c>
      <c r="G151" s="105"/>
      <c r="H151" s="105"/>
      <c r="I151" s="105"/>
      <c r="J151" s="105"/>
      <c r="K151" s="105"/>
      <c r="L151" s="105"/>
      <c r="M151" s="105"/>
      <c r="N151" s="105"/>
      <c r="O151" s="105"/>
      <c r="P151" s="106"/>
      <c r="Q151" s="106"/>
      <c r="R151" s="106"/>
      <c r="S151" s="107"/>
      <c r="T151" s="106"/>
      <c r="U151" s="106"/>
      <c r="V151" s="108"/>
      <c r="W151" s="108"/>
      <c r="X151" s="108"/>
      <c r="Y151" s="108"/>
      <c r="Z151" s="109"/>
      <c r="AA151" s="109"/>
      <c r="AB151" s="109"/>
      <c r="AC151" s="109"/>
      <c r="AD151" s="110"/>
      <c r="AE151" s="110"/>
      <c r="AF151" s="110"/>
      <c r="AG151" s="110"/>
      <c r="AH151" s="110"/>
      <c r="AI151" s="110"/>
      <c r="AJ151" s="110"/>
      <c r="AK151" s="110"/>
      <c r="AL151" s="110"/>
      <c r="AM151" s="110"/>
      <c r="AN151" s="110"/>
      <c r="AO151" s="110"/>
      <c r="AP151" s="110"/>
      <c r="AQ151" s="111"/>
      <c r="AR151" s="110"/>
      <c r="AS151" s="111"/>
      <c r="AT151" s="112"/>
      <c r="AU151" s="112"/>
      <c r="AV151" s="112"/>
      <c r="AW151" s="112"/>
      <c r="AX151" s="112"/>
      <c r="AY151" s="112"/>
      <c r="AZ151" s="112"/>
      <c r="BA151" s="112"/>
      <c r="BB151" s="112"/>
      <c r="BC151" s="112"/>
      <c r="BD151" s="113"/>
      <c r="BE151" s="114"/>
      <c r="BF151" s="115"/>
      <c r="BG151" s="115"/>
      <c r="BH151" s="116" t="str">
        <f t="shared" si="7"/>
        <v/>
      </c>
      <c r="BI151" s="116" t="str">
        <f t="shared" si="8"/>
        <v/>
      </c>
      <c r="BJ151" s="116" t="str">
        <f>IF(AND($A151&lt;&gt;"",$D151=반별조회!$C$5),COUNTIFS($A$3:$A151,"&lt;&gt;",$D$3:$D151,반별조회!$C$5),"")</f>
        <v/>
      </c>
    </row>
    <row r="152" spans="1:62" ht="15" customHeight="1">
      <c r="A152" s="102"/>
      <c r="B152" s="102"/>
      <c r="C152" s="102"/>
      <c r="D152" s="101"/>
      <c r="E152" s="105"/>
      <c r="F152" s="105" t="str">
        <f t="shared" ca="1" si="6"/>
        <v/>
      </c>
      <c r="G152" s="105"/>
      <c r="H152" s="105"/>
      <c r="I152" s="105"/>
      <c r="J152" s="105"/>
      <c r="K152" s="105"/>
      <c r="L152" s="105"/>
      <c r="M152" s="105"/>
      <c r="N152" s="105"/>
      <c r="O152" s="105"/>
      <c r="P152" s="106"/>
      <c r="Q152" s="106"/>
      <c r="R152" s="106"/>
      <c r="S152" s="107"/>
      <c r="T152" s="106"/>
      <c r="U152" s="106"/>
      <c r="V152" s="108"/>
      <c r="W152" s="108"/>
      <c r="X152" s="108"/>
      <c r="Y152" s="108"/>
      <c r="Z152" s="109"/>
      <c r="AA152" s="109"/>
      <c r="AB152" s="109"/>
      <c r="AC152" s="109"/>
      <c r="AD152" s="110"/>
      <c r="AE152" s="110"/>
      <c r="AF152" s="110"/>
      <c r="AG152" s="110"/>
      <c r="AH152" s="110"/>
      <c r="AI152" s="110"/>
      <c r="AJ152" s="110"/>
      <c r="AK152" s="110"/>
      <c r="AL152" s="110"/>
      <c r="AM152" s="110"/>
      <c r="AN152" s="110"/>
      <c r="AO152" s="110"/>
      <c r="AP152" s="110"/>
      <c r="AQ152" s="111"/>
      <c r="AR152" s="110"/>
      <c r="AS152" s="111"/>
      <c r="AT152" s="112"/>
      <c r="AU152" s="112"/>
      <c r="AV152" s="112"/>
      <c r="AW152" s="112"/>
      <c r="AX152" s="112"/>
      <c r="AY152" s="112"/>
      <c r="AZ152" s="112"/>
      <c r="BA152" s="112"/>
      <c r="BB152" s="112"/>
      <c r="BC152" s="112"/>
      <c r="BD152" s="113"/>
      <c r="BE152" s="114"/>
      <c r="BF152" s="115"/>
      <c r="BG152" s="115"/>
      <c r="BH152" s="116" t="str">
        <f t="shared" si="7"/>
        <v/>
      </c>
      <c r="BI152" s="116" t="str">
        <f t="shared" si="8"/>
        <v/>
      </c>
      <c r="BJ152" s="116" t="str">
        <f>IF(AND($A152&lt;&gt;"",$D152=반별조회!$C$5),COUNTIFS($A$3:$A152,"&lt;&gt;",$D$3:$D152,반별조회!$C$5),"")</f>
        <v/>
      </c>
    </row>
    <row r="153" spans="1:62" ht="15" customHeight="1">
      <c r="A153" s="102"/>
      <c r="B153" s="102"/>
      <c r="C153" s="102"/>
      <c r="D153" s="101"/>
      <c r="E153" s="105"/>
      <c r="F153" s="105" t="str">
        <f t="shared" ca="1" si="6"/>
        <v/>
      </c>
      <c r="G153" s="105"/>
      <c r="H153" s="105"/>
      <c r="I153" s="105"/>
      <c r="J153" s="105"/>
      <c r="K153" s="105"/>
      <c r="L153" s="105"/>
      <c r="M153" s="105"/>
      <c r="N153" s="105"/>
      <c r="O153" s="105"/>
      <c r="P153" s="106"/>
      <c r="Q153" s="106"/>
      <c r="R153" s="106"/>
      <c r="S153" s="107"/>
      <c r="T153" s="106"/>
      <c r="U153" s="106"/>
      <c r="V153" s="108"/>
      <c r="W153" s="108"/>
      <c r="X153" s="108"/>
      <c r="Y153" s="108"/>
      <c r="Z153" s="109"/>
      <c r="AA153" s="109"/>
      <c r="AB153" s="109"/>
      <c r="AC153" s="109"/>
      <c r="AD153" s="110"/>
      <c r="AE153" s="110"/>
      <c r="AF153" s="110"/>
      <c r="AG153" s="110"/>
      <c r="AH153" s="110"/>
      <c r="AI153" s="110"/>
      <c r="AJ153" s="110"/>
      <c r="AK153" s="110"/>
      <c r="AL153" s="110"/>
      <c r="AM153" s="110"/>
      <c r="AN153" s="110"/>
      <c r="AO153" s="110"/>
      <c r="AP153" s="110"/>
      <c r="AQ153" s="111"/>
      <c r="AR153" s="110"/>
      <c r="AS153" s="111"/>
      <c r="AT153" s="112"/>
      <c r="AU153" s="112"/>
      <c r="AV153" s="112"/>
      <c r="AW153" s="112"/>
      <c r="AX153" s="112"/>
      <c r="AY153" s="112"/>
      <c r="AZ153" s="112"/>
      <c r="BA153" s="112"/>
      <c r="BB153" s="112"/>
      <c r="BC153" s="112"/>
      <c r="BD153" s="113"/>
      <c r="BE153" s="114"/>
      <c r="BF153" s="115"/>
      <c r="BG153" s="115"/>
      <c r="BH153" s="116" t="str">
        <f t="shared" si="7"/>
        <v/>
      </c>
      <c r="BI153" s="116" t="str">
        <f t="shared" si="8"/>
        <v/>
      </c>
      <c r="BJ153" s="116" t="str">
        <f>IF(AND($A153&lt;&gt;"",$D153=반별조회!$C$5),COUNTIFS($A$3:$A153,"&lt;&gt;",$D$3:$D153,반별조회!$C$5),"")</f>
        <v/>
      </c>
    </row>
    <row r="154" spans="1:62" ht="15" customHeight="1">
      <c r="A154" s="102"/>
      <c r="B154" s="102"/>
      <c r="C154" s="102"/>
      <c r="D154" s="101"/>
      <c r="E154" s="105"/>
      <c r="F154" s="105" t="str">
        <f t="shared" ca="1" si="6"/>
        <v/>
      </c>
      <c r="G154" s="105"/>
      <c r="H154" s="105"/>
      <c r="I154" s="105"/>
      <c r="J154" s="105"/>
      <c r="K154" s="105"/>
      <c r="L154" s="105"/>
      <c r="M154" s="105"/>
      <c r="N154" s="105"/>
      <c r="O154" s="105"/>
      <c r="P154" s="106"/>
      <c r="Q154" s="106"/>
      <c r="R154" s="106"/>
      <c r="S154" s="107"/>
      <c r="T154" s="106"/>
      <c r="U154" s="106"/>
      <c r="V154" s="108"/>
      <c r="W154" s="108"/>
      <c r="X154" s="108"/>
      <c r="Y154" s="108"/>
      <c r="Z154" s="109"/>
      <c r="AA154" s="109"/>
      <c r="AB154" s="109"/>
      <c r="AC154" s="109"/>
      <c r="AD154" s="110"/>
      <c r="AE154" s="110"/>
      <c r="AF154" s="110"/>
      <c r="AG154" s="110"/>
      <c r="AH154" s="110"/>
      <c r="AI154" s="110"/>
      <c r="AJ154" s="110"/>
      <c r="AK154" s="110"/>
      <c r="AL154" s="110"/>
      <c r="AM154" s="110"/>
      <c r="AN154" s="110"/>
      <c r="AO154" s="110"/>
      <c r="AP154" s="110"/>
      <c r="AQ154" s="111"/>
      <c r="AR154" s="110"/>
      <c r="AS154" s="111"/>
      <c r="AT154" s="112"/>
      <c r="AU154" s="112"/>
      <c r="AV154" s="112"/>
      <c r="AW154" s="112"/>
      <c r="AX154" s="112"/>
      <c r="AY154" s="112"/>
      <c r="AZ154" s="112"/>
      <c r="BA154" s="112"/>
      <c r="BB154" s="112"/>
      <c r="BC154" s="112"/>
      <c r="BD154" s="113"/>
      <c r="BE154" s="114"/>
      <c r="BF154" s="115"/>
      <c r="BG154" s="115"/>
      <c r="BH154" s="116" t="str">
        <f t="shared" si="7"/>
        <v/>
      </c>
      <c r="BI154" s="116" t="str">
        <f t="shared" si="8"/>
        <v/>
      </c>
      <c r="BJ154" s="116" t="str">
        <f>IF(AND($A154&lt;&gt;"",$D154=반별조회!$C$5),COUNTIFS($A$3:$A154,"&lt;&gt;",$D$3:$D154,반별조회!$C$5),"")</f>
        <v/>
      </c>
    </row>
    <row r="155" spans="1:62" ht="15" customHeight="1">
      <c r="A155" s="102"/>
      <c r="B155" s="102"/>
      <c r="C155" s="102"/>
      <c r="D155" s="101"/>
      <c r="E155" s="105"/>
      <c r="F155" s="105" t="str">
        <f t="shared" ca="1" si="6"/>
        <v/>
      </c>
      <c r="G155" s="105"/>
      <c r="H155" s="105"/>
      <c r="I155" s="105"/>
      <c r="J155" s="105"/>
      <c r="K155" s="105"/>
      <c r="L155" s="105"/>
      <c r="M155" s="105"/>
      <c r="N155" s="105"/>
      <c r="O155" s="105"/>
      <c r="P155" s="106"/>
      <c r="Q155" s="106"/>
      <c r="R155" s="106"/>
      <c r="S155" s="107"/>
      <c r="T155" s="106"/>
      <c r="U155" s="106"/>
      <c r="V155" s="108"/>
      <c r="W155" s="108"/>
      <c r="X155" s="108"/>
      <c r="Y155" s="108"/>
      <c r="Z155" s="109"/>
      <c r="AA155" s="109"/>
      <c r="AB155" s="109"/>
      <c r="AC155" s="109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1"/>
      <c r="AR155" s="110"/>
      <c r="AS155" s="111"/>
      <c r="AT155" s="112"/>
      <c r="AU155" s="112"/>
      <c r="AV155" s="112"/>
      <c r="AW155" s="112"/>
      <c r="AX155" s="112"/>
      <c r="AY155" s="112"/>
      <c r="AZ155" s="112"/>
      <c r="BA155" s="112"/>
      <c r="BB155" s="112"/>
      <c r="BC155" s="112"/>
      <c r="BD155" s="113"/>
      <c r="BE155" s="114"/>
      <c r="BF155" s="115"/>
      <c r="BG155" s="115"/>
      <c r="BH155" s="116" t="str">
        <f t="shared" si="7"/>
        <v/>
      </c>
      <c r="BI155" s="116" t="str">
        <f t="shared" si="8"/>
        <v/>
      </c>
      <c r="BJ155" s="116" t="str">
        <f>IF(AND($A155&lt;&gt;"",$D155=반별조회!$C$5),COUNTIFS($A$3:$A155,"&lt;&gt;",$D$3:$D155,반별조회!$C$5),"")</f>
        <v/>
      </c>
    </row>
    <row r="156" spans="1:62" ht="15" customHeight="1">
      <c r="A156" s="102"/>
      <c r="B156" s="102"/>
      <c r="C156" s="102"/>
      <c r="D156" s="101"/>
      <c r="E156" s="105"/>
      <c r="F156" s="105" t="str">
        <f t="shared" ca="1" si="6"/>
        <v/>
      </c>
      <c r="G156" s="105"/>
      <c r="H156" s="105"/>
      <c r="I156" s="105"/>
      <c r="J156" s="105"/>
      <c r="K156" s="105"/>
      <c r="L156" s="105"/>
      <c r="M156" s="105"/>
      <c r="N156" s="105"/>
      <c r="O156" s="105"/>
      <c r="P156" s="106"/>
      <c r="Q156" s="106"/>
      <c r="R156" s="106"/>
      <c r="S156" s="107"/>
      <c r="T156" s="106"/>
      <c r="U156" s="106"/>
      <c r="V156" s="108"/>
      <c r="W156" s="108"/>
      <c r="X156" s="108"/>
      <c r="Y156" s="108"/>
      <c r="Z156" s="109"/>
      <c r="AA156" s="109"/>
      <c r="AB156" s="109"/>
      <c r="AC156" s="109"/>
      <c r="AD156" s="110"/>
      <c r="AE156" s="110"/>
      <c r="AF156" s="110"/>
      <c r="AG156" s="110"/>
      <c r="AH156" s="110"/>
      <c r="AI156" s="110"/>
      <c r="AJ156" s="110"/>
      <c r="AK156" s="110"/>
      <c r="AL156" s="110"/>
      <c r="AM156" s="110"/>
      <c r="AN156" s="110"/>
      <c r="AO156" s="110"/>
      <c r="AP156" s="110"/>
      <c r="AQ156" s="111"/>
      <c r="AR156" s="110"/>
      <c r="AS156" s="111"/>
      <c r="AT156" s="112"/>
      <c r="AU156" s="112"/>
      <c r="AV156" s="112"/>
      <c r="AW156" s="112"/>
      <c r="AX156" s="112"/>
      <c r="AY156" s="112"/>
      <c r="AZ156" s="112"/>
      <c r="BA156" s="112"/>
      <c r="BB156" s="112"/>
      <c r="BC156" s="112"/>
      <c r="BD156" s="113"/>
      <c r="BE156" s="114"/>
      <c r="BF156" s="115"/>
      <c r="BG156" s="115"/>
      <c r="BH156" s="116" t="str">
        <f t="shared" si="7"/>
        <v/>
      </c>
      <c r="BI156" s="116" t="str">
        <f t="shared" si="8"/>
        <v/>
      </c>
      <c r="BJ156" s="116" t="str">
        <f>IF(AND($A156&lt;&gt;"",$D156=반별조회!$C$5),COUNTIFS($A$3:$A156,"&lt;&gt;",$D$3:$D156,반별조회!$C$5),"")</f>
        <v/>
      </c>
    </row>
    <row r="157" spans="1:62" ht="15" customHeight="1">
      <c r="A157" s="102"/>
      <c r="B157" s="102"/>
      <c r="C157" s="102"/>
      <c r="D157" s="101"/>
      <c r="E157" s="105"/>
      <c r="F157" s="105" t="str">
        <f t="shared" ca="1" si="6"/>
        <v/>
      </c>
      <c r="G157" s="105"/>
      <c r="H157" s="105"/>
      <c r="I157" s="105"/>
      <c r="J157" s="105"/>
      <c r="K157" s="105"/>
      <c r="L157" s="105"/>
      <c r="M157" s="105"/>
      <c r="N157" s="105"/>
      <c r="O157" s="105"/>
      <c r="P157" s="106"/>
      <c r="Q157" s="106"/>
      <c r="R157" s="106"/>
      <c r="S157" s="107"/>
      <c r="T157" s="106"/>
      <c r="U157" s="106"/>
      <c r="V157" s="108"/>
      <c r="W157" s="108"/>
      <c r="X157" s="108"/>
      <c r="Y157" s="108"/>
      <c r="Z157" s="109"/>
      <c r="AA157" s="109"/>
      <c r="AB157" s="109"/>
      <c r="AC157" s="109"/>
      <c r="AD157" s="110"/>
      <c r="AE157" s="110"/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1"/>
      <c r="AR157" s="110"/>
      <c r="AS157" s="111"/>
      <c r="AT157" s="112"/>
      <c r="AU157" s="112"/>
      <c r="AV157" s="112"/>
      <c r="AW157" s="112"/>
      <c r="AX157" s="112"/>
      <c r="AY157" s="112"/>
      <c r="AZ157" s="112"/>
      <c r="BA157" s="112"/>
      <c r="BB157" s="112"/>
      <c r="BC157" s="112"/>
      <c r="BD157" s="113"/>
      <c r="BE157" s="114"/>
      <c r="BF157" s="115"/>
      <c r="BG157" s="115"/>
      <c r="BH157" s="116" t="str">
        <f t="shared" si="7"/>
        <v/>
      </c>
      <c r="BI157" s="116" t="str">
        <f t="shared" si="8"/>
        <v/>
      </c>
      <c r="BJ157" s="116" t="str">
        <f>IF(AND($A157&lt;&gt;"",$D157=반별조회!$C$5),COUNTIFS($A$3:$A157,"&lt;&gt;",$D$3:$D157,반별조회!$C$5),"")</f>
        <v/>
      </c>
    </row>
    <row r="158" spans="1:62" ht="15" customHeight="1">
      <c r="A158" s="102"/>
      <c r="B158" s="102"/>
      <c r="C158" s="102"/>
      <c r="D158" s="101"/>
      <c r="E158" s="105"/>
      <c r="F158" s="105" t="str">
        <f t="shared" ca="1" si="6"/>
        <v/>
      </c>
      <c r="G158" s="105"/>
      <c r="H158" s="105"/>
      <c r="I158" s="105"/>
      <c r="J158" s="105"/>
      <c r="K158" s="105"/>
      <c r="L158" s="105"/>
      <c r="M158" s="105"/>
      <c r="N158" s="105"/>
      <c r="O158" s="105"/>
      <c r="P158" s="106"/>
      <c r="Q158" s="106"/>
      <c r="R158" s="106"/>
      <c r="S158" s="107"/>
      <c r="T158" s="106"/>
      <c r="U158" s="106"/>
      <c r="V158" s="108"/>
      <c r="W158" s="108"/>
      <c r="X158" s="108"/>
      <c r="Y158" s="108"/>
      <c r="Z158" s="109"/>
      <c r="AA158" s="109"/>
      <c r="AB158" s="109"/>
      <c r="AC158" s="109"/>
      <c r="AD158" s="110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1"/>
      <c r="AR158" s="110"/>
      <c r="AS158" s="111"/>
      <c r="AT158" s="112"/>
      <c r="AU158" s="112"/>
      <c r="AV158" s="112"/>
      <c r="AW158" s="112"/>
      <c r="AX158" s="112"/>
      <c r="AY158" s="112"/>
      <c r="AZ158" s="112"/>
      <c r="BA158" s="112"/>
      <c r="BB158" s="112"/>
      <c r="BC158" s="112"/>
      <c r="BD158" s="113"/>
      <c r="BE158" s="114"/>
      <c r="BF158" s="115"/>
      <c r="BG158" s="115"/>
      <c r="BH158" s="116" t="str">
        <f t="shared" si="7"/>
        <v/>
      </c>
      <c r="BI158" s="116" t="str">
        <f t="shared" si="8"/>
        <v/>
      </c>
      <c r="BJ158" s="116" t="str">
        <f>IF(AND($A158&lt;&gt;"",$D158=반별조회!$C$5),COUNTIFS($A$3:$A158,"&lt;&gt;",$D$3:$D158,반별조회!$C$5),"")</f>
        <v/>
      </c>
    </row>
    <row r="159" spans="1:62" ht="15" customHeight="1">
      <c r="A159" s="102"/>
      <c r="B159" s="102"/>
      <c r="C159" s="102"/>
      <c r="D159" s="101"/>
      <c r="E159" s="105"/>
      <c r="F159" s="105" t="str">
        <f t="shared" ca="1" si="6"/>
        <v/>
      </c>
      <c r="G159" s="105"/>
      <c r="H159" s="105"/>
      <c r="I159" s="105"/>
      <c r="J159" s="105"/>
      <c r="K159" s="105"/>
      <c r="L159" s="105"/>
      <c r="M159" s="105"/>
      <c r="N159" s="105"/>
      <c r="O159" s="105"/>
      <c r="P159" s="106"/>
      <c r="Q159" s="106"/>
      <c r="R159" s="106"/>
      <c r="S159" s="107"/>
      <c r="T159" s="106"/>
      <c r="U159" s="106"/>
      <c r="V159" s="108"/>
      <c r="W159" s="108"/>
      <c r="X159" s="108"/>
      <c r="Y159" s="108"/>
      <c r="Z159" s="109"/>
      <c r="AA159" s="109"/>
      <c r="AB159" s="109"/>
      <c r="AC159" s="109"/>
      <c r="AD159" s="110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1"/>
      <c r="AR159" s="110"/>
      <c r="AS159" s="111"/>
      <c r="AT159" s="112"/>
      <c r="AU159" s="112"/>
      <c r="AV159" s="112"/>
      <c r="AW159" s="112"/>
      <c r="AX159" s="112"/>
      <c r="AY159" s="112"/>
      <c r="AZ159" s="112"/>
      <c r="BA159" s="112"/>
      <c r="BB159" s="112"/>
      <c r="BC159" s="112"/>
      <c r="BD159" s="113"/>
      <c r="BE159" s="114"/>
      <c r="BF159" s="115"/>
      <c r="BG159" s="115"/>
      <c r="BH159" s="116" t="str">
        <f t="shared" si="7"/>
        <v/>
      </c>
      <c r="BI159" s="116" t="str">
        <f t="shared" si="8"/>
        <v/>
      </c>
      <c r="BJ159" s="116" t="str">
        <f>IF(AND($A159&lt;&gt;"",$D159=반별조회!$C$5),COUNTIFS($A$3:$A159,"&lt;&gt;",$D$3:$D159,반별조회!$C$5),"")</f>
        <v/>
      </c>
    </row>
    <row r="160" spans="1:62" ht="15" customHeight="1">
      <c r="A160" s="102"/>
      <c r="B160" s="102"/>
      <c r="C160" s="102"/>
      <c r="D160" s="101"/>
      <c r="E160" s="105"/>
      <c r="F160" s="105" t="str">
        <f t="shared" ca="1" si="6"/>
        <v/>
      </c>
      <c r="G160" s="105"/>
      <c r="H160" s="105"/>
      <c r="I160" s="105"/>
      <c r="J160" s="105"/>
      <c r="K160" s="105"/>
      <c r="L160" s="105"/>
      <c r="M160" s="105"/>
      <c r="N160" s="105"/>
      <c r="O160" s="105"/>
      <c r="P160" s="106"/>
      <c r="Q160" s="106"/>
      <c r="R160" s="106"/>
      <c r="S160" s="107"/>
      <c r="T160" s="106"/>
      <c r="U160" s="106"/>
      <c r="V160" s="108"/>
      <c r="W160" s="108"/>
      <c r="X160" s="108"/>
      <c r="Y160" s="108"/>
      <c r="Z160" s="109"/>
      <c r="AA160" s="109"/>
      <c r="AB160" s="109"/>
      <c r="AC160" s="109"/>
      <c r="AD160" s="110"/>
      <c r="AE160" s="110"/>
      <c r="AF160" s="110"/>
      <c r="AG160" s="110"/>
      <c r="AH160" s="110"/>
      <c r="AI160" s="110"/>
      <c r="AJ160" s="110"/>
      <c r="AK160" s="110"/>
      <c r="AL160" s="110"/>
      <c r="AM160" s="110"/>
      <c r="AN160" s="110"/>
      <c r="AO160" s="110"/>
      <c r="AP160" s="110"/>
      <c r="AQ160" s="111"/>
      <c r="AR160" s="110"/>
      <c r="AS160" s="111"/>
      <c r="AT160" s="112"/>
      <c r="AU160" s="112"/>
      <c r="AV160" s="112"/>
      <c r="AW160" s="112"/>
      <c r="AX160" s="112"/>
      <c r="AY160" s="112"/>
      <c r="AZ160" s="112"/>
      <c r="BA160" s="112"/>
      <c r="BB160" s="112"/>
      <c r="BC160" s="112"/>
      <c r="BD160" s="113"/>
      <c r="BE160" s="114"/>
      <c r="BF160" s="115"/>
      <c r="BG160" s="115"/>
      <c r="BH160" s="116" t="str">
        <f t="shared" si="7"/>
        <v/>
      </c>
      <c r="BI160" s="116" t="str">
        <f t="shared" si="8"/>
        <v/>
      </c>
      <c r="BJ160" s="116" t="str">
        <f>IF(AND($A160&lt;&gt;"",$D160=반별조회!$C$5),COUNTIFS($A$3:$A160,"&lt;&gt;",$D$3:$D160,반별조회!$C$5),"")</f>
        <v/>
      </c>
    </row>
    <row r="161" spans="1:62" ht="15" customHeight="1">
      <c r="A161" s="102"/>
      <c r="B161" s="102"/>
      <c r="C161" s="102"/>
      <c r="D161" s="101"/>
      <c r="E161" s="105"/>
      <c r="F161" s="105" t="str">
        <f t="shared" ca="1" si="6"/>
        <v/>
      </c>
      <c r="G161" s="105"/>
      <c r="H161" s="105"/>
      <c r="I161" s="105"/>
      <c r="J161" s="105"/>
      <c r="K161" s="105"/>
      <c r="L161" s="105"/>
      <c r="M161" s="105"/>
      <c r="N161" s="105"/>
      <c r="O161" s="105"/>
      <c r="P161" s="106"/>
      <c r="Q161" s="106"/>
      <c r="R161" s="106"/>
      <c r="S161" s="107"/>
      <c r="T161" s="106"/>
      <c r="U161" s="106"/>
      <c r="V161" s="108"/>
      <c r="W161" s="108"/>
      <c r="X161" s="108"/>
      <c r="Y161" s="108"/>
      <c r="Z161" s="109"/>
      <c r="AA161" s="109"/>
      <c r="AB161" s="109"/>
      <c r="AC161" s="109"/>
      <c r="AD161" s="110"/>
      <c r="AE161" s="110"/>
      <c r="AF161" s="110"/>
      <c r="AG161" s="110"/>
      <c r="AH161" s="110"/>
      <c r="AI161" s="110"/>
      <c r="AJ161" s="110"/>
      <c r="AK161" s="110"/>
      <c r="AL161" s="110"/>
      <c r="AM161" s="110"/>
      <c r="AN161" s="110"/>
      <c r="AO161" s="110"/>
      <c r="AP161" s="110"/>
      <c r="AQ161" s="111"/>
      <c r="AR161" s="110"/>
      <c r="AS161" s="111"/>
      <c r="AT161" s="112"/>
      <c r="AU161" s="112"/>
      <c r="AV161" s="112"/>
      <c r="AW161" s="112"/>
      <c r="AX161" s="112"/>
      <c r="AY161" s="112"/>
      <c r="AZ161" s="112"/>
      <c r="BA161" s="112"/>
      <c r="BB161" s="112"/>
      <c r="BC161" s="112"/>
      <c r="BD161" s="113"/>
      <c r="BE161" s="114"/>
      <c r="BF161" s="115"/>
      <c r="BG161" s="115"/>
      <c r="BH161" s="116" t="str">
        <f t="shared" si="7"/>
        <v/>
      </c>
      <c r="BI161" s="116" t="str">
        <f t="shared" si="8"/>
        <v/>
      </c>
      <c r="BJ161" s="116" t="str">
        <f>IF(AND($A161&lt;&gt;"",$D161=반별조회!$C$5),COUNTIFS($A$3:$A161,"&lt;&gt;",$D$3:$D161,반별조회!$C$5),"")</f>
        <v/>
      </c>
    </row>
    <row r="162" spans="1:62" ht="15" customHeight="1">
      <c r="A162" s="102"/>
      <c r="B162" s="102"/>
      <c r="C162" s="102"/>
      <c r="D162" s="101"/>
      <c r="E162" s="105"/>
      <c r="F162" s="105" t="str">
        <f t="shared" ca="1" si="6"/>
        <v/>
      </c>
      <c r="G162" s="105"/>
      <c r="H162" s="105"/>
      <c r="I162" s="105"/>
      <c r="J162" s="105"/>
      <c r="K162" s="105"/>
      <c r="L162" s="105"/>
      <c r="M162" s="105"/>
      <c r="N162" s="105"/>
      <c r="O162" s="105"/>
      <c r="P162" s="106"/>
      <c r="Q162" s="106"/>
      <c r="R162" s="106"/>
      <c r="S162" s="107"/>
      <c r="T162" s="106"/>
      <c r="U162" s="106"/>
      <c r="V162" s="108"/>
      <c r="W162" s="108"/>
      <c r="X162" s="108"/>
      <c r="Y162" s="108"/>
      <c r="Z162" s="109"/>
      <c r="AA162" s="109"/>
      <c r="AB162" s="109"/>
      <c r="AC162" s="109"/>
      <c r="AD162" s="110"/>
      <c r="AE162" s="110"/>
      <c r="AF162" s="110"/>
      <c r="AG162" s="110"/>
      <c r="AH162" s="110"/>
      <c r="AI162" s="110"/>
      <c r="AJ162" s="110"/>
      <c r="AK162" s="110"/>
      <c r="AL162" s="110"/>
      <c r="AM162" s="110"/>
      <c r="AN162" s="110"/>
      <c r="AO162" s="110"/>
      <c r="AP162" s="110"/>
      <c r="AQ162" s="111"/>
      <c r="AR162" s="110"/>
      <c r="AS162" s="111"/>
      <c r="AT162" s="112"/>
      <c r="AU162" s="112"/>
      <c r="AV162" s="112"/>
      <c r="AW162" s="112"/>
      <c r="AX162" s="112"/>
      <c r="AY162" s="112"/>
      <c r="AZ162" s="112"/>
      <c r="BA162" s="112"/>
      <c r="BB162" s="112"/>
      <c r="BC162" s="112"/>
      <c r="BD162" s="113"/>
      <c r="BE162" s="114"/>
      <c r="BF162" s="115"/>
      <c r="BG162" s="115"/>
      <c r="BH162" s="116" t="str">
        <f t="shared" si="7"/>
        <v/>
      </c>
      <c r="BI162" s="116" t="str">
        <f t="shared" si="8"/>
        <v/>
      </c>
      <c r="BJ162" s="116" t="str">
        <f>IF(AND($A162&lt;&gt;"",$D162=반별조회!$C$5),COUNTIFS($A$3:$A162,"&lt;&gt;",$D$3:$D162,반별조회!$C$5),"")</f>
        <v/>
      </c>
    </row>
    <row r="163" spans="1:62" ht="15" customHeight="1">
      <c r="A163" s="102"/>
      <c r="B163" s="102"/>
      <c r="C163" s="102"/>
      <c r="D163" s="101"/>
      <c r="E163" s="105"/>
      <c r="F163" s="105" t="str">
        <f t="shared" ca="1" si="6"/>
        <v/>
      </c>
      <c r="G163" s="105"/>
      <c r="H163" s="105"/>
      <c r="I163" s="105"/>
      <c r="J163" s="105"/>
      <c r="K163" s="105"/>
      <c r="L163" s="105"/>
      <c r="M163" s="105"/>
      <c r="N163" s="105"/>
      <c r="O163" s="105"/>
      <c r="P163" s="106"/>
      <c r="Q163" s="106"/>
      <c r="R163" s="106"/>
      <c r="S163" s="107"/>
      <c r="T163" s="106"/>
      <c r="U163" s="106"/>
      <c r="V163" s="108"/>
      <c r="W163" s="108"/>
      <c r="X163" s="108"/>
      <c r="Y163" s="108"/>
      <c r="Z163" s="109"/>
      <c r="AA163" s="109"/>
      <c r="AB163" s="109"/>
      <c r="AC163" s="109"/>
      <c r="AD163" s="110"/>
      <c r="AE163" s="110"/>
      <c r="AF163" s="110"/>
      <c r="AG163" s="110"/>
      <c r="AH163" s="110"/>
      <c r="AI163" s="110"/>
      <c r="AJ163" s="110"/>
      <c r="AK163" s="110"/>
      <c r="AL163" s="110"/>
      <c r="AM163" s="110"/>
      <c r="AN163" s="110"/>
      <c r="AO163" s="110"/>
      <c r="AP163" s="110"/>
      <c r="AQ163" s="111"/>
      <c r="AR163" s="110"/>
      <c r="AS163" s="111"/>
      <c r="AT163" s="112"/>
      <c r="AU163" s="112"/>
      <c r="AV163" s="112"/>
      <c r="AW163" s="112"/>
      <c r="AX163" s="112"/>
      <c r="AY163" s="112"/>
      <c r="AZ163" s="112"/>
      <c r="BA163" s="112"/>
      <c r="BB163" s="112"/>
      <c r="BC163" s="112"/>
      <c r="BD163" s="113"/>
      <c r="BE163" s="114"/>
      <c r="BF163" s="115"/>
      <c r="BG163" s="115"/>
      <c r="BH163" s="116" t="str">
        <f t="shared" si="7"/>
        <v/>
      </c>
      <c r="BI163" s="116" t="str">
        <f t="shared" si="8"/>
        <v/>
      </c>
      <c r="BJ163" s="116" t="str">
        <f>IF(AND($A163&lt;&gt;"",$D163=반별조회!$C$5),COUNTIFS($A$3:$A163,"&lt;&gt;",$D$3:$D163,반별조회!$C$5),"")</f>
        <v/>
      </c>
    </row>
    <row r="164" spans="1:62" ht="15" customHeight="1">
      <c r="A164" s="102"/>
      <c r="B164" s="102"/>
      <c r="C164" s="102"/>
      <c r="D164" s="101"/>
      <c r="E164" s="105"/>
      <c r="F164" s="105" t="str">
        <f t="shared" ca="1" si="6"/>
        <v/>
      </c>
      <c r="G164" s="105"/>
      <c r="H164" s="105"/>
      <c r="I164" s="105"/>
      <c r="J164" s="105"/>
      <c r="K164" s="105"/>
      <c r="L164" s="105"/>
      <c r="M164" s="105"/>
      <c r="N164" s="105"/>
      <c r="O164" s="105"/>
      <c r="P164" s="106"/>
      <c r="Q164" s="106"/>
      <c r="R164" s="106"/>
      <c r="S164" s="107"/>
      <c r="T164" s="106"/>
      <c r="U164" s="106"/>
      <c r="V164" s="108"/>
      <c r="W164" s="108"/>
      <c r="X164" s="108"/>
      <c r="Y164" s="108"/>
      <c r="Z164" s="109"/>
      <c r="AA164" s="109"/>
      <c r="AB164" s="109"/>
      <c r="AC164" s="109"/>
      <c r="AD164" s="110"/>
      <c r="AE164" s="110"/>
      <c r="AF164" s="110"/>
      <c r="AG164" s="110"/>
      <c r="AH164" s="110"/>
      <c r="AI164" s="110"/>
      <c r="AJ164" s="110"/>
      <c r="AK164" s="110"/>
      <c r="AL164" s="110"/>
      <c r="AM164" s="110"/>
      <c r="AN164" s="110"/>
      <c r="AO164" s="110"/>
      <c r="AP164" s="110"/>
      <c r="AQ164" s="111"/>
      <c r="AR164" s="110"/>
      <c r="AS164" s="111"/>
      <c r="AT164" s="112"/>
      <c r="AU164" s="112"/>
      <c r="AV164" s="112"/>
      <c r="AW164" s="112"/>
      <c r="AX164" s="112"/>
      <c r="AY164" s="112"/>
      <c r="AZ164" s="112"/>
      <c r="BA164" s="112"/>
      <c r="BB164" s="112"/>
      <c r="BC164" s="112"/>
      <c r="BD164" s="113"/>
      <c r="BE164" s="114"/>
      <c r="BF164" s="115"/>
      <c r="BG164" s="115"/>
      <c r="BH164" s="116" t="str">
        <f t="shared" si="7"/>
        <v/>
      </c>
      <c r="BI164" s="116" t="str">
        <f t="shared" si="8"/>
        <v/>
      </c>
      <c r="BJ164" s="116" t="str">
        <f>IF(AND($A164&lt;&gt;"",$D164=반별조회!$C$5),COUNTIFS($A$3:$A164,"&lt;&gt;",$D$3:$D164,반별조회!$C$5),"")</f>
        <v/>
      </c>
    </row>
    <row r="165" spans="1:62" ht="15" customHeight="1">
      <c r="A165" s="102"/>
      <c r="B165" s="102"/>
      <c r="C165" s="102"/>
      <c r="D165" s="101"/>
      <c r="E165" s="105"/>
      <c r="F165" s="105" t="str">
        <f t="shared" ca="1" si="6"/>
        <v/>
      </c>
      <c r="G165" s="105"/>
      <c r="H165" s="105"/>
      <c r="I165" s="105"/>
      <c r="J165" s="105"/>
      <c r="K165" s="105"/>
      <c r="L165" s="105"/>
      <c r="M165" s="105"/>
      <c r="N165" s="105"/>
      <c r="O165" s="105"/>
      <c r="P165" s="106"/>
      <c r="Q165" s="106"/>
      <c r="R165" s="106"/>
      <c r="S165" s="107"/>
      <c r="T165" s="106"/>
      <c r="U165" s="106"/>
      <c r="V165" s="108"/>
      <c r="W165" s="108"/>
      <c r="X165" s="108"/>
      <c r="Y165" s="108"/>
      <c r="Z165" s="109"/>
      <c r="AA165" s="109"/>
      <c r="AB165" s="109"/>
      <c r="AC165" s="109"/>
      <c r="AD165" s="110"/>
      <c r="AE165" s="110"/>
      <c r="AF165" s="110"/>
      <c r="AG165" s="110"/>
      <c r="AH165" s="110"/>
      <c r="AI165" s="110"/>
      <c r="AJ165" s="110"/>
      <c r="AK165" s="110"/>
      <c r="AL165" s="110"/>
      <c r="AM165" s="110"/>
      <c r="AN165" s="110"/>
      <c r="AO165" s="110"/>
      <c r="AP165" s="110"/>
      <c r="AQ165" s="111"/>
      <c r="AR165" s="110"/>
      <c r="AS165" s="111"/>
      <c r="AT165" s="112"/>
      <c r="AU165" s="112"/>
      <c r="AV165" s="112"/>
      <c r="AW165" s="112"/>
      <c r="AX165" s="112"/>
      <c r="AY165" s="112"/>
      <c r="AZ165" s="112"/>
      <c r="BA165" s="112"/>
      <c r="BB165" s="112"/>
      <c r="BC165" s="112"/>
      <c r="BD165" s="113"/>
      <c r="BE165" s="114"/>
      <c r="BF165" s="115"/>
      <c r="BG165" s="115"/>
      <c r="BH165" s="116" t="str">
        <f t="shared" si="7"/>
        <v/>
      </c>
      <c r="BI165" s="116" t="str">
        <f t="shared" si="8"/>
        <v/>
      </c>
      <c r="BJ165" s="116" t="str">
        <f>IF(AND($A165&lt;&gt;"",$D165=반별조회!$C$5),COUNTIFS($A$3:$A165,"&lt;&gt;",$D$3:$D165,반별조회!$C$5),"")</f>
        <v/>
      </c>
    </row>
    <row r="166" spans="1:62" ht="15" customHeight="1">
      <c r="A166" s="102"/>
      <c r="B166" s="102"/>
      <c r="C166" s="102"/>
      <c r="D166" s="101"/>
      <c r="E166" s="105"/>
      <c r="F166" s="105" t="str">
        <f t="shared" ca="1" si="6"/>
        <v/>
      </c>
      <c r="G166" s="105"/>
      <c r="H166" s="105"/>
      <c r="I166" s="105"/>
      <c r="J166" s="105"/>
      <c r="K166" s="105"/>
      <c r="L166" s="105"/>
      <c r="M166" s="105"/>
      <c r="N166" s="105"/>
      <c r="O166" s="105"/>
      <c r="P166" s="106"/>
      <c r="Q166" s="106"/>
      <c r="R166" s="106"/>
      <c r="S166" s="107"/>
      <c r="T166" s="106"/>
      <c r="U166" s="106"/>
      <c r="V166" s="108"/>
      <c r="W166" s="108"/>
      <c r="X166" s="108"/>
      <c r="Y166" s="108"/>
      <c r="Z166" s="109"/>
      <c r="AA166" s="109"/>
      <c r="AB166" s="109"/>
      <c r="AC166" s="109"/>
      <c r="AD166" s="110"/>
      <c r="AE166" s="110"/>
      <c r="AF166" s="110"/>
      <c r="AG166" s="110"/>
      <c r="AH166" s="110"/>
      <c r="AI166" s="110"/>
      <c r="AJ166" s="110"/>
      <c r="AK166" s="110"/>
      <c r="AL166" s="110"/>
      <c r="AM166" s="110"/>
      <c r="AN166" s="110"/>
      <c r="AO166" s="110"/>
      <c r="AP166" s="110"/>
      <c r="AQ166" s="111"/>
      <c r="AR166" s="110"/>
      <c r="AS166" s="111"/>
      <c r="AT166" s="112"/>
      <c r="AU166" s="112"/>
      <c r="AV166" s="112"/>
      <c r="AW166" s="112"/>
      <c r="AX166" s="112"/>
      <c r="AY166" s="112"/>
      <c r="AZ166" s="112"/>
      <c r="BA166" s="112"/>
      <c r="BB166" s="112"/>
      <c r="BC166" s="112"/>
      <c r="BD166" s="113"/>
      <c r="BE166" s="114"/>
      <c r="BF166" s="115"/>
      <c r="BG166" s="115"/>
      <c r="BH166" s="116" t="str">
        <f t="shared" si="7"/>
        <v/>
      </c>
      <c r="BI166" s="116" t="str">
        <f t="shared" si="8"/>
        <v/>
      </c>
      <c r="BJ166" s="116" t="str">
        <f>IF(AND($A166&lt;&gt;"",$D166=반별조회!$C$5),COUNTIFS($A$3:$A166,"&lt;&gt;",$D$3:$D166,반별조회!$C$5),"")</f>
        <v/>
      </c>
    </row>
    <row r="167" spans="1:62" ht="15" customHeight="1">
      <c r="A167" s="102"/>
      <c r="B167" s="102"/>
      <c r="C167" s="102"/>
      <c r="D167" s="101"/>
      <c r="E167" s="105"/>
      <c r="F167" s="105" t="str">
        <f t="shared" ca="1" si="6"/>
        <v/>
      </c>
      <c r="G167" s="105"/>
      <c r="H167" s="105"/>
      <c r="I167" s="105"/>
      <c r="J167" s="105"/>
      <c r="K167" s="105"/>
      <c r="L167" s="105"/>
      <c r="M167" s="105"/>
      <c r="N167" s="105"/>
      <c r="O167" s="105"/>
      <c r="P167" s="106"/>
      <c r="Q167" s="106"/>
      <c r="R167" s="106"/>
      <c r="S167" s="107"/>
      <c r="T167" s="106"/>
      <c r="U167" s="106"/>
      <c r="V167" s="108"/>
      <c r="W167" s="108"/>
      <c r="X167" s="108"/>
      <c r="Y167" s="108"/>
      <c r="Z167" s="109"/>
      <c r="AA167" s="109"/>
      <c r="AB167" s="109"/>
      <c r="AC167" s="109"/>
      <c r="AD167" s="110"/>
      <c r="AE167" s="110"/>
      <c r="AF167" s="110"/>
      <c r="AG167" s="110"/>
      <c r="AH167" s="110"/>
      <c r="AI167" s="110"/>
      <c r="AJ167" s="110"/>
      <c r="AK167" s="110"/>
      <c r="AL167" s="110"/>
      <c r="AM167" s="110"/>
      <c r="AN167" s="110"/>
      <c r="AO167" s="110"/>
      <c r="AP167" s="110"/>
      <c r="AQ167" s="111"/>
      <c r="AR167" s="110"/>
      <c r="AS167" s="111"/>
      <c r="AT167" s="112"/>
      <c r="AU167" s="112"/>
      <c r="AV167" s="112"/>
      <c r="AW167" s="112"/>
      <c r="AX167" s="112"/>
      <c r="AY167" s="112"/>
      <c r="AZ167" s="112"/>
      <c r="BA167" s="112"/>
      <c r="BB167" s="112"/>
      <c r="BC167" s="112"/>
      <c r="BD167" s="113"/>
      <c r="BE167" s="114"/>
      <c r="BF167" s="115"/>
      <c r="BG167" s="115"/>
      <c r="BH167" s="116" t="str">
        <f t="shared" si="7"/>
        <v/>
      </c>
      <c r="BI167" s="116" t="str">
        <f t="shared" si="8"/>
        <v/>
      </c>
      <c r="BJ167" s="116" t="str">
        <f>IF(AND($A167&lt;&gt;"",$D167=반별조회!$C$5),COUNTIFS($A$3:$A167,"&lt;&gt;",$D$3:$D167,반별조회!$C$5),"")</f>
        <v/>
      </c>
    </row>
    <row r="168" spans="1:62" ht="15" customHeight="1">
      <c r="A168" s="102"/>
      <c r="B168" s="102"/>
      <c r="C168" s="102"/>
      <c r="D168" s="101"/>
      <c r="E168" s="105"/>
      <c r="F168" s="105" t="str">
        <f t="shared" ca="1" si="6"/>
        <v/>
      </c>
      <c r="G168" s="105"/>
      <c r="H168" s="105"/>
      <c r="I168" s="105"/>
      <c r="J168" s="105"/>
      <c r="K168" s="105"/>
      <c r="L168" s="105"/>
      <c r="M168" s="105"/>
      <c r="N168" s="105"/>
      <c r="O168" s="105"/>
      <c r="P168" s="106"/>
      <c r="Q168" s="106"/>
      <c r="R168" s="106"/>
      <c r="S168" s="107"/>
      <c r="T168" s="106"/>
      <c r="U168" s="106"/>
      <c r="V168" s="108"/>
      <c r="W168" s="108"/>
      <c r="X168" s="108"/>
      <c r="Y168" s="108"/>
      <c r="Z168" s="109"/>
      <c r="AA168" s="109"/>
      <c r="AB168" s="109"/>
      <c r="AC168" s="109"/>
      <c r="AD168" s="110"/>
      <c r="AE168" s="110"/>
      <c r="AF168" s="110"/>
      <c r="AG168" s="110"/>
      <c r="AH168" s="110"/>
      <c r="AI168" s="110"/>
      <c r="AJ168" s="110"/>
      <c r="AK168" s="110"/>
      <c r="AL168" s="110"/>
      <c r="AM168" s="110"/>
      <c r="AN168" s="110"/>
      <c r="AO168" s="110"/>
      <c r="AP168" s="110"/>
      <c r="AQ168" s="111"/>
      <c r="AR168" s="110"/>
      <c r="AS168" s="111"/>
      <c r="AT168" s="112"/>
      <c r="AU168" s="112"/>
      <c r="AV168" s="112"/>
      <c r="AW168" s="112"/>
      <c r="AX168" s="112"/>
      <c r="AY168" s="112"/>
      <c r="AZ168" s="112"/>
      <c r="BA168" s="112"/>
      <c r="BB168" s="112"/>
      <c r="BC168" s="112"/>
      <c r="BD168" s="113"/>
      <c r="BE168" s="114"/>
      <c r="BF168" s="115"/>
      <c r="BG168" s="115"/>
      <c r="BH168" s="116" t="str">
        <f t="shared" si="7"/>
        <v/>
      </c>
      <c r="BI168" s="116" t="str">
        <f t="shared" si="8"/>
        <v/>
      </c>
      <c r="BJ168" s="116" t="str">
        <f>IF(AND($A168&lt;&gt;"",$D168=반별조회!$C$5),COUNTIFS($A$3:$A168,"&lt;&gt;",$D$3:$D168,반별조회!$C$5),"")</f>
        <v/>
      </c>
    </row>
    <row r="169" spans="1:62" ht="15" customHeight="1">
      <c r="A169" s="102"/>
      <c r="B169" s="102"/>
      <c r="C169" s="102"/>
      <c r="D169" s="101"/>
      <c r="E169" s="105"/>
      <c r="F169" s="105" t="str">
        <f t="shared" ca="1" si="6"/>
        <v/>
      </c>
      <c r="G169" s="105"/>
      <c r="H169" s="105"/>
      <c r="I169" s="105"/>
      <c r="J169" s="105"/>
      <c r="K169" s="105"/>
      <c r="L169" s="105"/>
      <c r="M169" s="105"/>
      <c r="N169" s="105"/>
      <c r="O169" s="105"/>
      <c r="P169" s="106"/>
      <c r="Q169" s="106"/>
      <c r="R169" s="106"/>
      <c r="S169" s="107"/>
      <c r="T169" s="106"/>
      <c r="U169" s="106"/>
      <c r="V169" s="108"/>
      <c r="W169" s="108"/>
      <c r="X169" s="108"/>
      <c r="Y169" s="108"/>
      <c r="Z169" s="109"/>
      <c r="AA169" s="109"/>
      <c r="AB169" s="109"/>
      <c r="AC169" s="109"/>
      <c r="AD169" s="110"/>
      <c r="AE169" s="110"/>
      <c r="AF169" s="110"/>
      <c r="AG169" s="110"/>
      <c r="AH169" s="110"/>
      <c r="AI169" s="110"/>
      <c r="AJ169" s="110"/>
      <c r="AK169" s="110"/>
      <c r="AL169" s="110"/>
      <c r="AM169" s="110"/>
      <c r="AN169" s="110"/>
      <c r="AO169" s="110"/>
      <c r="AP169" s="110"/>
      <c r="AQ169" s="111"/>
      <c r="AR169" s="110"/>
      <c r="AS169" s="111"/>
      <c r="AT169" s="112"/>
      <c r="AU169" s="112"/>
      <c r="AV169" s="112"/>
      <c r="AW169" s="112"/>
      <c r="AX169" s="112"/>
      <c r="AY169" s="112"/>
      <c r="AZ169" s="112"/>
      <c r="BA169" s="112"/>
      <c r="BB169" s="112"/>
      <c r="BC169" s="112"/>
      <c r="BD169" s="113"/>
      <c r="BE169" s="114"/>
      <c r="BF169" s="115"/>
      <c r="BG169" s="115"/>
      <c r="BH169" s="116" t="str">
        <f t="shared" si="7"/>
        <v/>
      </c>
      <c r="BI169" s="116" t="str">
        <f t="shared" si="8"/>
        <v/>
      </c>
      <c r="BJ169" s="116" t="str">
        <f>IF(AND($A169&lt;&gt;"",$D169=반별조회!$C$5),COUNTIFS($A$3:$A169,"&lt;&gt;",$D$3:$D169,반별조회!$C$5),"")</f>
        <v/>
      </c>
    </row>
    <row r="170" spans="1:62" ht="15" customHeight="1">
      <c r="A170" s="102"/>
      <c r="B170" s="102"/>
      <c r="C170" s="102"/>
      <c r="D170" s="101"/>
      <c r="E170" s="105"/>
      <c r="F170" s="105" t="str">
        <f t="shared" ca="1" si="6"/>
        <v/>
      </c>
      <c r="G170" s="105"/>
      <c r="H170" s="105"/>
      <c r="I170" s="105"/>
      <c r="J170" s="105"/>
      <c r="K170" s="105"/>
      <c r="L170" s="105"/>
      <c r="M170" s="105"/>
      <c r="N170" s="105"/>
      <c r="O170" s="105"/>
      <c r="P170" s="106"/>
      <c r="Q170" s="106"/>
      <c r="R170" s="106"/>
      <c r="S170" s="107"/>
      <c r="T170" s="106"/>
      <c r="U170" s="106"/>
      <c r="V170" s="108"/>
      <c r="W170" s="108"/>
      <c r="X170" s="108"/>
      <c r="Y170" s="108"/>
      <c r="Z170" s="109"/>
      <c r="AA170" s="109"/>
      <c r="AB170" s="109"/>
      <c r="AC170" s="109"/>
      <c r="AD170" s="110"/>
      <c r="AE170" s="110"/>
      <c r="AF170" s="110"/>
      <c r="AG170" s="110"/>
      <c r="AH170" s="110"/>
      <c r="AI170" s="110"/>
      <c r="AJ170" s="110"/>
      <c r="AK170" s="110"/>
      <c r="AL170" s="110"/>
      <c r="AM170" s="110"/>
      <c r="AN170" s="110"/>
      <c r="AO170" s="110"/>
      <c r="AP170" s="110"/>
      <c r="AQ170" s="111"/>
      <c r="AR170" s="110"/>
      <c r="AS170" s="111"/>
      <c r="AT170" s="112"/>
      <c r="AU170" s="112"/>
      <c r="AV170" s="112"/>
      <c r="AW170" s="112"/>
      <c r="AX170" s="112"/>
      <c r="AY170" s="112"/>
      <c r="AZ170" s="112"/>
      <c r="BA170" s="112"/>
      <c r="BB170" s="112"/>
      <c r="BC170" s="112"/>
      <c r="BD170" s="113"/>
      <c r="BE170" s="114"/>
      <c r="BF170" s="115"/>
      <c r="BG170" s="115"/>
      <c r="BH170" s="116" t="str">
        <f t="shared" si="7"/>
        <v/>
      </c>
      <c r="BI170" s="116" t="str">
        <f t="shared" si="8"/>
        <v/>
      </c>
      <c r="BJ170" s="116" t="str">
        <f>IF(AND($A170&lt;&gt;"",$D170=반별조회!$C$5),COUNTIFS($A$3:$A170,"&lt;&gt;",$D$3:$D170,반별조회!$C$5),"")</f>
        <v/>
      </c>
    </row>
    <row r="171" spans="1:62" ht="15" customHeight="1">
      <c r="A171" s="102"/>
      <c r="B171" s="102"/>
      <c r="C171" s="102"/>
      <c r="D171" s="101"/>
      <c r="E171" s="105"/>
      <c r="F171" s="105" t="str">
        <f t="shared" ca="1" si="6"/>
        <v/>
      </c>
      <c r="G171" s="105"/>
      <c r="H171" s="105"/>
      <c r="I171" s="105"/>
      <c r="J171" s="105"/>
      <c r="K171" s="105"/>
      <c r="L171" s="105"/>
      <c r="M171" s="105"/>
      <c r="N171" s="105"/>
      <c r="O171" s="105"/>
      <c r="P171" s="106"/>
      <c r="Q171" s="106"/>
      <c r="R171" s="106"/>
      <c r="S171" s="107"/>
      <c r="T171" s="106"/>
      <c r="U171" s="106"/>
      <c r="V171" s="108"/>
      <c r="W171" s="108"/>
      <c r="X171" s="108"/>
      <c r="Y171" s="108"/>
      <c r="Z171" s="109"/>
      <c r="AA171" s="109"/>
      <c r="AB171" s="109"/>
      <c r="AC171" s="109"/>
      <c r="AD171" s="110"/>
      <c r="AE171" s="110"/>
      <c r="AF171" s="110"/>
      <c r="AG171" s="110"/>
      <c r="AH171" s="110"/>
      <c r="AI171" s="110"/>
      <c r="AJ171" s="110"/>
      <c r="AK171" s="110"/>
      <c r="AL171" s="110"/>
      <c r="AM171" s="110"/>
      <c r="AN171" s="110"/>
      <c r="AO171" s="110"/>
      <c r="AP171" s="110"/>
      <c r="AQ171" s="111"/>
      <c r="AR171" s="110"/>
      <c r="AS171" s="111"/>
      <c r="AT171" s="112"/>
      <c r="AU171" s="112"/>
      <c r="AV171" s="112"/>
      <c r="AW171" s="112"/>
      <c r="AX171" s="112"/>
      <c r="AY171" s="112"/>
      <c r="AZ171" s="112"/>
      <c r="BA171" s="112"/>
      <c r="BB171" s="112"/>
      <c r="BC171" s="112"/>
      <c r="BD171" s="113"/>
      <c r="BE171" s="114"/>
      <c r="BF171" s="115"/>
      <c r="BG171" s="115"/>
      <c r="BH171" s="116" t="str">
        <f t="shared" si="7"/>
        <v/>
      </c>
      <c r="BI171" s="116" t="str">
        <f t="shared" si="8"/>
        <v/>
      </c>
      <c r="BJ171" s="116" t="str">
        <f>IF(AND($A171&lt;&gt;"",$D171=반별조회!$C$5),COUNTIFS($A$3:$A171,"&lt;&gt;",$D$3:$D171,반별조회!$C$5),"")</f>
        <v/>
      </c>
    </row>
    <row r="172" spans="1:62" ht="15" customHeight="1">
      <c r="A172" s="102"/>
      <c r="B172" s="102"/>
      <c r="C172" s="102"/>
      <c r="D172" s="101"/>
      <c r="E172" s="105"/>
      <c r="F172" s="105" t="str">
        <f t="shared" ca="1" si="6"/>
        <v/>
      </c>
      <c r="G172" s="105"/>
      <c r="H172" s="105"/>
      <c r="I172" s="105"/>
      <c r="J172" s="105"/>
      <c r="K172" s="105"/>
      <c r="L172" s="105"/>
      <c r="M172" s="105"/>
      <c r="N172" s="105"/>
      <c r="O172" s="105"/>
      <c r="P172" s="106"/>
      <c r="Q172" s="106"/>
      <c r="R172" s="106"/>
      <c r="S172" s="107"/>
      <c r="T172" s="106"/>
      <c r="U172" s="106"/>
      <c r="V172" s="108"/>
      <c r="W172" s="108"/>
      <c r="X172" s="108"/>
      <c r="Y172" s="108"/>
      <c r="Z172" s="109"/>
      <c r="AA172" s="109"/>
      <c r="AB172" s="109"/>
      <c r="AC172" s="109"/>
      <c r="AD172" s="110"/>
      <c r="AE172" s="110"/>
      <c r="AF172" s="110"/>
      <c r="AG172" s="110"/>
      <c r="AH172" s="110"/>
      <c r="AI172" s="110"/>
      <c r="AJ172" s="110"/>
      <c r="AK172" s="110"/>
      <c r="AL172" s="110"/>
      <c r="AM172" s="110"/>
      <c r="AN172" s="110"/>
      <c r="AO172" s="110"/>
      <c r="AP172" s="110"/>
      <c r="AQ172" s="111"/>
      <c r="AR172" s="110"/>
      <c r="AS172" s="111"/>
      <c r="AT172" s="112"/>
      <c r="AU172" s="112"/>
      <c r="AV172" s="112"/>
      <c r="AW172" s="112"/>
      <c r="AX172" s="112"/>
      <c r="AY172" s="112"/>
      <c r="AZ172" s="112"/>
      <c r="BA172" s="112"/>
      <c r="BB172" s="112"/>
      <c r="BC172" s="112"/>
      <c r="BD172" s="113"/>
      <c r="BE172" s="114"/>
      <c r="BF172" s="115"/>
      <c r="BG172" s="115"/>
      <c r="BH172" s="116" t="str">
        <f t="shared" si="7"/>
        <v/>
      </c>
      <c r="BI172" s="116" t="str">
        <f t="shared" si="8"/>
        <v/>
      </c>
      <c r="BJ172" s="116" t="str">
        <f>IF(AND($A172&lt;&gt;"",$D172=반별조회!$C$5),COUNTIFS($A$3:$A172,"&lt;&gt;",$D$3:$D172,반별조회!$C$5),"")</f>
        <v/>
      </c>
    </row>
    <row r="173" spans="1:62" ht="15" customHeight="1">
      <c r="A173" s="102"/>
      <c r="B173" s="102"/>
      <c r="C173" s="102"/>
      <c r="D173" s="101"/>
      <c r="E173" s="105"/>
      <c r="F173" s="105" t="str">
        <f t="shared" ca="1" si="6"/>
        <v/>
      </c>
      <c r="G173" s="105"/>
      <c r="H173" s="105"/>
      <c r="I173" s="105"/>
      <c r="J173" s="105"/>
      <c r="K173" s="105"/>
      <c r="L173" s="105"/>
      <c r="M173" s="105"/>
      <c r="N173" s="105"/>
      <c r="O173" s="105"/>
      <c r="P173" s="106"/>
      <c r="Q173" s="106"/>
      <c r="R173" s="106"/>
      <c r="S173" s="107"/>
      <c r="T173" s="106"/>
      <c r="U173" s="106"/>
      <c r="V173" s="108"/>
      <c r="W173" s="108"/>
      <c r="X173" s="108"/>
      <c r="Y173" s="108"/>
      <c r="Z173" s="109"/>
      <c r="AA173" s="109"/>
      <c r="AB173" s="109"/>
      <c r="AC173" s="109"/>
      <c r="AD173" s="110"/>
      <c r="AE173" s="110"/>
      <c r="AF173" s="110"/>
      <c r="AG173" s="110"/>
      <c r="AH173" s="110"/>
      <c r="AI173" s="110"/>
      <c r="AJ173" s="110"/>
      <c r="AK173" s="110"/>
      <c r="AL173" s="110"/>
      <c r="AM173" s="110"/>
      <c r="AN173" s="110"/>
      <c r="AO173" s="110"/>
      <c r="AP173" s="110"/>
      <c r="AQ173" s="111"/>
      <c r="AR173" s="110"/>
      <c r="AS173" s="111"/>
      <c r="AT173" s="112"/>
      <c r="AU173" s="112"/>
      <c r="AV173" s="112"/>
      <c r="AW173" s="112"/>
      <c r="AX173" s="112"/>
      <c r="AY173" s="112"/>
      <c r="AZ173" s="112"/>
      <c r="BA173" s="112"/>
      <c r="BB173" s="112"/>
      <c r="BC173" s="112"/>
      <c r="BD173" s="113"/>
      <c r="BE173" s="114"/>
      <c r="BF173" s="115"/>
      <c r="BG173" s="115"/>
      <c r="BH173" s="116" t="str">
        <f t="shared" si="7"/>
        <v/>
      </c>
      <c r="BI173" s="116" t="str">
        <f t="shared" si="8"/>
        <v/>
      </c>
      <c r="BJ173" s="116" t="str">
        <f>IF(AND($A173&lt;&gt;"",$D173=반별조회!$C$5),COUNTIFS($A$3:$A173,"&lt;&gt;",$D$3:$D173,반별조회!$C$5),"")</f>
        <v/>
      </c>
    </row>
    <row r="174" spans="1:62" ht="15" customHeight="1">
      <c r="A174" s="102"/>
      <c r="B174" s="102"/>
      <c r="C174" s="102"/>
      <c r="D174" s="101"/>
      <c r="E174" s="105"/>
      <c r="F174" s="105" t="str">
        <f t="shared" ca="1" si="6"/>
        <v/>
      </c>
      <c r="G174" s="105"/>
      <c r="H174" s="105"/>
      <c r="I174" s="105"/>
      <c r="J174" s="105"/>
      <c r="K174" s="105"/>
      <c r="L174" s="105"/>
      <c r="M174" s="105"/>
      <c r="N174" s="105"/>
      <c r="O174" s="105"/>
      <c r="P174" s="106"/>
      <c r="Q174" s="106"/>
      <c r="R174" s="106"/>
      <c r="S174" s="107"/>
      <c r="T174" s="106"/>
      <c r="U174" s="106"/>
      <c r="V174" s="108"/>
      <c r="W174" s="108"/>
      <c r="X174" s="108"/>
      <c r="Y174" s="108"/>
      <c r="Z174" s="109"/>
      <c r="AA174" s="109"/>
      <c r="AB174" s="109"/>
      <c r="AC174" s="109"/>
      <c r="AD174" s="110"/>
      <c r="AE174" s="110"/>
      <c r="AF174" s="110"/>
      <c r="AG174" s="110"/>
      <c r="AH174" s="110"/>
      <c r="AI174" s="110"/>
      <c r="AJ174" s="110"/>
      <c r="AK174" s="110"/>
      <c r="AL174" s="110"/>
      <c r="AM174" s="110"/>
      <c r="AN174" s="110"/>
      <c r="AO174" s="110"/>
      <c r="AP174" s="110"/>
      <c r="AQ174" s="111"/>
      <c r="AR174" s="110"/>
      <c r="AS174" s="111"/>
      <c r="AT174" s="112"/>
      <c r="AU174" s="112"/>
      <c r="AV174" s="112"/>
      <c r="AW174" s="112"/>
      <c r="AX174" s="112"/>
      <c r="AY174" s="112"/>
      <c r="AZ174" s="112"/>
      <c r="BA174" s="112"/>
      <c r="BB174" s="112"/>
      <c r="BC174" s="112"/>
      <c r="BD174" s="113"/>
      <c r="BE174" s="114"/>
      <c r="BF174" s="115"/>
      <c r="BG174" s="115"/>
      <c r="BH174" s="116" t="str">
        <f t="shared" si="7"/>
        <v/>
      </c>
      <c r="BI174" s="116" t="str">
        <f t="shared" si="8"/>
        <v/>
      </c>
      <c r="BJ174" s="116" t="str">
        <f>IF(AND($A174&lt;&gt;"",$D174=반별조회!$C$5),COUNTIFS($A$3:$A174,"&lt;&gt;",$D$3:$D174,반별조회!$C$5),"")</f>
        <v/>
      </c>
    </row>
    <row r="175" spans="1:62" ht="15" customHeight="1">
      <c r="A175" s="102"/>
      <c r="B175" s="102"/>
      <c r="C175" s="102"/>
      <c r="D175" s="101"/>
      <c r="E175" s="105"/>
      <c r="F175" s="105" t="str">
        <f t="shared" ca="1" si="6"/>
        <v/>
      </c>
      <c r="G175" s="105"/>
      <c r="H175" s="105"/>
      <c r="I175" s="105"/>
      <c r="J175" s="105"/>
      <c r="K175" s="105"/>
      <c r="L175" s="105"/>
      <c r="M175" s="105"/>
      <c r="N175" s="105"/>
      <c r="O175" s="105"/>
      <c r="P175" s="106"/>
      <c r="Q175" s="106"/>
      <c r="R175" s="106"/>
      <c r="S175" s="107"/>
      <c r="T175" s="106"/>
      <c r="U175" s="106"/>
      <c r="V175" s="108"/>
      <c r="W175" s="108"/>
      <c r="X175" s="108"/>
      <c r="Y175" s="108"/>
      <c r="Z175" s="109"/>
      <c r="AA175" s="109"/>
      <c r="AB175" s="109"/>
      <c r="AC175" s="109"/>
      <c r="AD175" s="110"/>
      <c r="AE175" s="110"/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1"/>
      <c r="AR175" s="110"/>
      <c r="AS175" s="111"/>
      <c r="AT175" s="112"/>
      <c r="AU175" s="112"/>
      <c r="AV175" s="112"/>
      <c r="AW175" s="112"/>
      <c r="AX175" s="112"/>
      <c r="AY175" s="112"/>
      <c r="AZ175" s="112"/>
      <c r="BA175" s="112"/>
      <c r="BB175" s="112"/>
      <c r="BC175" s="112"/>
      <c r="BD175" s="113"/>
      <c r="BE175" s="114"/>
      <c r="BF175" s="115"/>
      <c r="BG175" s="115"/>
      <c r="BH175" s="116" t="str">
        <f t="shared" si="7"/>
        <v/>
      </c>
      <c r="BI175" s="116" t="str">
        <f t="shared" si="8"/>
        <v/>
      </c>
      <c r="BJ175" s="116" t="str">
        <f>IF(AND($A175&lt;&gt;"",$D175=반별조회!$C$5),COUNTIFS($A$3:$A175,"&lt;&gt;",$D$3:$D175,반별조회!$C$5),"")</f>
        <v/>
      </c>
    </row>
    <row r="176" spans="1:62" ht="15" customHeight="1">
      <c r="A176" s="102"/>
      <c r="B176" s="102"/>
      <c r="C176" s="102"/>
      <c r="D176" s="101"/>
      <c r="E176" s="105"/>
      <c r="F176" s="105" t="str">
        <f t="shared" ca="1" si="6"/>
        <v/>
      </c>
      <c r="G176" s="105"/>
      <c r="H176" s="105"/>
      <c r="I176" s="105"/>
      <c r="J176" s="105"/>
      <c r="K176" s="105"/>
      <c r="L176" s="105"/>
      <c r="M176" s="105"/>
      <c r="N176" s="105"/>
      <c r="O176" s="105"/>
      <c r="P176" s="106"/>
      <c r="Q176" s="106"/>
      <c r="R176" s="106"/>
      <c r="S176" s="107"/>
      <c r="T176" s="106"/>
      <c r="U176" s="106"/>
      <c r="V176" s="108"/>
      <c r="W176" s="108"/>
      <c r="X176" s="108"/>
      <c r="Y176" s="108"/>
      <c r="Z176" s="109"/>
      <c r="AA176" s="109"/>
      <c r="AB176" s="109"/>
      <c r="AC176" s="109"/>
      <c r="AD176" s="110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1"/>
      <c r="AR176" s="110"/>
      <c r="AS176" s="111"/>
      <c r="AT176" s="112"/>
      <c r="AU176" s="112"/>
      <c r="AV176" s="112"/>
      <c r="AW176" s="112"/>
      <c r="AX176" s="112"/>
      <c r="AY176" s="112"/>
      <c r="AZ176" s="112"/>
      <c r="BA176" s="112"/>
      <c r="BB176" s="112"/>
      <c r="BC176" s="112"/>
      <c r="BD176" s="113"/>
      <c r="BE176" s="114"/>
      <c r="BF176" s="115"/>
      <c r="BG176" s="115"/>
      <c r="BH176" s="116" t="str">
        <f t="shared" si="7"/>
        <v/>
      </c>
      <c r="BI176" s="116" t="str">
        <f t="shared" si="8"/>
        <v/>
      </c>
      <c r="BJ176" s="116" t="str">
        <f>IF(AND($A176&lt;&gt;"",$D176=반별조회!$C$5),COUNTIFS($A$3:$A176,"&lt;&gt;",$D$3:$D176,반별조회!$C$5),"")</f>
        <v/>
      </c>
    </row>
    <row r="177" spans="1:62" ht="15" customHeight="1">
      <c r="A177" s="102"/>
      <c r="B177" s="102"/>
      <c r="C177" s="102"/>
      <c r="D177" s="101"/>
      <c r="E177" s="105"/>
      <c r="F177" s="105" t="str">
        <f t="shared" ca="1" si="6"/>
        <v/>
      </c>
      <c r="G177" s="105"/>
      <c r="H177" s="105"/>
      <c r="I177" s="105"/>
      <c r="J177" s="105"/>
      <c r="K177" s="105"/>
      <c r="L177" s="105"/>
      <c r="M177" s="105"/>
      <c r="N177" s="105"/>
      <c r="O177" s="105"/>
      <c r="P177" s="106"/>
      <c r="Q177" s="106"/>
      <c r="R177" s="106"/>
      <c r="S177" s="107"/>
      <c r="T177" s="106"/>
      <c r="U177" s="106"/>
      <c r="V177" s="108"/>
      <c r="W177" s="108"/>
      <c r="X177" s="108"/>
      <c r="Y177" s="108"/>
      <c r="Z177" s="109"/>
      <c r="AA177" s="109"/>
      <c r="AB177" s="109"/>
      <c r="AC177" s="109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1"/>
      <c r="AR177" s="110"/>
      <c r="AS177" s="111"/>
      <c r="AT177" s="112"/>
      <c r="AU177" s="112"/>
      <c r="AV177" s="112"/>
      <c r="AW177" s="112"/>
      <c r="AX177" s="112"/>
      <c r="AY177" s="112"/>
      <c r="AZ177" s="112"/>
      <c r="BA177" s="112"/>
      <c r="BB177" s="112"/>
      <c r="BC177" s="112"/>
      <c r="BD177" s="113"/>
      <c r="BE177" s="114"/>
      <c r="BF177" s="115"/>
      <c r="BG177" s="115"/>
      <c r="BH177" s="116" t="str">
        <f t="shared" si="7"/>
        <v/>
      </c>
      <c r="BI177" s="116" t="str">
        <f t="shared" si="8"/>
        <v/>
      </c>
      <c r="BJ177" s="116" t="str">
        <f>IF(AND($A177&lt;&gt;"",$D177=반별조회!$C$5),COUNTIFS($A$3:$A177,"&lt;&gt;",$D$3:$D177,반별조회!$C$5),"")</f>
        <v/>
      </c>
    </row>
    <row r="178" spans="1:62" ht="15" customHeight="1">
      <c r="A178" s="102"/>
      <c r="B178" s="102"/>
      <c r="C178" s="102"/>
      <c r="D178" s="101"/>
      <c r="E178" s="105"/>
      <c r="F178" s="105" t="str">
        <f t="shared" ca="1" si="6"/>
        <v/>
      </c>
      <c r="G178" s="105"/>
      <c r="H178" s="105"/>
      <c r="I178" s="105"/>
      <c r="J178" s="105"/>
      <c r="K178" s="105"/>
      <c r="L178" s="105"/>
      <c r="M178" s="105"/>
      <c r="N178" s="105"/>
      <c r="O178" s="105"/>
      <c r="P178" s="106"/>
      <c r="Q178" s="106"/>
      <c r="R178" s="106"/>
      <c r="S178" s="107"/>
      <c r="T178" s="106"/>
      <c r="U178" s="106"/>
      <c r="V178" s="108"/>
      <c r="W178" s="108"/>
      <c r="X178" s="108"/>
      <c r="Y178" s="108"/>
      <c r="Z178" s="109"/>
      <c r="AA178" s="109"/>
      <c r="AB178" s="109"/>
      <c r="AC178" s="109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1"/>
      <c r="AR178" s="110"/>
      <c r="AS178" s="111"/>
      <c r="AT178" s="112"/>
      <c r="AU178" s="112"/>
      <c r="AV178" s="112"/>
      <c r="AW178" s="112"/>
      <c r="AX178" s="112"/>
      <c r="AY178" s="112"/>
      <c r="AZ178" s="112"/>
      <c r="BA178" s="112"/>
      <c r="BB178" s="112"/>
      <c r="BC178" s="112"/>
      <c r="BD178" s="113"/>
      <c r="BE178" s="114"/>
      <c r="BF178" s="115"/>
      <c r="BG178" s="115"/>
      <c r="BH178" s="116" t="str">
        <f t="shared" si="7"/>
        <v/>
      </c>
      <c r="BI178" s="116" t="str">
        <f t="shared" si="8"/>
        <v/>
      </c>
      <c r="BJ178" s="116" t="str">
        <f>IF(AND($A178&lt;&gt;"",$D178=반별조회!$C$5),COUNTIFS($A$3:$A178,"&lt;&gt;",$D$3:$D178,반별조회!$C$5),"")</f>
        <v/>
      </c>
    </row>
    <row r="179" spans="1:62" ht="15" customHeight="1">
      <c r="A179" s="102"/>
      <c r="B179" s="102"/>
      <c r="C179" s="102"/>
      <c r="D179" s="101"/>
      <c r="E179" s="105"/>
      <c r="F179" s="105" t="str">
        <f t="shared" ca="1" si="6"/>
        <v/>
      </c>
      <c r="G179" s="105"/>
      <c r="H179" s="105"/>
      <c r="I179" s="105"/>
      <c r="J179" s="105"/>
      <c r="K179" s="105"/>
      <c r="L179" s="105"/>
      <c r="M179" s="105"/>
      <c r="N179" s="105"/>
      <c r="O179" s="105"/>
      <c r="P179" s="106"/>
      <c r="Q179" s="106"/>
      <c r="R179" s="106"/>
      <c r="S179" s="107"/>
      <c r="T179" s="106"/>
      <c r="U179" s="106"/>
      <c r="V179" s="108"/>
      <c r="W179" s="108"/>
      <c r="X179" s="108"/>
      <c r="Y179" s="108"/>
      <c r="Z179" s="109"/>
      <c r="AA179" s="109"/>
      <c r="AB179" s="109"/>
      <c r="AC179" s="109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1"/>
      <c r="AR179" s="110"/>
      <c r="AS179" s="111"/>
      <c r="AT179" s="112"/>
      <c r="AU179" s="112"/>
      <c r="AV179" s="112"/>
      <c r="AW179" s="112"/>
      <c r="AX179" s="112"/>
      <c r="AY179" s="112"/>
      <c r="AZ179" s="112"/>
      <c r="BA179" s="112"/>
      <c r="BB179" s="112"/>
      <c r="BC179" s="112"/>
      <c r="BD179" s="113"/>
      <c r="BE179" s="114"/>
      <c r="BF179" s="115"/>
      <c r="BG179" s="115"/>
      <c r="BH179" s="116" t="str">
        <f t="shared" si="7"/>
        <v/>
      </c>
      <c r="BI179" s="116" t="str">
        <f t="shared" si="8"/>
        <v/>
      </c>
      <c r="BJ179" s="116" t="str">
        <f>IF(AND($A179&lt;&gt;"",$D179=반별조회!$C$5),COUNTIFS($A$3:$A179,"&lt;&gt;",$D$3:$D179,반별조회!$C$5),"")</f>
        <v/>
      </c>
    </row>
    <row r="180" spans="1:62" ht="15" customHeight="1">
      <c r="A180" s="102"/>
      <c r="B180" s="102"/>
      <c r="C180" s="102"/>
      <c r="D180" s="101"/>
      <c r="E180" s="105"/>
      <c r="F180" s="105" t="str">
        <f t="shared" ca="1" si="6"/>
        <v/>
      </c>
      <c r="G180" s="105"/>
      <c r="H180" s="105"/>
      <c r="I180" s="105"/>
      <c r="J180" s="105"/>
      <c r="K180" s="105"/>
      <c r="L180" s="105"/>
      <c r="M180" s="105"/>
      <c r="N180" s="105"/>
      <c r="O180" s="105"/>
      <c r="P180" s="106"/>
      <c r="Q180" s="106"/>
      <c r="R180" s="106"/>
      <c r="S180" s="107"/>
      <c r="T180" s="106"/>
      <c r="U180" s="106"/>
      <c r="V180" s="108"/>
      <c r="W180" s="108"/>
      <c r="X180" s="108"/>
      <c r="Y180" s="108"/>
      <c r="Z180" s="109"/>
      <c r="AA180" s="109"/>
      <c r="AB180" s="109"/>
      <c r="AC180" s="109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1"/>
      <c r="AR180" s="110"/>
      <c r="AS180" s="111"/>
      <c r="AT180" s="112"/>
      <c r="AU180" s="112"/>
      <c r="AV180" s="112"/>
      <c r="AW180" s="112"/>
      <c r="AX180" s="112"/>
      <c r="AY180" s="112"/>
      <c r="AZ180" s="112"/>
      <c r="BA180" s="112"/>
      <c r="BB180" s="112"/>
      <c r="BC180" s="112"/>
      <c r="BD180" s="113"/>
      <c r="BE180" s="114"/>
      <c r="BF180" s="115"/>
      <c r="BG180" s="115"/>
      <c r="BH180" s="116" t="str">
        <f t="shared" si="7"/>
        <v/>
      </c>
      <c r="BI180" s="116" t="str">
        <f t="shared" si="8"/>
        <v/>
      </c>
      <c r="BJ180" s="116" t="str">
        <f>IF(AND($A180&lt;&gt;"",$D180=반별조회!$C$5),COUNTIFS($A$3:$A180,"&lt;&gt;",$D$3:$D180,반별조회!$C$5),"")</f>
        <v/>
      </c>
    </row>
    <row r="181" spans="1:62" ht="15" customHeight="1">
      <c r="A181" s="102"/>
      <c r="B181" s="102"/>
      <c r="C181" s="102"/>
      <c r="D181" s="101"/>
      <c r="E181" s="105"/>
      <c r="F181" s="105" t="str">
        <f t="shared" ca="1" si="6"/>
        <v/>
      </c>
      <c r="G181" s="105"/>
      <c r="H181" s="105"/>
      <c r="I181" s="105"/>
      <c r="J181" s="105"/>
      <c r="K181" s="105"/>
      <c r="L181" s="105"/>
      <c r="M181" s="105"/>
      <c r="N181" s="105"/>
      <c r="O181" s="105"/>
      <c r="P181" s="106"/>
      <c r="Q181" s="106"/>
      <c r="R181" s="106"/>
      <c r="S181" s="107"/>
      <c r="T181" s="106"/>
      <c r="U181" s="106"/>
      <c r="V181" s="108"/>
      <c r="W181" s="108"/>
      <c r="X181" s="108"/>
      <c r="Y181" s="108"/>
      <c r="Z181" s="109"/>
      <c r="AA181" s="109"/>
      <c r="AB181" s="109"/>
      <c r="AC181" s="109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1"/>
      <c r="AR181" s="110"/>
      <c r="AS181" s="111"/>
      <c r="AT181" s="112"/>
      <c r="AU181" s="112"/>
      <c r="AV181" s="112"/>
      <c r="AW181" s="112"/>
      <c r="AX181" s="112"/>
      <c r="AY181" s="112"/>
      <c r="AZ181" s="112"/>
      <c r="BA181" s="112"/>
      <c r="BB181" s="112"/>
      <c r="BC181" s="112"/>
      <c r="BD181" s="113"/>
      <c r="BE181" s="114"/>
      <c r="BF181" s="115"/>
      <c r="BG181" s="115"/>
      <c r="BH181" s="116" t="str">
        <f t="shared" si="7"/>
        <v/>
      </c>
      <c r="BI181" s="116" t="str">
        <f t="shared" si="8"/>
        <v/>
      </c>
      <c r="BJ181" s="116" t="str">
        <f>IF(AND($A181&lt;&gt;"",$D181=반별조회!$C$5),COUNTIFS($A$3:$A181,"&lt;&gt;",$D$3:$D181,반별조회!$C$5),"")</f>
        <v/>
      </c>
    </row>
    <row r="182" spans="1:62" ht="15" customHeight="1">
      <c r="A182" s="102"/>
      <c r="B182" s="102"/>
      <c r="C182" s="102"/>
      <c r="D182" s="101"/>
      <c r="E182" s="105"/>
      <c r="F182" s="105" t="str">
        <f t="shared" ca="1" si="6"/>
        <v/>
      </c>
      <c r="G182" s="105"/>
      <c r="H182" s="105"/>
      <c r="I182" s="105"/>
      <c r="J182" s="105"/>
      <c r="K182" s="105"/>
      <c r="L182" s="105"/>
      <c r="M182" s="105"/>
      <c r="N182" s="105"/>
      <c r="O182" s="105"/>
      <c r="P182" s="106"/>
      <c r="Q182" s="106"/>
      <c r="R182" s="106"/>
      <c r="S182" s="107"/>
      <c r="T182" s="106"/>
      <c r="U182" s="106"/>
      <c r="V182" s="108"/>
      <c r="W182" s="108"/>
      <c r="X182" s="108"/>
      <c r="Y182" s="108"/>
      <c r="Z182" s="109"/>
      <c r="AA182" s="109"/>
      <c r="AB182" s="109"/>
      <c r="AC182" s="109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1"/>
      <c r="AR182" s="110"/>
      <c r="AS182" s="111"/>
      <c r="AT182" s="112"/>
      <c r="AU182" s="112"/>
      <c r="AV182" s="112"/>
      <c r="AW182" s="112"/>
      <c r="AX182" s="112"/>
      <c r="AY182" s="112"/>
      <c r="AZ182" s="112"/>
      <c r="BA182" s="112"/>
      <c r="BB182" s="112"/>
      <c r="BC182" s="112"/>
      <c r="BD182" s="113"/>
      <c r="BE182" s="114"/>
      <c r="BF182" s="115"/>
      <c r="BG182" s="115"/>
      <c r="BH182" s="116" t="str">
        <f t="shared" si="7"/>
        <v/>
      </c>
      <c r="BI182" s="116" t="str">
        <f t="shared" si="8"/>
        <v/>
      </c>
      <c r="BJ182" s="116" t="str">
        <f>IF(AND($A182&lt;&gt;"",$D182=반별조회!$C$5),COUNTIFS($A$3:$A182,"&lt;&gt;",$D$3:$D182,반별조회!$C$5),"")</f>
        <v/>
      </c>
    </row>
    <row r="183" spans="1:62" ht="15" customHeight="1">
      <c r="A183" s="102"/>
      <c r="B183" s="102"/>
      <c r="C183" s="102"/>
      <c r="D183" s="101"/>
      <c r="E183" s="105"/>
      <c r="F183" s="105" t="str">
        <f t="shared" ca="1" si="6"/>
        <v/>
      </c>
      <c r="G183" s="105"/>
      <c r="H183" s="105"/>
      <c r="I183" s="105"/>
      <c r="J183" s="105"/>
      <c r="K183" s="105"/>
      <c r="L183" s="105"/>
      <c r="M183" s="105"/>
      <c r="N183" s="105"/>
      <c r="O183" s="105"/>
      <c r="P183" s="106"/>
      <c r="Q183" s="106"/>
      <c r="R183" s="106"/>
      <c r="S183" s="107"/>
      <c r="T183" s="106"/>
      <c r="U183" s="106"/>
      <c r="V183" s="108"/>
      <c r="W183" s="108"/>
      <c r="X183" s="108"/>
      <c r="Y183" s="108"/>
      <c r="Z183" s="109"/>
      <c r="AA183" s="109"/>
      <c r="AB183" s="109"/>
      <c r="AC183" s="109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1"/>
      <c r="AR183" s="110"/>
      <c r="AS183" s="111"/>
      <c r="AT183" s="112"/>
      <c r="AU183" s="112"/>
      <c r="AV183" s="112"/>
      <c r="AW183" s="112"/>
      <c r="AX183" s="112"/>
      <c r="AY183" s="112"/>
      <c r="AZ183" s="112"/>
      <c r="BA183" s="112"/>
      <c r="BB183" s="112"/>
      <c r="BC183" s="112"/>
      <c r="BD183" s="113"/>
      <c r="BE183" s="114"/>
      <c r="BF183" s="115"/>
      <c r="BG183" s="115"/>
      <c r="BH183" s="116" t="str">
        <f t="shared" si="7"/>
        <v/>
      </c>
      <c r="BI183" s="116" t="str">
        <f t="shared" si="8"/>
        <v/>
      </c>
      <c r="BJ183" s="116" t="str">
        <f>IF(AND($A183&lt;&gt;"",$D183=반별조회!$C$5),COUNTIFS($A$3:$A183,"&lt;&gt;",$D$3:$D183,반별조회!$C$5),"")</f>
        <v/>
      </c>
    </row>
    <row r="184" spans="1:62" ht="15" customHeight="1">
      <c r="A184" s="102"/>
      <c r="B184" s="102"/>
      <c r="C184" s="102"/>
      <c r="D184" s="101"/>
      <c r="E184" s="105"/>
      <c r="F184" s="105" t="str">
        <f t="shared" ca="1" si="6"/>
        <v/>
      </c>
      <c r="G184" s="105"/>
      <c r="H184" s="105"/>
      <c r="I184" s="105"/>
      <c r="J184" s="105"/>
      <c r="K184" s="105"/>
      <c r="L184" s="105"/>
      <c r="M184" s="105"/>
      <c r="N184" s="105"/>
      <c r="O184" s="105"/>
      <c r="P184" s="106"/>
      <c r="Q184" s="106"/>
      <c r="R184" s="106"/>
      <c r="S184" s="107"/>
      <c r="T184" s="106"/>
      <c r="U184" s="106"/>
      <c r="V184" s="108"/>
      <c r="W184" s="108"/>
      <c r="X184" s="108"/>
      <c r="Y184" s="108"/>
      <c r="Z184" s="109"/>
      <c r="AA184" s="109"/>
      <c r="AB184" s="109"/>
      <c r="AC184" s="109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1"/>
      <c r="AR184" s="110"/>
      <c r="AS184" s="111"/>
      <c r="AT184" s="112"/>
      <c r="AU184" s="112"/>
      <c r="AV184" s="112"/>
      <c r="AW184" s="112"/>
      <c r="AX184" s="112"/>
      <c r="AY184" s="112"/>
      <c r="AZ184" s="112"/>
      <c r="BA184" s="112"/>
      <c r="BB184" s="112"/>
      <c r="BC184" s="112"/>
      <c r="BD184" s="113"/>
      <c r="BE184" s="114"/>
      <c r="BF184" s="115"/>
      <c r="BG184" s="115"/>
      <c r="BH184" s="116" t="str">
        <f t="shared" si="7"/>
        <v/>
      </c>
      <c r="BI184" s="116" t="str">
        <f t="shared" si="8"/>
        <v/>
      </c>
      <c r="BJ184" s="116" t="str">
        <f>IF(AND($A184&lt;&gt;"",$D184=반별조회!$C$5),COUNTIFS($A$3:$A184,"&lt;&gt;",$D$3:$D184,반별조회!$C$5),"")</f>
        <v/>
      </c>
    </row>
    <row r="185" spans="1:62" ht="15" customHeight="1">
      <c r="A185" s="102"/>
      <c r="B185" s="102"/>
      <c r="C185" s="102"/>
      <c r="D185" s="101"/>
      <c r="E185" s="105"/>
      <c r="F185" s="105" t="str">
        <f t="shared" ca="1" si="6"/>
        <v/>
      </c>
      <c r="G185" s="105"/>
      <c r="H185" s="105"/>
      <c r="I185" s="105"/>
      <c r="J185" s="105"/>
      <c r="K185" s="105"/>
      <c r="L185" s="105"/>
      <c r="M185" s="105"/>
      <c r="N185" s="105"/>
      <c r="O185" s="105"/>
      <c r="P185" s="106"/>
      <c r="Q185" s="106"/>
      <c r="R185" s="106"/>
      <c r="S185" s="107"/>
      <c r="T185" s="106"/>
      <c r="U185" s="106"/>
      <c r="V185" s="108"/>
      <c r="W185" s="108"/>
      <c r="X185" s="108"/>
      <c r="Y185" s="108"/>
      <c r="Z185" s="109"/>
      <c r="AA185" s="109"/>
      <c r="AB185" s="109"/>
      <c r="AC185" s="109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1"/>
      <c r="AR185" s="110"/>
      <c r="AS185" s="111"/>
      <c r="AT185" s="112"/>
      <c r="AU185" s="112"/>
      <c r="AV185" s="112"/>
      <c r="AW185" s="112"/>
      <c r="AX185" s="112"/>
      <c r="AY185" s="112"/>
      <c r="AZ185" s="112"/>
      <c r="BA185" s="112"/>
      <c r="BB185" s="112"/>
      <c r="BC185" s="112"/>
      <c r="BD185" s="113"/>
      <c r="BE185" s="114"/>
      <c r="BF185" s="115"/>
      <c r="BG185" s="115"/>
      <c r="BH185" s="116" t="str">
        <f t="shared" si="7"/>
        <v/>
      </c>
      <c r="BI185" s="116" t="str">
        <f t="shared" si="8"/>
        <v/>
      </c>
      <c r="BJ185" s="116" t="str">
        <f>IF(AND($A185&lt;&gt;"",$D185=반별조회!$C$5),COUNTIFS($A$3:$A185,"&lt;&gt;",$D$3:$D185,반별조회!$C$5),"")</f>
        <v/>
      </c>
    </row>
    <row r="186" spans="1:62" ht="15" customHeight="1">
      <c r="A186" s="102"/>
      <c r="B186" s="102"/>
      <c r="C186" s="102"/>
      <c r="D186" s="101"/>
      <c r="E186" s="105"/>
      <c r="F186" s="105" t="str">
        <f t="shared" ca="1" si="6"/>
        <v/>
      </c>
      <c r="G186" s="105"/>
      <c r="H186" s="105"/>
      <c r="I186" s="105"/>
      <c r="J186" s="105"/>
      <c r="K186" s="105"/>
      <c r="L186" s="105"/>
      <c r="M186" s="105"/>
      <c r="N186" s="105"/>
      <c r="O186" s="105"/>
      <c r="P186" s="106"/>
      <c r="Q186" s="106"/>
      <c r="R186" s="106"/>
      <c r="S186" s="107"/>
      <c r="T186" s="106"/>
      <c r="U186" s="106"/>
      <c r="V186" s="108"/>
      <c r="W186" s="108"/>
      <c r="X186" s="108"/>
      <c r="Y186" s="108"/>
      <c r="Z186" s="109"/>
      <c r="AA186" s="109"/>
      <c r="AB186" s="109"/>
      <c r="AC186" s="109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1"/>
      <c r="AR186" s="110"/>
      <c r="AS186" s="111"/>
      <c r="AT186" s="112"/>
      <c r="AU186" s="112"/>
      <c r="AV186" s="112"/>
      <c r="AW186" s="112"/>
      <c r="AX186" s="112"/>
      <c r="AY186" s="112"/>
      <c r="AZ186" s="112"/>
      <c r="BA186" s="112"/>
      <c r="BB186" s="112"/>
      <c r="BC186" s="112"/>
      <c r="BD186" s="113"/>
      <c r="BE186" s="114"/>
      <c r="BF186" s="115"/>
      <c r="BG186" s="115"/>
      <c r="BH186" s="116" t="str">
        <f t="shared" si="7"/>
        <v/>
      </c>
      <c r="BI186" s="116" t="str">
        <f t="shared" si="8"/>
        <v/>
      </c>
      <c r="BJ186" s="116" t="str">
        <f>IF(AND($A186&lt;&gt;"",$D186=반별조회!$C$5),COUNTIFS($A$3:$A186,"&lt;&gt;",$D$3:$D186,반별조회!$C$5),"")</f>
        <v/>
      </c>
    </row>
    <row r="187" spans="1:62" ht="15" customHeight="1">
      <c r="A187" s="102"/>
      <c r="B187" s="102"/>
      <c r="C187" s="102"/>
      <c r="D187" s="101"/>
      <c r="E187" s="105"/>
      <c r="F187" s="105" t="str">
        <f t="shared" ca="1" si="6"/>
        <v/>
      </c>
      <c r="G187" s="105"/>
      <c r="H187" s="105"/>
      <c r="I187" s="105"/>
      <c r="J187" s="105"/>
      <c r="K187" s="105"/>
      <c r="L187" s="105"/>
      <c r="M187" s="105"/>
      <c r="N187" s="105"/>
      <c r="O187" s="105"/>
      <c r="P187" s="106"/>
      <c r="Q187" s="106"/>
      <c r="R187" s="106"/>
      <c r="S187" s="107"/>
      <c r="T187" s="106"/>
      <c r="U187" s="106"/>
      <c r="V187" s="108"/>
      <c r="W187" s="108"/>
      <c r="X187" s="108"/>
      <c r="Y187" s="108"/>
      <c r="Z187" s="109"/>
      <c r="AA187" s="109"/>
      <c r="AB187" s="109"/>
      <c r="AC187" s="109"/>
      <c r="AD187" s="110"/>
      <c r="AE187" s="110"/>
      <c r="AF187" s="110"/>
      <c r="AG187" s="110"/>
      <c r="AH187" s="110"/>
      <c r="AI187" s="110"/>
      <c r="AJ187" s="110"/>
      <c r="AK187" s="110"/>
      <c r="AL187" s="110"/>
      <c r="AM187" s="110"/>
      <c r="AN187" s="110"/>
      <c r="AO187" s="110"/>
      <c r="AP187" s="110"/>
      <c r="AQ187" s="111"/>
      <c r="AR187" s="110"/>
      <c r="AS187" s="111"/>
      <c r="AT187" s="112"/>
      <c r="AU187" s="112"/>
      <c r="AV187" s="112"/>
      <c r="AW187" s="112"/>
      <c r="AX187" s="112"/>
      <c r="AY187" s="112"/>
      <c r="AZ187" s="112"/>
      <c r="BA187" s="112"/>
      <c r="BB187" s="112"/>
      <c r="BC187" s="112"/>
      <c r="BD187" s="113"/>
      <c r="BE187" s="114"/>
      <c r="BF187" s="115"/>
      <c r="BG187" s="115"/>
      <c r="BH187" s="116" t="str">
        <f t="shared" si="7"/>
        <v/>
      </c>
      <c r="BI187" s="116" t="str">
        <f t="shared" si="8"/>
        <v/>
      </c>
      <c r="BJ187" s="116" t="str">
        <f>IF(AND($A187&lt;&gt;"",$D187=반별조회!$C$5),COUNTIFS($A$3:$A187,"&lt;&gt;",$D$3:$D187,반별조회!$C$5),"")</f>
        <v/>
      </c>
    </row>
    <row r="188" spans="1:62" ht="15" customHeight="1">
      <c r="A188" s="102"/>
      <c r="B188" s="102"/>
      <c r="C188" s="102"/>
      <c r="D188" s="101"/>
      <c r="E188" s="105"/>
      <c r="F188" s="105" t="str">
        <f t="shared" ca="1" si="6"/>
        <v/>
      </c>
      <c r="G188" s="105"/>
      <c r="H188" s="105"/>
      <c r="I188" s="105"/>
      <c r="J188" s="105"/>
      <c r="K188" s="105"/>
      <c r="L188" s="105"/>
      <c r="M188" s="105"/>
      <c r="N188" s="105"/>
      <c r="O188" s="105"/>
      <c r="P188" s="106"/>
      <c r="Q188" s="106"/>
      <c r="R188" s="106"/>
      <c r="S188" s="107"/>
      <c r="T188" s="106"/>
      <c r="U188" s="106"/>
      <c r="V188" s="108"/>
      <c r="W188" s="108"/>
      <c r="X188" s="108"/>
      <c r="Y188" s="108"/>
      <c r="Z188" s="109"/>
      <c r="AA188" s="109"/>
      <c r="AB188" s="109"/>
      <c r="AC188" s="109"/>
      <c r="AD188" s="110"/>
      <c r="AE188" s="110"/>
      <c r="AF188" s="110"/>
      <c r="AG188" s="110"/>
      <c r="AH188" s="110"/>
      <c r="AI188" s="110"/>
      <c r="AJ188" s="110"/>
      <c r="AK188" s="110"/>
      <c r="AL188" s="110"/>
      <c r="AM188" s="110"/>
      <c r="AN188" s="110"/>
      <c r="AO188" s="110"/>
      <c r="AP188" s="110"/>
      <c r="AQ188" s="111"/>
      <c r="AR188" s="110"/>
      <c r="AS188" s="111"/>
      <c r="AT188" s="112"/>
      <c r="AU188" s="112"/>
      <c r="AV188" s="112"/>
      <c r="AW188" s="112"/>
      <c r="AX188" s="112"/>
      <c r="AY188" s="112"/>
      <c r="AZ188" s="112"/>
      <c r="BA188" s="112"/>
      <c r="BB188" s="112"/>
      <c r="BC188" s="112"/>
      <c r="BD188" s="113"/>
      <c r="BE188" s="114"/>
      <c r="BF188" s="115"/>
      <c r="BG188" s="115"/>
      <c r="BH188" s="116" t="str">
        <f t="shared" si="7"/>
        <v/>
      </c>
      <c r="BI188" s="116" t="str">
        <f t="shared" si="8"/>
        <v/>
      </c>
      <c r="BJ188" s="116" t="str">
        <f>IF(AND($A188&lt;&gt;"",$D188=반별조회!$C$5),COUNTIFS($A$3:$A188,"&lt;&gt;",$D$3:$D188,반별조회!$C$5),"")</f>
        <v/>
      </c>
    </row>
    <row r="189" spans="1:62" ht="15" customHeight="1">
      <c r="A189" s="102"/>
      <c r="B189" s="102"/>
      <c r="C189" s="102"/>
      <c r="D189" s="101"/>
      <c r="E189" s="105"/>
      <c r="F189" s="105" t="str">
        <f t="shared" ca="1" si="6"/>
        <v/>
      </c>
      <c r="G189" s="105"/>
      <c r="H189" s="105"/>
      <c r="I189" s="105"/>
      <c r="J189" s="105"/>
      <c r="K189" s="105"/>
      <c r="L189" s="105"/>
      <c r="M189" s="105"/>
      <c r="N189" s="105"/>
      <c r="O189" s="105"/>
      <c r="P189" s="106"/>
      <c r="Q189" s="106"/>
      <c r="R189" s="106"/>
      <c r="S189" s="107"/>
      <c r="T189" s="106"/>
      <c r="U189" s="106"/>
      <c r="V189" s="108"/>
      <c r="W189" s="108"/>
      <c r="X189" s="108"/>
      <c r="Y189" s="108"/>
      <c r="Z189" s="109"/>
      <c r="AA189" s="109"/>
      <c r="AB189" s="109"/>
      <c r="AC189" s="109"/>
      <c r="AD189" s="110"/>
      <c r="AE189" s="110"/>
      <c r="AF189" s="110"/>
      <c r="AG189" s="110"/>
      <c r="AH189" s="110"/>
      <c r="AI189" s="110"/>
      <c r="AJ189" s="110"/>
      <c r="AK189" s="110"/>
      <c r="AL189" s="110"/>
      <c r="AM189" s="110"/>
      <c r="AN189" s="110"/>
      <c r="AO189" s="110"/>
      <c r="AP189" s="110"/>
      <c r="AQ189" s="111"/>
      <c r="AR189" s="110"/>
      <c r="AS189" s="111"/>
      <c r="AT189" s="112"/>
      <c r="AU189" s="112"/>
      <c r="AV189" s="112"/>
      <c r="AW189" s="112"/>
      <c r="AX189" s="112"/>
      <c r="AY189" s="112"/>
      <c r="AZ189" s="112"/>
      <c r="BA189" s="112"/>
      <c r="BB189" s="112"/>
      <c r="BC189" s="112"/>
      <c r="BD189" s="113"/>
      <c r="BE189" s="114"/>
      <c r="BF189" s="115"/>
      <c r="BG189" s="115"/>
      <c r="BH189" s="116" t="str">
        <f t="shared" si="7"/>
        <v/>
      </c>
      <c r="BI189" s="116" t="str">
        <f t="shared" si="8"/>
        <v/>
      </c>
      <c r="BJ189" s="116" t="str">
        <f>IF(AND($A189&lt;&gt;"",$D189=반별조회!$C$5),COUNTIFS($A$3:$A189,"&lt;&gt;",$D$3:$D189,반별조회!$C$5),"")</f>
        <v/>
      </c>
    </row>
    <row r="190" spans="1:62" ht="15" customHeight="1">
      <c r="A190" s="102"/>
      <c r="B190" s="102"/>
      <c r="C190" s="102"/>
      <c r="D190" s="101"/>
      <c r="E190" s="105"/>
      <c r="F190" s="105" t="str">
        <f t="shared" ca="1" si="6"/>
        <v/>
      </c>
      <c r="G190" s="105"/>
      <c r="H190" s="105"/>
      <c r="I190" s="105"/>
      <c r="J190" s="105"/>
      <c r="K190" s="105"/>
      <c r="L190" s="105"/>
      <c r="M190" s="105"/>
      <c r="N190" s="105"/>
      <c r="O190" s="105"/>
      <c r="P190" s="106"/>
      <c r="Q190" s="106"/>
      <c r="R190" s="106"/>
      <c r="S190" s="107"/>
      <c r="T190" s="106"/>
      <c r="U190" s="106"/>
      <c r="V190" s="108"/>
      <c r="W190" s="108"/>
      <c r="X190" s="108"/>
      <c r="Y190" s="108"/>
      <c r="Z190" s="109"/>
      <c r="AA190" s="109"/>
      <c r="AB190" s="109"/>
      <c r="AC190" s="109"/>
      <c r="AD190" s="110"/>
      <c r="AE190" s="110"/>
      <c r="AF190" s="110"/>
      <c r="AG190" s="110"/>
      <c r="AH190" s="110"/>
      <c r="AI190" s="110"/>
      <c r="AJ190" s="110"/>
      <c r="AK190" s="110"/>
      <c r="AL190" s="110"/>
      <c r="AM190" s="110"/>
      <c r="AN190" s="110"/>
      <c r="AO190" s="110"/>
      <c r="AP190" s="110"/>
      <c r="AQ190" s="111"/>
      <c r="AR190" s="110"/>
      <c r="AS190" s="111"/>
      <c r="AT190" s="112"/>
      <c r="AU190" s="112"/>
      <c r="AV190" s="112"/>
      <c r="AW190" s="112"/>
      <c r="AX190" s="112"/>
      <c r="AY190" s="112"/>
      <c r="AZ190" s="112"/>
      <c r="BA190" s="112"/>
      <c r="BB190" s="112"/>
      <c r="BC190" s="112"/>
      <c r="BD190" s="113"/>
      <c r="BE190" s="114"/>
      <c r="BF190" s="115"/>
      <c r="BG190" s="115"/>
      <c r="BH190" s="116" t="str">
        <f t="shared" si="7"/>
        <v/>
      </c>
      <c r="BI190" s="116" t="str">
        <f t="shared" si="8"/>
        <v/>
      </c>
      <c r="BJ190" s="116" t="str">
        <f>IF(AND($A190&lt;&gt;"",$D190=반별조회!$C$5),COUNTIFS($A$3:$A190,"&lt;&gt;",$D$3:$D190,반별조회!$C$5),"")</f>
        <v/>
      </c>
    </row>
    <row r="191" spans="1:62" ht="15" customHeight="1">
      <c r="A191" s="102"/>
      <c r="B191" s="102"/>
      <c r="C191" s="102"/>
      <c r="D191" s="101"/>
      <c r="E191" s="105"/>
      <c r="F191" s="105" t="str">
        <f t="shared" ca="1" si="6"/>
        <v/>
      </c>
      <c r="G191" s="105"/>
      <c r="H191" s="105"/>
      <c r="I191" s="105"/>
      <c r="J191" s="105"/>
      <c r="K191" s="105"/>
      <c r="L191" s="105"/>
      <c r="M191" s="105"/>
      <c r="N191" s="105"/>
      <c r="O191" s="105"/>
      <c r="P191" s="106"/>
      <c r="Q191" s="106"/>
      <c r="R191" s="106"/>
      <c r="S191" s="107"/>
      <c r="T191" s="106"/>
      <c r="U191" s="106"/>
      <c r="V191" s="108"/>
      <c r="W191" s="108"/>
      <c r="X191" s="108"/>
      <c r="Y191" s="108"/>
      <c r="Z191" s="109"/>
      <c r="AA191" s="109"/>
      <c r="AB191" s="109"/>
      <c r="AC191" s="109"/>
      <c r="AD191" s="110"/>
      <c r="AE191" s="110"/>
      <c r="AF191" s="110"/>
      <c r="AG191" s="110"/>
      <c r="AH191" s="110"/>
      <c r="AI191" s="110"/>
      <c r="AJ191" s="110"/>
      <c r="AK191" s="110"/>
      <c r="AL191" s="110"/>
      <c r="AM191" s="110"/>
      <c r="AN191" s="110"/>
      <c r="AO191" s="110"/>
      <c r="AP191" s="110"/>
      <c r="AQ191" s="111"/>
      <c r="AR191" s="110"/>
      <c r="AS191" s="111"/>
      <c r="AT191" s="112"/>
      <c r="AU191" s="112"/>
      <c r="AV191" s="112"/>
      <c r="AW191" s="112"/>
      <c r="AX191" s="112"/>
      <c r="AY191" s="112"/>
      <c r="AZ191" s="112"/>
      <c r="BA191" s="112"/>
      <c r="BB191" s="112"/>
      <c r="BC191" s="112"/>
      <c r="BD191" s="113"/>
      <c r="BE191" s="114"/>
      <c r="BF191" s="115"/>
      <c r="BG191" s="115"/>
      <c r="BH191" s="116" t="str">
        <f t="shared" si="7"/>
        <v/>
      </c>
      <c r="BI191" s="116" t="str">
        <f t="shared" si="8"/>
        <v/>
      </c>
      <c r="BJ191" s="116" t="str">
        <f>IF(AND($A191&lt;&gt;"",$D191=반별조회!$C$5),COUNTIFS($A$3:$A191,"&lt;&gt;",$D$3:$D191,반별조회!$C$5),"")</f>
        <v/>
      </c>
    </row>
    <row r="192" spans="1:62" ht="15" customHeight="1">
      <c r="A192" s="102"/>
      <c r="B192" s="102"/>
      <c r="C192" s="102"/>
      <c r="D192" s="101"/>
      <c r="E192" s="105"/>
      <c r="F192" s="105" t="str">
        <f t="shared" ca="1" si="6"/>
        <v/>
      </c>
      <c r="G192" s="105"/>
      <c r="H192" s="105"/>
      <c r="I192" s="105"/>
      <c r="J192" s="105"/>
      <c r="K192" s="105"/>
      <c r="L192" s="105"/>
      <c r="M192" s="105"/>
      <c r="N192" s="105"/>
      <c r="O192" s="105"/>
      <c r="P192" s="106"/>
      <c r="Q192" s="106"/>
      <c r="R192" s="106"/>
      <c r="S192" s="107"/>
      <c r="T192" s="106"/>
      <c r="U192" s="106"/>
      <c r="V192" s="108"/>
      <c r="W192" s="108"/>
      <c r="X192" s="108"/>
      <c r="Y192" s="108"/>
      <c r="Z192" s="109"/>
      <c r="AA192" s="109"/>
      <c r="AB192" s="109"/>
      <c r="AC192" s="109"/>
      <c r="AD192" s="110"/>
      <c r="AE192" s="110"/>
      <c r="AF192" s="110"/>
      <c r="AG192" s="110"/>
      <c r="AH192" s="110"/>
      <c r="AI192" s="110"/>
      <c r="AJ192" s="110"/>
      <c r="AK192" s="110"/>
      <c r="AL192" s="110"/>
      <c r="AM192" s="110"/>
      <c r="AN192" s="110"/>
      <c r="AO192" s="110"/>
      <c r="AP192" s="110"/>
      <c r="AQ192" s="111"/>
      <c r="AR192" s="110"/>
      <c r="AS192" s="111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3"/>
      <c r="BE192" s="114"/>
      <c r="BF192" s="115"/>
      <c r="BG192" s="115"/>
      <c r="BH192" s="116" t="str">
        <f t="shared" si="7"/>
        <v/>
      </c>
      <c r="BI192" s="116" t="str">
        <f t="shared" si="8"/>
        <v/>
      </c>
      <c r="BJ192" s="116" t="str">
        <f>IF(AND($A192&lt;&gt;"",$D192=반별조회!$C$5),COUNTIFS($A$3:$A192,"&lt;&gt;",$D$3:$D192,반별조회!$C$5),"")</f>
        <v/>
      </c>
    </row>
    <row r="193" spans="1:62" ht="15" customHeight="1">
      <c r="A193" s="102"/>
      <c r="B193" s="102"/>
      <c r="C193" s="102"/>
      <c r="D193" s="101"/>
      <c r="E193" s="105"/>
      <c r="F193" s="105" t="str">
        <f t="shared" ca="1" si="6"/>
        <v/>
      </c>
      <c r="G193" s="105"/>
      <c r="H193" s="105"/>
      <c r="I193" s="105"/>
      <c r="J193" s="105"/>
      <c r="K193" s="105"/>
      <c r="L193" s="105"/>
      <c r="M193" s="105"/>
      <c r="N193" s="105"/>
      <c r="O193" s="105"/>
      <c r="P193" s="106"/>
      <c r="Q193" s="106"/>
      <c r="R193" s="106"/>
      <c r="S193" s="107"/>
      <c r="T193" s="106"/>
      <c r="U193" s="106"/>
      <c r="V193" s="108"/>
      <c r="W193" s="108"/>
      <c r="X193" s="108"/>
      <c r="Y193" s="108"/>
      <c r="Z193" s="109"/>
      <c r="AA193" s="109"/>
      <c r="AB193" s="109"/>
      <c r="AC193" s="109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1"/>
      <c r="AR193" s="110"/>
      <c r="AS193" s="111"/>
      <c r="AT193" s="112"/>
      <c r="AU193" s="112"/>
      <c r="AV193" s="112"/>
      <c r="AW193" s="112"/>
      <c r="AX193" s="112"/>
      <c r="AY193" s="112"/>
      <c r="AZ193" s="112"/>
      <c r="BA193" s="112"/>
      <c r="BB193" s="112"/>
      <c r="BC193" s="112"/>
      <c r="BD193" s="113"/>
      <c r="BE193" s="114"/>
      <c r="BF193" s="115"/>
      <c r="BG193" s="115"/>
      <c r="BH193" s="116" t="str">
        <f t="shared" si="7"/>
        <v/>
      </c>
      <c r="BI193" s="116" t="str">
        <f t="shared" si="8"/>
        <v/>
      </c>
      <c r="BJ193" s="116" t="str">
        <f>IF(AND($A193&lt;&gt;"",$D193=반별조회!$C$5),COUNTIFS($A$3:$A193,"&lt;&gt;",$D$3:$D193,반별조회!$C$5),"")</f>
        <v/>
      </c>
    </row>
    <row r="194" spans="1:62" ht="15" customHeight="1">
      <c r="A194" s="102"/>
      <c r="B194" s="102"/>
      <c r="C194" s="102"/>
      <c r="D194" s="101"/>
      <c r="E194" s="105"/>
      <c r="F194" s="105" t="str">
        <f t="shared" ca="1" si="6"/>
        <v/>
      </c>
      <c r="G194" s="105"/>
      <c r="H194" s="105"/>
      <c r="I194" s="105"/>
      <c r="J194" s="105"/>
      <c r="K194" s="105"/>
      <c r="L194" s="105"/>
      <c r="M194" s="105"/>
      <c r="N194" s="105"/>
      <c r="O194" s="105"/>
      <c r="P194" s="106"/>
      <c r="Q194" s="106"/>
      <c r="R194" s="106"/>
      <c r="S194" s="107"/>
      <c r="T194" s="106"/>
      <c r="U194" s="106"/>
      <c r="V194" s="108"/>
      <c r="W194" s="108"/>
      <c r="X194" s="108"/>
      <c r="Y194" s="108"/>
      <c r="Z194" s="109"/>
      <c r="AA194" s="109"/>
      <c r="AB194" s="109"/>
      <c r="AC194" s="109"/>
      <c r="AD194" s="110"/>
      <c r="AE194" s="110"/>
      <c r="AF194" s="110"/>
      <c r="AG194" s="110"/>
      <c r="AH194" s="110"/>
      <c r="AI194" s="110"/>
      <c r="AJ194" s="110"/>
      <c r="AK194" s="110"/>
      <c r="AL194" s="110"/>
      <c r="AM194" s="110"/>
      <c r="AN194" s="110"/>
      <c r="AO194" s="110"/>
      <c r="AP194" s="110"/>
      <c r="AQ194" s="111"/>
      <c r="AR194" s="110"/>
      <c r="AS194" s="111"/>
      <c r="AT194" s="112"/>
      <c r="AU194" s="112"/>
      <c r="AV194" s="112"/>
      <c r="AW194" s="112"/>
      <c r="AX194" s="112"/>
      <c r="AY194" s="112"/>
      <c r="AZ194" s="112"/>
      <c r="BA194" s="112"/>
      <c r="BB194" s="112"/>
      <c r="BC194" s="112"/>
      <c r="BD194" s="113"/>
      <c r="BE194" s="114"/>
      <c r="BF194" s="115"/>
      <c r="BG194" s="115"/>
      <c r="BH194" s="116" t="str">
        <f t="shared" si="7"/>
        <v/>
      </c>
      <c r="BI194" s="116" t="str">
        <f t="shared" si="8"/>
        <v/>
      </c>
      <c r="BJ194" s="116" t="str">
        <f>IF(AND($A194&lt;&gt;"",$D194=반별조회!$C$5),COUNTIFS($A$3:$A194,"&lt;&gt;",$D$3:$D194,반별조회!$C$5),"")</f>
        <v/>
      </c>
    </row>
    <row r="195" spans="1:62" ht="15" customHeight="1">
      <c r="A195" s="102"/>
      <c r="B195" s="102"/>
      <c r="C195" s="102"/>
      <c r="D195" s="101"/>
      <c r="E195" s="105"/>
      <c r="F195" s="105" t="str">
        <f t="shared" ref="F195:F258" ca="1" si="9">IF($E195="","",INT((TODAY()-$E195)/365.25))</f>
        <v/>
      </c>
      <c r="G195" s="105"/>
      <c r="H195" s="105"/>
      <c r="I195" s="105"/>
      <c r="J195" s="105"/>
      <c r="K195" s="105"/>
      <c r="L195" s="105"/>
      <c r="M195" s="105"/>
      <c r="N195" s="105"/>
      <c r="O195" s="105"/>
      <c r="P195" s="106"/>
      <c r="Q195" s="106"/>
      <c r="R195" s="106"/>
      <c r="S195" s="107"/>
      <c r="T195" s="106"/>
      <c r="U195" s="106"/>
      <c r="V195" s="108"/>
      <c r="W195" s="108"/>
      <c r="X195" s="108"/>
      <c r="Y195" s="108"/>
      <c r="Z195" s="109"/>
      <c r="AA195" s="109"/>
      <c r="AB195" s="109"/>
      <c r="AC195" s="109"/>
      <c r="AD195" s="110"/>
      <c r="AE195" s="110"/>
      <c r="AF195" s="110"/>
      <c r="AG195" s="110"/>
      <c r="AH195" s="110"/>
      <c r="AI195" s="110"/>
      <c r="AJ195" s="110"/>
      <c r="AK195" s="110"/>
      <c r="AL195" s="110"/>
      <c r="AM195" s="110"/>
      <c r="AN195" s="110"/>
      <c r="AO195" s="110"/>
      <c r="AP195" s="110"/>
      <c r="AQ195" s="111"/>
      <c r="AR195" s="110"/>
      <c r="AS195" s="111"/>
      <c r="AT195" s="112"/>
      <c r="AU195" s="112"/>
      <c r="AV195" s="112"/>
      <c r="AW195" s="112"/>
      <c r="AX195" s="112"/>
      <c r="AY195" s="112"/>
      <c r="AZ195" s="112"/>
      <c r="BA195" s="112"/>
      <c r="BB195" s="112"/>
      <c r="BC195" s="112"/>
      <c r="BD195" s="113"/>
      <c r="BE195" s="114"/>
      <c r="BF195" s="115"/>
      <c r="BG195" s="115"/>
      <c r="BH195" s="116" t="str">
        <f t="shared" ref="BH195:BH258" si="10">IF($A195="","","SYNK-"&amp;TEXT(ROW()-2,"000"))</f>
        <v/>
      </c>
      <c r="BI195" s="116" t="str">
        <f t="shared" ref="BI195:BI258" si="11">IF(A195="","",TRIM(IF(AA195="거절","⚠비자거절 ","")&amp;IF(AS195="설득필요","⚠가족설득필요 ","")&amp;IF(AND(W195="5~6급",OR(S195="완전초보",S195="기초")),"⚠목표-수준괴리 ","")&amp;IF(AND(AQ195="빠듯함",AS195="설득필요"),"⚠재정리스크 ","")))</f>
        <v/>
      </c>
      <c r="BJ195" s="116" t="str">
        <f>IF(AND($A195&lt;&gt;"",$D195=반별조회!$C$5),COUNTIFS($A$3:$A195,"&lt;&gt;",$D$3:$D195,반별조회!$C$5),"")</f>
        <v/>
      </c>
    </row>
    <row r="196" spans="1:62" ht="15" customHeight="1">
      <c r="A196" s="102"/>
      <c r="B196" s="102"/>
      <c r="C196" s="102"/>
      <c r="D196" s="101"/>
      <c r="E196" s="105"/>
      <c r="F196" s="105" t="str">
        <f t="shared" ca="1" si="9"/>
        <v/>
      </c>
      <c r="G196" s="105"/>
      <c r="H196" s="105"/>
      <c r="I196" s="105"/>
      <c r="J196" s="105"/>
      <c r="K196" s="105"/>
      <c r="L196" s="105"/>
      <c r="M196" s="105"/>
      <c r="N196" s="105"/>
      <c r="O196" s="105"/>
      <c r="P196" s="106"/>
      <c r="Q196" s="106"/>
      <c r="R196" s="106"/>
      <c r="S196" s="107"/>
      <c r="T196" s="106"/>
      <c r="U196" s="106"/>
      <c r="V196" s="108"/>
      <c r="W196" s="108"/>
      <c r="X196" s="108"/>
      <c r="Y196" s="108"/>
      <c r="Z196" s="109"/>
      <c r="AA196" s="109"/>
      <c r="AB196" s="109"/>
      <c r="AC196" s="109"/>
      <c r="AD196" s="110"/>
      <c r="AE196" s="110"/>
      <c r="AF196" s="110"/>
      <c r="AG196" s="110"/>
      <c r="AH196" s="110"/>
      <c r="AI196" s="110"/>
      <c r="AJ196" s="110"/>
      <c r="AK196" s="110"/>
      <c r="AL196" s="110"/>
      <c r="AM196" s="110"/>
      <c r="AN196" s="110"/>
      <c r="AO196" s="110"/>
      <c r="AP196" s="110"/>
      <c r="AQ196" s="111"/>
      <c r="AR196" s="110"/>
      <c r="AS196" s="111"/>
      <c r="AT196" s="112"/>
      <c r="AU196" s="112"/>
      <c r="AV196" s="112"/>
      <c r="AW196" s="112"/>
      <c r="AX196" s="112"/>
      <c r="AY196" s="112"/>
      <c r="AZ196" s="112"/>
      <c r="BA196" s="112"/>
      <c r="BB196" s="112"/>
      <c r="BC196" s="112"/>
      <c r="BD196" s="113"/>
      <c r="BE196" s="114"/>
      <c r="BF196" s="115"/>
      <c r="BG196" s="115"/>
      <c r="BH196" s="116" t="str">
        <f t="shared" si="10"/>
        <v/>
      </c>
      <c r="BI196" s="116" t="str">
        <f t="shared" si="11"/>
        <v/>
      </c>
      <c r="BJ196" s="116" t="str">
        <f>IF(AND($A196&lt;&gt;"",$D196=반별조회!$C$5),COUNTIFS($A$3:$A196,"&lt;&gt;",$D$3:$D196,반별조회!$C$5),"")</f>
        <v/>
      </c>
    </row>
    <row r="197" spans="1:62" ht="15" customHeight="1">
      <c r="A197" s="102"/>
      <c r="B197" s="102"/>
      <c r="C197" s="102"/>
      <c r="D197" s="101"/>
      <c r="E197" s="105"/>
      <c r="F197" s="105" t="str">
        <f t="shared" ca="1" si="9"/>
        <v/>
      </c>
      <c r="G197" s="105"/>
      <c r="H197" s="105"/>
      <c r="I197" s="105"/>
      <c r="J197" s="105"/>
      <c r="K197" s="105"/>
      <c r="L197" s="105"/>
      <c r="M197" s="105"/>
      <c r="N197" s="105"/>
      <c r="O197" s="105"/>
      <c r="P197" s="106"/>
      <c r="Q197" s="106"/>
      <c r="R197" s="106"/>
      <c r="S197" s="107"/>
      <c r="T197" s="106"/>
      <c r="U197" s="106"/>
      <c r="V197" s="108"/>
      <c r="W197" s="108"/>
      <c r="X197" s="108"/>
      <c r="Y197" s="108"/>
      <c r="Z197" s="109"/>
      <c r="AA197" s="109"/>
      <c r="AB197" s="109"/>
      <c r="AC197" s="109"/>
      <c r="AD197" s="110"/>
      <c r="AE197" s="110"/>
      <c r="AF197" s="110"/>
      <c r="AG197" s="110"/>
      <c r="AH197" s="110"/>
      <c r="AI197" s="110"/>
      <c r="AJ197" s="110"/>
      <c r="AK197" s="110"/>
      <c r="AL197" s="110"/>
      <c r="AM197" s="110"/>
      <c r="AN197" s="110"/>
      <c r="AO197" s="110"/>
      <c r="AP197" s="110"/>
      <c r="AQ197" s="111"/>
      <c r="AR197" s="110"/>
      <c r="AS197" s="111"/>
      <c r="AT197" s="112"/>
      <c r="AU197" s="112"/>
      <c r="AV197" s="112"/>
      <c r="AW197" s="112"/>
      <c r="AX197" s="112"/>
      <c r="AY197" s="112"/>
      <c r="AZ197" s="112"/>
      <c r="BA197" s="112"/>
      <c r="BB197" s="112"/>
      <c r="BC197" s="112"/>
      <c r="BD197" s="113"/>
      <c r="BE197" s="114"/>
      <c r="BF197" s="115"/>
      <c r="BG197" s="115"/>
      <c r="BH197" s="116" t="str">
        <f t="shared" si="10"/>
        <v/>
      </c>
      <c r="BI197" s="116" t="str">
        <f t="shared" si="11"/>
        <v/>
      </c>
      <c r="BJ197" s="116" t="str">
        <f>IF(AND($A197&lt;&gt;"",$D197=반별조회!$C$5),COUNTIFS($A$3:$A197,"&lt;&gt;",$D$3:$D197,반별조회!$C$5),"")</f>
        <v/>
      </c>
    </row>
    <row r="198" spans="1:62" ht="15" customHeight="1">
      <c r="A198" s="102"/>
      <c r="B198" s="102"/>
      <c r="C198" s="102"/>
      <c r="D198" s="101"/>
      <c r="E198" s="105"/>
      <c r="F198" s="105" t="str">
        <f t="shared" ca="1" si="9"/>
        <v/>
      </c>
      <c r="G198" s="105"/>
      <c r="H198" s="105"/>
      <c r="I198" s="105"/>
      <c r="J198" s="105"/>
      <c r="K198" s="105"/>
      <c r="L198" s="105"/>
      <c r="M198" s="105"/>
      <c r="N198" s="105"/>
      <c r="O198" s="105"/>
      <c r="P198" s="106"/>
      <c r="Q198" s="106"/>
      <c r="R198" s="106"/>
      <c r="S198" s="107"/>
      <c r="T198" s="106"/>
      <c r="U198" s="106"/>
      <c r="V198" s="108"/>
      <c r="W198" s="108"/>
      <c r="X198" s="108"/>
      <c r="Y198" s="108"/>
      <c r="Z198" s="109"/>
      <c r="AA198" s="109"/>
      <c r="AB198" s="109"/>
      <c r="AC198" s="109"/>
      <c r="AD198" s="110"/>
      <c r="AE198" s="110"/>
      <c r="AF198" s="110"/>
      <c r="AG198" s="110"/>
      <c r="AH198" s="110"/>
      <c r="AI198" s="110"/>
      <c r="AJ198" s="110"/>
      <c r="AK198" s="110"/>
      <c r="AL198" s="110"/>
      <c r="AM198" s="110"/>
      <c r="AN198" s="110"/>
      <c r="AO198" s="110"/>
      <c r="AP198" s="110"/>
      <c r="AQ198" s="111"/>
      <c r="AR198" s="110"/>
      <c r="AS198" s="111"/>
      <c r="AT198" s="112"/>
      <c r="AU198" s="112"/>
      <c r="AV198" s="112"/>
      <c r="AW198" s="112"/>
      <c r="AX198" s="112"/>
      <c r="AY198" s="112"/>
      <c r="AZ198" s="112"/>
      <c r="BA198" s="112"/>
      <c r="BB198" s="112"/>
      <c r="BC198" s="112"/>
      <c r="BD198" s="113"/>
      <c r="BE198" s="114"/>
      <c r="BF198" s="115"/>
      <c r="BG198" s="115"/>
      <c r="BH198" s="116" t="str">
        <f t="shared" si="10"/>
        <v/>
      </c>
      <c r="BI198" s="116" t="str">
        <f t="shared" si="11"/>
        <v/>
      </c>
      <c r="BJ198" s="116" t="str">
        <f>IF(AND($A198&lt;&gt;"",$D198=반별조회!$C$5),COUNTIFS($A$3:$A198,"&lt;&gt;",$D$3:$D198,반별조회!$C$5),"")</f>
        <v/>
      </c>
    </row>
    <row r="199" spans="1:62" ht="15" customHeight="1">
      <c r="A199" s="102"/>
      <c r="B199" s="102"/>
      <c r="C199" s="102"/>
      <c r="D199" s="101"/>
      <c r="E199" s="105"/>
      <c r="F199" s="105" t="str">
        <f t="shared" ca="1" si="9"/>
        <v/>
      </c>
      <c r="G199" s="105"/>
      <c r="H199" s="105"/>
      <c r="I199" s="105"/>
      <c r="J199" s="105"/>
      <c r="K199" s="105"/>
      <c r="L199" s="105"/>
      <c r="M199" s="105"/>
      <c r="N199" s="105"/>
      <c r="O199" s="105"/>
      <c r="P199" s="106"/>
      <c r="Q199" s="106"/>
      <c r="R199" s="106"/>
      <c r="S199" s="107"/>
      <c r="T199" s="106"/>
      <c r="U199" s="106"/>
      <c r="V199" s="108"/>
      <c r="W199" s="108"/>
      <c r="X199" s="108"/>
      <c r="Y199" s="108"/>
      <c r="Z199" s="109"/>
      <c r="AA199" s="109"/>
      <c r="AB199" s="109"/>
      <c r="AC199" s="109"/>
      <c r="AD199" s="110"/>
      <c r="AE199" s="110"/>
      <c r="AF199" s="110"/>
      <c r="AG199" s="110"/>
      <c r="AH199" s="110"/>
      <c r="AI199" s="110"/>
      <c r="AJ199" s="110"/>
      <c r="AK199" s="110"/>
      <c r="AL199" s="110"/>
      <c r="AM199" s="110"/>
      <c r="AN199" s="110"/>
      <c r="AO199" s="110"/>
      <c r="AP199" s="110"/>
      <c r="AQ199" s="111"/>
      <c r="AR199" s="110"/>
      <c r="AS199" s="111"/>
      <c r="AT199" s="112"/>
      <c r="AU199" s="112"/>
      <c r="AV199" s="112"/>
      <c r="AW199" s="112"/>
      <c r="AX199" s="112"/>
      <c r="AY199" s="112"/>
      <c r="AZ199" s="112"/>
      <c r="BA199" s="112"/>
      <c r="BB199" s="112"/>
      <c r="BC199" s="112"/>
      <c r="BD199" s="113"/>
      <c r="BE199" s="114"/>
      <c r="BF199" s="115"/>
      <c r="BG199" s="115"/>
      <c r="BH199" s="116" t="str">
        <f t="shared" si="10"/>
        <v/>
      </c>
      <c r="BI199" s="116" t="str">
        <f t="shared" si="11"/>
        <v/>
      </c>
      <c r="BJ199" s="116" t="str">
        <f>IF(AND($A199&lt;&gt;"",$D199=반별조회!$C$5),COUNTIFS($A$3:$A199,"&lt;&gt;",$D$3:$D199,반별조회!$C$5),"")</f>
        <v/>
      </c>
    </row>
    <row r="200" spans="1:62" ht="15" customHeight="1">
      <c r="A200" s="102"/>
      <c r="B200" s="102"/>
      <c r="C200" s="102"/>
      <c r="D200" s="101"/>
      <c r="E200" s="105"/>
      <c r="F200" s="105" t="str">
        <f t="shared" ca="1" si="9"/>
        <v/>
      </c>
      <c r="G200" s="105"/>
      <c r="H200" s="105"/>
      <c r="I200" s="105"/>
      <c r="J200" s="105"/>
      <c r="K200" s="105"/>
      <c r="L200" s="105"/>
      <c r="M200" s="105"/>
      <c r="N200" s="105"/>
      <c r="O200" s="105"/>
      <c r="P200" s="106"/>
      <c r="Q200" s="106"/>
      <c r="R200" s="106"/>
      <c r="S200" s="107"/>
      <c r="T200" s="106"/>
      <c r="U200" s="106"/>
      <c r="V200" s="108"/>
      <c r="W200" s="108"/>
      <c r="X200" s="108"/>
      <c r="Y200" s="108"/>
      <c r="Z200" s="109"/>
      <c r="AA200" s="109"/>
      <c r="AB200" s="109"/>
      <c r="AC200" s="109"/>
      <c r="AD200" s="110"/>
      <c r="AE200" s="110"/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1"/>
      <c r="AR200" s="110"/>
      <c r="AS200" s="111"/>
      <c r="AT200" s="112"/>
      <c r="AU200" s="112"/>
      <c r="AV200" s="112"/>
      <c r="AW200" s="112"/>
      <c r="AX200" s="112"/>
      <c r="AY200" s="112"/>
      <c r="AZ200" s="112"/>
      <c r="BA200" s="112"/>
      <c r="BB200" s="112"/>
      <c r="BC200" s="112"/>
      <c r="BD200" s="113"/>
      <c r="BE200" s="114"/>
      <c r="BF200" s="115"/>
      <c r="BG200" s="115"/>
      <c r="BH200" s="116" t="str">
        <f t="shared" si="10"/>
        <v/>
      </c>
      <c r="BI200" s="116" t="str">
        <f t="shared" si="11"/>
        <v/>
      </c>
      <c r="BJ200" s="116" t="str">
        <f>IF(AND($A200&lt;&gt;"",$D200=반별조회!$C$5),COUNTIFS($A$3:$A200,"&lt;&gt;",$D$3:$D200,반별조회!$C$5),"")</f>
        <v/>
      </c>
    </row>
    <row r="201" spans="1:62" ht="15" customHeight="1">
      <c r="A201" s="102"/>
      <c r="B201" s="102"/>
      <c r="C201" s="102"/>
      <c r="D201" s="101"/>
      <c r="E201" s="105"/>
      <c r="F201" s="105" t="str">
        <f t="shared" ca="1" si="9"/>
        <v/>
      </c>
      <c r="G201" s="105"/>
      <c r="H201" s="105"/>
      <c r="I201" s="105"/>
      <c r="J201" s="105"/>
      <c r="K201" s="105"/>
      <c r="L201" s="105"/>
      <c r="M201" s="105"/>
      <c r="N201" s="105"/>
      <c r="O201" s="105"/>
      <c r="P201" s="106"/>
      <c r="Q201" s="106"/>
      <c r="R201" s="106"/>
      <c r="S201" s="107"/>
      <c r="T201" s="106"/>
      <c r="U201" s="106"/>
      <c r="V201" s="108"/>
      <c r="W201" s="108"/>
      <c r="X201" s="108"/>
      <c r="Y201" s="108"/>
      <c r="Z201" s="109"/>
      <c r="AA201" s="109"/>
      <c r="AB201" s="109"/>
      <c r="AC201" s="109"/>
      <c r="AD201" s="110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1"/>
      <c r="AR201" s="110"/>
      <c r="AS201" s="111"/>
      <c r="AT201" s="112"/>
      <c r="AU201" s="112"/>
      <c r="AV201" s="112"/>
      <c r="AW201" s="112"/>
      <c r="AX201" s="112"/>
      <c r="AY201" s="112"/>
      <c r="AZ201" s="112"/>
      <c r="BA201" s="112"/>
      <c r="BB201" s="112"/>
      <c r="BC201" s="112"/>
      <c r="BD201" s="113"/>
      <c r="BE201" s="114"/>
      <c r="BF201" s="115"/>
      <c r="BG201" s="115"/>
      <c r="BH201" s="116" t="str">
        <f t="shared" si="10"/>
        <v/>
      </c>
      <c r="BI201" s="116" t="str">
        <f t="shared" si="11"/>
        <v/>
      </c>
      <c r="BJ201" s="116" t="str">
        <f>IF(AND($A201&lt;&gt;"",$D201=반별조회!$C$5),COUNTIFS($A$3:$A201,"&lt;&gt;",$D$3:$D201,반별조회!$C$5),"")</f>
        <v/>
      </c>
    </row>
    <row r="202" spans="1:62" ht="15" customHeight="1">
      <c r="A202" s="102"/>
      <c r="B202" s="102"/>
      <c r="C202" s="102"/>
      <c r="D202" s="101"/>
      <c r="E202" s="105"/>
      <c r="F202" s="105" t="str">
        <f t="shared" ca="1" si="9"/>
        <v/>
      </c>
      <c r="G202" s="105"/>
      <c r="H202" s="105"/>
      <c r="I202" s="105"/>
      <c r="J202" s="105"/>
      <c r="K202" s="105"/>
      <c r="L202" s="105"/>
      <c r="M202" s="105"/>
      <c r="N202" s="105"/>
      <c r="O202" s="105"/>
      <c r="P202" s="106"/>
      <c r="Q202" s="106"/>
      <c r="R202" s="106"/>
      <c r="S202" s="107"/>
      <c r="T202" s="106"/>
      <c r="U202" s="106"/>
      <c r="V202" s="108"/>
      <c r="W202" s="108"/>
      <c r="X202" s="108"/>
      <c r="Y202" s="108"/>
      <c r="Z202" s="109"/>
      <c r="AA202" s="109"/>
      <c r="AB202" s="109"/>
      <c r="AC202" s="109"/>
      <c r="AD202" s="110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1"/>
      <c r="AR202" s="110"/>
      <c r="AS202" s="111"/>
      <c r="AT202" s="112"/>
      <c r="AU202" s="112"/>
      <c r="AV202" s="112"/>
      <c r="AW202" s="112"/>
      <c r="AX202" s="112"/>
      <c r="AY202" s="112"/>
      <c r="AZ202" s="112"/>
      <c r="BA202" s="112"/>
      <c r="BB202" s="112"/>
      <c r="BC202" s="112"/>
      <c r="BD202" s="113"/>
      <c r="BE202" s="114"/>
      <c r="BF202" s="115"/>
      <c r="BG202" s="115"/>
      <c r="BH202" s="116" t="str">
        <f t="shared" si="10"/>
        <v/>
      </c>
      <c r="BI202" s="116" t="str">
        <f t="shared" si="11"/>
        <v/>
      </c>
      <c r="BJ202" s="116" t="str">
        <f>IF(AND($A202&lt;&gt;"",$D202=반별조회!$C$5),COUNTIFS($A$3:$A202,"&lt;&gt;",$D$3:$D202,반별조회!$C$5),"")</f>
        <v/>
      </c>
    </row>
    <row r="203" spans="1:62" ht="15" customHeight="1">
      <c r="A203" s="102"/>
      <c r="B203" s="102"/>
      <c r="C203" s="102"/>
      <c r="D203" s="101"/>
      <c r="E203" s="105"/>
      <c r="F203" s="105" t="str">
        <f t="shared" ca="1" si="9"/>
        <v/>
      </c>
      <c r="G203" s="105"/>
      <c r="H203" s="105"/>
      <c r="I203" s="105"/>
      <c r="J203" s="105"/>
      <c r="K203" s="105"/>
      <c r="L203" s="105"/>
      <c r="M203" s="105"/>
      <c r="N203" s="105"/>
      <c r="O203" s="105"/>
      <c r="P203" s="106"/>
      <c r="Q203" s="106"/>
      <c r="R203" s="106"/>
      <c r="S203" s="107"/>
      <c r="T203" s="106"/>
      <c r="U203" s="106"/>
      <c r="V203" s="108"/>
      <c r="W203" s="108"/>
      <c r="X203" s="108"/>
      <c r="Y203" s="108"/>
      <c r="Z203" s="109"/>
      <c r="AA203" s="109"/>
      <c r="AB203" s="109"/>
      <c r="AC203" s="109"/>
      <c r="AD203" s="110"/>
      <c r="AE203" s="110"/>
      <c r="AF203" s="110"/>
      <c r="AG203" s="110"/>
      <c r="AH203" s="110"/>
      <c r="AI203" s="110"/>
      <c r="AJ203" s="110"/>
      <c r="AK203" s="110"/>
      <c r="AL203" s="110"/>
      <c r="AM203" s="110"/>
      <c r="AN203" s="110"/>
      <c r="AO203" s="110"/>
      <c r="AP203" s="110"/>
      <c r="AQ203" s="111"/>
      <c r="AR203" s="110"/>
      <c r="AS203" s="111"/>
      <c r="AT203" s="112"/>
      <c r="AU203" s="112"/>
      <c r="AV203" s="112"/>
      <c r="AW203" s="112"/>
      <c r="AX203" s="112"/>
      <c r="AY203" s="112"/>
      <c r="AZ203" s="112"/>
      <c r="BA203" s="112"/>
      <c r="BB203" s="112"/>
      <c r="BC203" s="112"/>
      <c r="BD203" s="113"/>
      <c r="BE203" s="114"/>
      <c r="BF203" s="115"/>
      <c r="BG203" s="115"/>
      <c r="BH203" s="116" t="str">
        <f t="shared" si="10"/>
        <v/>
      </c>
      <c r="BI203" s="116" t="str">
        <f t="shared" si="11"/>
        <v/>
      </c>
      <c r="BJ203" s="116" t="str">
        <f>IF(AND($A203&lt;&gt;"",$D203=반별조회!$C$5),COUNTIFS($A$3:$A203,"&lt;&gt;",$D$3:$D203,반별조회!$C$5),"")</f>
        <v/>
      </c>
    </row>
    <row r="204" spans="1:62" ht="15" customHeight="1">
      <c r="A204" s="102"/>
      <c r="B204" s="102"/>
      <c r="C204" s="102"/>
      <c r="D204" s="101"/>
      <c r="E204" s="105"/>
      <c r="F204" s="105" t="str">
        <f t="shared" ca="1" si="9"/>
        <v/>
      </c>
      <c r="G204" s="105"/>
      <c r="H204" s="105"/>
      <c r="I204" s="105"/>
      <c r="J204" s="105"/>
      <c r="K204" s="105"/>
      <c r="L204" s="105"/>
      <c r="M204" s="105"/>
      <c r="N204" s="105"/>
      <c r="O204" s="105"/>
      <c r="P204" s="106"/>
      <c r="Q204" s="106"/>
      <c r="R204" s="106"/>
      <c r="S204" s="107"/>
      <c r="T204" s="106"/>
      <c r="U204" s="106"/>
      <c r="V204" s="108"/>
      <c r="W204" s="108"/>
      <c r="X204" s="108"/>
      <c r="Y204" s="108"/>
      <c r="Z204" s="109"/>
      <c r="AA204" s="109"/>
      <c r="AB204" s="109"/>
      <c r="AC204" s="109"/>
      <c r="AD204" s="110"/>
      <c r="AE204" s="110"/>
      <c r="AF204" s="110"/>
      <c r="AG204" s="110"/>
      <c r="AH204" s="110"/>
      <c r="AI204" s="110"/>
      <c r="AJ204" s="110"/>
      <c r="AK204" s="110"/>
      <c r="AL204" s="110"/>
      <c r="AM204" s="110"/>
      <c r="AN204" s="110"/>
      <c r="AO204" s="110"/>
      <c r="AP204" s="110"/>
      <c r="AQ204" s="111"/>
      <c r="AR204" s="110"/>
      <c r="AS204" s="111"/>
      <c r="AT204" s="112"/>
      <c r="AU204" s="112"/>
      <c r="AV204" s="112"/>
      <c r="AW204" s="112"/>
      <c r="AX204" s="112"/>
      <c r="AY204" s="112"/>
      <c r="AZ204" s="112"/>
      <c r="BA204" s="112"/>
      <c r="BB204" s="112"/>
      <c r="BC204" s="112"/>
      <c r="BD204" s="113"/>
      <c r="BE204" s="114"/>
      <c r="BF204" s="115"/>
      <c r="BG204" s="115"/>
      <c r="BH204" s="116" t="str">
        <f t="shared" si="10"/>
        <v/>
      </c>
      <c r="BI204" s="116" t="str">
        <f t="shared" si="11"/>
        <v/>
      </c>
      <c r="BJ204" s="116" t="str">
        <f>IF(AND($A204&lt;&gt;"",$D204=반별조회!$C$5),COUNTIFS($A$3:$A204,"&lt;&gt;",$D$3:$D204,반별조회!$C$5),"")</f>
        <v/>
      </c>
    </row>
    <row r="205" spans="1:62" ht="15" customHeight="1">
      <c r="A205" s="102"/>
      <c r="B205" s="102"/>
      <c r="C205" s="102"/>
      <c r="D205" s="101"/>
      <c r="E205" s="105"/>
      <c r="F205" s="105" t="str">
        <f t="shared" ca="1" si="9"/>
        <v/>
      </c>
      <c r="G205" s="105"/>
      <c r="H205" s="105"/>
      <c r="I205" s="105"/>
      <c r="J205" s="105"/>
      <c r="K205" s="105"/>
      <c r="L205" s="105"/>
      <c r="M205" s="105"/>
      <c r="N205" s="105"/>
      <c r="O205" s="105"/>
      <c r="P205" s="106"/>
      <c r="Q205" s="106"/>
      <c r="R205" s="106"/>
      <c r="S205" s="107"/>
      <c r="T205" s="106"/>
      <c r="U205" s="106"/>
      <c r="V205" s="108"/>
      <c r="W205" s="108"/>
      <c r="X205" s="108"/>
      <c r="Y205" s="108"/>
      <c r="Z205" s="109"/>
      <c r="AA205" s="109"/>
      <c r="AB205" s="109"/>
      <c r="AC205" s="109"/>
      <c r="AD205" s="110"/>
      <c r="AE205" s="110"/>
      <c r="AF205" s="110"/>
      <c r="AG205" s="110"/>
      <c r="AH205" s="110"/>
      <c r="AI205" s="110"/>
      <c r="AJ205" s="110"/>
      <c r="AK205" s="110"/>
      <c r="AL205" s="110"/>
      <c r="AM205" s="110"/>
      <c r="AN205" s="110"/>
      <c r="AO205" s="110"/>
      <c r="AP205" s="110"/>
      <c r="AQ205" s="111"/>
      <c r="AR205" s="110"/>
      <c r="AS205" s="111"/>
      <c r="AT205" s="112"/>
      <c r="AU205" s="112"/>
      <c r="AV205" s="112"/>
      <c r="AW205" s="112"/>
      <c r="AX205" s="112"/>
      <c r="AY205" s="112"/>
      <c r="AZ205" s="112"/>
      <c r="BA205" s="112"/>
      <c r="BB205" s="112"/>
      <c r="BC205" s="112"/>
      <c r="BD205" s="113"/>
      <c r="BE205" s="114"/>
      <c r="BF205" s="115"/>
      <c r="BG205" s="115"/>
      <c r="BH205" s="116" t="str">
        <f t="shared" si="10"/>
        <v/>
      </c>
      <c r="BI205" s="116" t="str">
        <f t="shared" si="11"/>
        <v/>
      </c>
      <c r="BJ205" s="116" t="str">
        <f>IF(AND($A205&lt;&gt;"",$D205=반별조회!$C$5),COUNTIFS($A$3:$A205,"&lt;&gt;",$D$3:$D205,반별조회!$C$5),"")</f>
        <v/>
      </c>
    </row>
    <row r="206" spans="1:62" ht="15" customHeight="1">
      <c r="A206" s="102"/>
      <c r="B206" s="102"/>
      <c r="C206" s="102"/>
      <c r="D206" s="101"/>
      <c r="E206" s="105"/>
      <c r="F206" s="105" t="str">
        <f t="shared" ca="1" si="9"/>
        <v/>
      </c>
      <c r="G206" s="105"/>
      <c r="H206" s="105"/>
      <c r="I206" s="105"/>
      <c r="J206" s="105"/>
      <c r="K206" s="105"/>
      <c r="L206" s="105"/>
      <c r="M206" s="105"/>
      <c r="N206" s="105"/>
      <c r="O206" s="105"/>
      <c r="P206" s="106"/>
      <c r="Q206" s="106"/>
      <c r="R206" s="106"/>
      <c r="S206" s="107"/>
      <c r="T206" s="106"/>
      <c r="U206" s="106"/>
      <c r="V206" s="108"/>
      <c r="W206" s="108"/>
      <c r="X206" s="108"/>
      <c r="Y206" s="108"/>
      <c r="Z206" s="109"/>
      <c r="AA206" s="109"/>
      <c r="AB206" s="109"/>
      <c r="AC206" s="109"/>
      <c r="AD206" s="110"/>
      <c r="AE206" s="110"/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1"/>
      <c r="AR206" s="110"/>
      <c r="AS206" s="111"/>
      <c r="AT206" s="112"/>
      <c r="AU206" s="112"/>
      <c r="AV206" s="112"/>
      <c r="AW206" s="112"/>
      <c r="AX206" s="112"/>
      <c r="AY206" s="112"/>
      <c r="AZ206" s="112"/>
      <c r="BA206" s="112"/>
      <c r="BB206" s="112"/>
      <c r="BC206" s="112"/>
      <c r="BD206" s="113"/>
      <c r="BE206" s="114"/>
      <c r="BF206" s="115"/>
      <c r="BG206" s="115"/>
      <c r="BH206" s="116" t="str">
        <f t="shared" si="10"/>
        <v/>
      </c>
      <c r="BI206" s="116" t="str">
        <f t="shared" si="11"/>
        <v/>
      </c>
      <c r="BJ206" s="116" t="str">
        <f>IF(AND($A206&lt;&gt;"",$D206=반별조회!$C$5),COUNTIFS($A$3:$A206,"&lt;&gt;",$D$3:$D206,반별조회!$C$5),"")</f>
        <v/>
      </c>
    </row>
    <row r="207" spans="1:62" ht="15" customHeight="1">
      <c r="A207" s="102"/>
      <c r="B207" s="102"/>
      <c r="C207" s="102"/>
      <c r="D207" s="101"/>
      <c r="E207" s="105"/>
      <c r="F207" s="105" t="str">
        <f t="shared" ca="1" si="9"/>
        <v/>
      </c>
      <c r="G207" s="105"/>
      <c r="H207" s="105"/>
      <c r="I207" s="105"/>
      <c r="J207" s="105"/>
      <c r="K207" s="105"/>
      <c r="L207" s="105"/>
      <c r="M207" s="105"/>
      <c r="N207" s="105"/>
      <c r="O207" s="105"/>
      <c r="P207" s="106"/>
      <c r="Q207" s="106"/>
      <c r="R207" s="106"/>
      <c r="S207" s="107"/>
      <c r="T207" s="106"/>
      <c r="U207" s="106"/>
      <c r="V207" s="108"/>
      <c r="W207" s="108"/>
      <c r="X207" s="108"/>
      <c r="Y207" s="108"/>
      <c r="Z207" s="109"/>
      <c r="AA207" s="109"/>
      <c r="AB207" s="109"/>
      <c r="AC207" s="109"/>
      <c r="AD207" s="110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1"/>
      <c r="AR207" s="110"/>
      <c r="AS207" s="111"/>
      <c r="AT207" s="112"/>
      <c r="AU207" s="112"/>
      <c r="AV207" s="112"/>
      <c r="AW207" s="112"/>
      <c r="AX207" s="112"/>
      <c r="AY207" s="112"/>
      <c r="AZ207" s="112"/>
      <c r="BA207" s="112"/>
      <c r="BB207" s="112"/>
      <c r="BC207" s="112"/>
      <c r="BD207" s="113"/>
      <c r="BE207" s="114"/>
      <c r="BF207" s="115"/>
      <c r="BG207" s="115"/>
      <c r="BH207" s="116" t="str">
        <f t="shared" si="10"/>
        <v/>
      </c>
      <c r="BI207" s="116" t="str">
        <f t="shared" si="11"/>
        <v/>
      </c>
      <c r="BJ207" s="116" t="str">
        <f>IF(AND($A207&lt;&gt;"",$D207=반별조회!$C$5),COUNTIFS($A$3:$A207,"&lt;&gt;",$D$3:$D207,반별조회!$C$5),"")</f>
        <v/>
      </c>
    </row>
    <row r="208" spans="1:62" ht="15" customHeight="1">
      <c r="A208" s="102"/>
      <c r="B208" s="102"/>
      <c r="C208" s="102"/>
      <c r="D208" s="101"/>
      <c r="E208" s="105"/>
      <c r="F208" s="105" t="str">
        <f t="shared" ca="1" si="9"/>
        <v/>
      </c>
      <c r="G208" s="105"/>
      <c r="H208" s="105"/>
      <c r="I208" s="105"/>
      <c r="J208" s="105"/>
      <c r="K208" s="105"/>
      <c r="L208" s="105"/>
      <c r="M208" s="105"/>
      <c r="N208" s="105"/>
      <c r="O208" s="105"/>
      <c r="P208" s="106"/>
      <c r="Q208" s="106"/>
      <c r="R208" s="106"/>
      <c r="S208" s="107"/>
      <c r="T208" s="106"/>
      <c r="U208" s="106"/>
      <c r="V208" s="108"/>
      <c r="W208" s="108"/>
      <c r="X208" s="108"/>
      <c r="Y208" s="108"/>
      <c r="Z208" s="109"/>
      <c r="AA208" s="109"/>
      <c r="AB208" s="109"/>
      <c r="AC208" s="109"/>
      <c r="AD208" s="110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1"/>
      <c r="AR208" s="110"/>
      <c r="AS208" s="111"/>
      <c r="AT208" s="112"/>
      <c r="AU208" s="112"/>
      <c r="AV208" s="112"/>
      <c r="AW208" s="112"/>
      <c r="AX208" s="112"/>
      <c r="AY208" s="112"/>
      <c r="AZ208" s="112"/>
      <c r="BA208" s="112"/>
      <c r="BB208" s="112"/>
      <c r="BC208" s="112"/>
      <c r="BD208" s="113"/>
      <c r="BE208" s="114"/>
      <c r="BF208" s="115"/>
      <c r="BG208" s="115"/>
      <c r="BH208" s="116" t="str">
        <f t="shared" si="10"/>
        <v/>
      </c>
      <c r="BI208" s="116" t="str">
        <f t="shared" si="11"/>
        <v/>
      </c>
      <c r="BJ208" s="116" t="str">
        <f>IF(AND($A208&lt;&gt;"",$D208=반별조회!$C$5),COUNTIFS($A$3:$A208,"&lt;&gt;",$D$3:$D208,반별조회!$C$5),"")</f>
        <v/>
      </c>
    </row>
    <row r="209" spans="1:62" ht="15" customHeight="1">
      <c r="A209" s="102"/>
      <c r="B209" s="102"/>
      <c r="C209" s="102"/>
      <c r="D209" s="101"/>
      <c r="E209" s="105"/>
      <c r="F209" s="105" t="str">
        <f t="shared" ca="1" si="9"/>
        <v/>
      </c>
      <c r="G209" s="105"/>
      <c r="H209" s="105"/>
      <c r="I209" s="105"/>
      <c r="J209" s="105"/>
      <c r="K209" s="105"/>
      <c r="L209" s="105"/>
      <c r="M209" s="105"/>
      <c r="N209" s="105"/>
      <c r="O209" s="105"/>
      <c r="P209" s="106"/>
      <c r="Q209" s="106"/>
      <c r="R209" s="106"/>
      <c r="S209" s="107"/>
      <c r="T209" s="106"/>
      <c r="U209" s="106"/>
      <c r="V209" s="108"/>
      <c r="W209" s="108"/>
      <c r="X209" s="108"/>
      <c r="Y209" s="108"/>
      <c r="Z209" s="109"/>
      <c r="AA209" s="109"/>
      <c r="AB209" s="109"/>
      <c r="AC209" s="109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1"/>
      <c r="AR209" s="110"/>
      <c r="AS209" s="111"/>
      <c r="AT209" s="112"/>
      <c r="AU209" s="112"/>
      <c r="AV209" s="112"/>
      <c r="AW209" s="112"/>
      <c r="AX209" s="112"/>
      <c r="AY209" s="112"/>
      <c r="AZ209" s="112"/>
      <c r="BA209" s="112"/>
      <c r="BB209" s="112"/>
      <c r="BC209" s="112"/>
      <c r="BD209" s="113"/>
      <c r="BE209" s="114"/>
      <c r="BF209" s="115"/>
      <c r="BG209" s="115"/>
      <c r="BH209" s="116" t="str">
        <f t="shared" si="10"/>
        <v/>
      </c>
      <c r="BI209" s="116" t="str">
        <f t="shared" si="11"/>
        <v/>
      </c>
      <c r="BJ209" s="116" t="str">
        <f>IF(AND($A209&lt;&gt;"",$D209=반별조회!$C$5),COUNTIFS($A$3:$A209,"&lt;&gt;",$D$3:$D209,반별조회!$C$5),"")</f>
        <v/>
      </c>
    </row>
    <row r="210" spans="1:62" ht="15" customHeight="1">
      <c r="A210" s="102"/>
      <c r="B210" s="102"/>
      <c r="C210" s="102"/>
      <c r="D210" s="101"/>
      <c r="E210" s="105"/>
      <c r="F210" s="105" t="str">
        <f t="shared" ca="1" si="9"/>
        <v/>
      </c>
      <c r="G210" s="105"/>
      <c r="H210" s="105"/>
      <c r="I210" s="105"/>
      <c r="J210" s="105"/>
      <c r="K210" s="105"/>
      <c r="L210" s="105"/>
      <c r="M210" s="105"/>
      <c r="N210" s="105"/>
      <c r="O210" s="105"/>
      <c r="P210" s="106"/>
      <c r="Q210" s="106"/>
      <c r="R210" s="106"/>
      <c r="S210" s="107"/>
      <c r="T210" s="106"/>
      <c r="U210" s="106"/>
      <c r="V210" s="108"/>
      <c r="W210" s="108"/>
      <c r="X210" s="108"/>
      <c r="Y210" s="108"/>
      <c r="Z210" s="109"/>
      <c r="AA210" s="109"/>
      <c r="AB210" s="109"/>
      <c r="AC210" s="109"/>
      <c r="AD210" s="110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1"/>
      <c r="AR210" s="110"/>
      <c r="AS210" s="111"/>
      <c r="AT210" s="112"/>
      <c r="AU210" s="112"/>
      <c r="AV210" s="112"/>
      <c r="AW210" s="112"/>
      <c r="AX210" s="112"/>
      <c r="AY210" s="112"/>
      <c r="AZ210" s="112"/>
      <c r="BA210" s="112"/>
      <c r="BB210" s="112"/>
      <c r="BC210" s="112"/>
      <c r="BD210" s="113"/>
      <c r="BE210" s="114"/>
      <c r="BF210" s="115"/>
      <c r="BG210" s="115"/>
      <c r="BH210" s="116" t="str">
        <f t="shared" si="10"/>
        <v/>
      </c>
      <c r="BI210" s="116" t="str">
        <f t="shared" si="11"/>
        <v/>
      </c>
      <c r="BJ210" s="116" t="str">
        <f>IF(AND($A210&lt;&gt;"",$D210=반별조회!$C$5),COUNTIFS($A$3:$A210,"&lt;&gt;",$D$3:$D210,반별조회!$C$5),"")</f>
        <v/>
      </c>
    </row>
    <row r="211" spans="1:62" ht="15" customHeight="1">
      <c r="A211" s="102"/>
      <c r="B211" s="102"/>
      <c r="C211" s="102"/>
      <c r="D211" s="101"/>
      <c r="E211" s="105"/>
      <c r="F211" s="105" t="str">
        <f t="shared" ca="1" si="9"/>
        <v/>
      </c>
      <c r="G211" s="105"/>
      <c r="H211" s="105"/>
      <c r="I211" s="105"/>
      <c r="J211" s="105"/>
      <c r="K211" s="105"/>
      <c r="L211" s="105"/>
      <c r="M211" s="105"/>
      <c r="N211" s="105"/>
      <c r="O211" s="105"/>
      <c r="P211" s="106"/>
      <c r="Q211" s="106"/>
      <c r="R211" s="106"/>
      <c r="S211" s="107"/>
      <c r="T211" s="106"/>
      <c r="U211" s="106"/>
      <c r="V211" s="108"/>
      <c r="W211" s="108"/>
      <c r="X211" s="108"/>
      <c r="Y211" s="108"/>
      <c r="Z211" s="109"/>
      <c r="AA211" s="109"/>
      <c r="AB211" s="109"/>
      <c r="AC211" s="109"/>
      <c r="AD211" s="110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1"/>
      <c r="AR211" s="110"/>
      <c r="AS211" s="111"/>
      <c r="AT211" s="112"/>
      <c r="AU211" s="112"/>
      <c r="AV211" s="112"/>
      <c r="AW211" s="112"/>
      <c r="AX211" s="112"/>
      <c r="AY211" s="112"/>
      <c r="AZ211" s="112"/>
      <c r="BA211" s="112"/>
      <c r="BB211" s="112"/>
      <c r="BC211" s="112"/>
      <c r="BD211" s="113"/>
      <c r="BE211" s="114"/>
      <c r="BF211" s="115"/>
      <c r="BG211" s="115"/>
      <c r="BH211" s="116" t="str">
        <f t="shared" si="10"/>
        <v/>
      </c>
      <c r="BI211" s="116" t="str">
        <f t="shared" si="11"/>
        <v/>
      </c>
      <c r="BJ211" s="116" t="str">
        <f>IF(AND($A211&lt;&gt;"",$D211=반별조회!$C$5),COUNTIFS($A$3:$A211,"&lt;&gt;",$D$3:$D211,반별조회!$C$5),"")</f>
        <v/>
      </c>
    </row>
    <row r="212" spans="1:62" ht="15" customHeight="1">
      <c r="A212" s="102"/>
      <c r="B212" s="102"/>
      <c r="C212" s="102"/>
      <c r="D212" s="101"/>
      <c r="E212" s="105"/>
      <c r="F212" s="105" t="str">
        <f t="shared" ca="1" si="9"/>
        <v/>
      </c>
      <c r="G212" s="105"/>
      <c r="H212" s="105"/>
      <c r="I212" s="105"/>
      <c r="J212" s="105"/>
      <c r="K212" s="105"/>
      <c r="L212" s="105"/>
      <c r="M212" s="105"/>
      <c r="N212" s="105"/>
      <c r="O212" s="105"/>
      <c r="P212" s="106"/>
      <c r="Q212" s="106"/>
      <c r="R212" s="106"/>
      <c r="S212" s="107"/>
      <c r="T212" s="106"/>
      <c r="U212" s="106"/>
      <c r="V212" s="108"/>
      <c r="W212" s="108"/>
      <c r="X212" s="108"/>
      <c r="Y212" s="108"/>
      <c r="Z212" s="109"/>
      <c r="AA212" s="109"/>
      <c r="AB212" s="109"/>
      <c r="AC212" s="109"/>
      <c r="AD212" s="110"/>
      <c r="AE212" s="110"/>
      <c r="AF212" s="110"/>
      <c r="AG212" s="110"/>
      <c r="AH212" s="110"/>
      <c r="AI212" s="110"/>
      <c r="AJ212" s="110"/>
      <c r="AK212" s="110"/>
      <c r="AL212" s="110"/>
      <c r="AM212" s="110"/>
      <c r="AN212" s="110"/>
      <c r="AO212" s="110"/>
      <c r="AP212" s="110"/>
      <c r="AQ212" s="111"/>
      <c r="AR212" s="110"/>
      <c r="AS212" s="111"/>
      <c r="AT212" s="112"/>
      <c r="AU212" s="112"/>
      <c r="AV212" s="112"/>
      <c r="AW212" s="112"/>
      <c r="AX212" s="112"/>
      <c r="AY212" s="112"/>
      <c r="AZ212" s="112"/>
      <c r="BA212" s="112"/>
      <c r="BB212" s="112"/>
      <c r="BC212" s="112"/>
      <c r="BD212" s="113"/>
      <c r="BE212" s="114"/>
      <c r="BF212" s="115"/>
      <c r="BG212" s="115"/>
      <c r="BH212" s="116" t="str">
        <f t="shared" si="10"/>
        <v/>
      </c>
      <c r="BI212" s="116" t="str">
        <f t="shared" si="11"/>
        <v/>
      </c>
      <c r="BJ212" s="116" t="str">
        <f>IF(AND($A212&lt;&gt;"",$D212=반별조회!$C$5),COUNTIFS($A$3:$A212,"&lt;&gt;",$D$3:$D212,반별조회!$C$5),"")</f>
        <v/>
      </c>
    </row>
    <row r="213" spans="1:62" ht="15" customHeight="1">
      <c r="A213" s="102"/>
      <c r="B213" s="102"/>
      <c r="C213" s="102"/>
      <c r="D213" s="101"/>
      <c r="E213" s="105"/>
      <c r="F213" s="105" t="str">
        <f t="shared" ca="1" si="9"/>
        <v/>
      </c>
      <c r="G213" s="105"/>
      <c r="H213" s="105"/>
      <c r="I213" s="105"/>
      <c r="J213" s="105"/>
      <c r="K213" s="105"/>
      <c r="L213" s="105"/>
      <c r="M213" s="105"/>
      <c r="N213" s="105"/>
      <c r="O213" s="105"/>
      <c r="P213" s="106"/>
      <c r="Q213" s="106"/>
      <c r="R213" s="106"/>
      <c r="S213" s="107"/>
      <c r="T213" s="106"/>
      <c r="U213" s="106"/>
      <c r="V213" s="108"/>
      <c r="W213" s="108"/>
      <c r="X213" s="108"/>
      <c r="Y213" s="108"/>
      <c r="Z213" s="109"/>
      <c r="AA213" s="109"/>
      <c r="AB213" s="109"/>
      <c r="AC213" s="109"/>
      <c r="AD213" s="110"/>
      <c r="AE213" s="110"/>
      <c r="AF213" s="110"/>
      <c r="AG213" s="110"/>
      <c r="AH213" s="110"/>
      <c r="AI213" s="110"/>
      <c r="AJ213" s="110"/>
      <c r="AK213" s="110"/>
      <c r="AL213" s="110"/>
      <c r="AM213" s="110"/>
      <c r="AN213" s="110"/>
      <c r="AO213" s="110"/>
      <c r="AP213" s="110"/>
      <c r="AQ213" s="111"/>
      <c r="AR213" s="110"/>
      <c r="AS213" s="111"/>
      <c r="AT213" s="112"/>
      <c r="AU213" s="112"/>
      <c r="AV213" s="112"/>
      <c r="AW213" s="112"/>
      <c r="AX213" s="112"/>
      <c r="AY213" s="112"/>
      <c r="AZ213" s="112"/>
      <c r="BA213" s="112"/>
      <c r="BB213" s="112"/>
      <c r="BC213" s="112"/>
      <c r="BD213" s="113"/>
      <c r="BE213" s="114"/>
      <c r="BF213" s="115"/>
      <c r="BG213" s="115"/>
      <c r="BH213" s="116" t="str">
        <f t="shared" si="10"/>
        <v/>
      </c>
      <c r="BI213" s="116" t="str">
        <f t="shared" si="11"/>
        <v/>
      </c>
      <c r="BJ213" s="116" t="str">
        <f>IF(AND($A213&lt;&gt;"",$D213=반별조회!$C$5),COUNTIFS($A$3:$A213,"&lt;&gt;",$D$3:$D213,반별조회!$C$5),"")</f>
        <v/>
      </c>
    </row>
    <row r="214" spans="1:62" ht="15" customHeight="1">
      <c r="A214" s="102"/>
      <c r="B214" s="102"/>
      <c r="C214" s="102"/>
      <c r="D214" s="101"/>
      <c r="E214" s="105"/>
      <c r="F214" s="105" t="str">
        <f t="shared" ca="1" si="9"/>
        <v/>
      </c>
      <c r="G214" s="105"/>
      <c r="H214" s="105"/>
      <c r="I214" s="105"/>
      <c r="J214" s="105"/>
      <c r="K214" s="105"/>
      <c r="L214" s="105"/>
      <c r="M214" s="105"/>
      <c r="N214" s="105"/>
      <c r="O214" s="105"/>
      <c r="P214" s="106"/>
      <c r="Q214" s="106"/>
      <c r="R214" s="106"/>
      <c r="S214" s="107"/>
      <c r="T214" s="106"/>
      <c r="U214" s="106"/>
      <c r="V214" s="108"/>
      <c r="W214" s="108"/>
      <c r="X214" s="108"/>
      <c r="Y214" s="108"/>
      <c r="Z214" s="109"/>
      <c r="AA214" s="109"/>
      <c r="AB214" s="109"/>
      <c r="AC214" s="109"/>
      <c r="AD214" s="110"/>
      <c r="AE214" s="110"/>
      <c r="AF214" s="110"/>
      <c r="AG214" s="110"/>
      <c r="AH214" s="110"/>
      <c r="AI214" s="110"/>
      <c r="AJ214" s="110"/>
      <c r="AK214" s="110"/>
      <c r="AL214" s="110"/>
      <c r="AM214" s="110"/>
      <c r="AN214" s="110"/>
      <c r="AO214" s="110"/>
      <c r="AP214" s="110"/>
      <c r="AQ214" s="111"/>
      <c r="AR214" s="110"/>
      <c r="AS214" s="111"/>
      <c r="AT214" s="112"/>
      <c r="AU214" s="112"/>
      <c r="AV214" s="112"/>
      <c r="AW214" s="112"/>
      <c r="AX214" s="112"/>
      <c r="AY214" s="112"/>
      <c r="AZ214" s="112"/>
      <c r="BA214" s="112"/>
      <c r="BB214" s="112"/>
      <c r="BC214" s="112"/>
      <c r="BD214" s="113"/>
      <c r="BE214" s="114"/>
      <c r="BF214" s="115"/>
      <c r="BG214" s="115"/>
      <c r="BH214" s="116" t="str">
        <f t="shared" si="10"/>
        <v/>
      </c>
      <c r="BI214" s="116" t="str">
        <f t="shared" si="11"/>
        <v/>
      </c>
      <c r="BJ214" s="116" t="str">
        <f>IF(AND($A214&lt;&gt;"",$D214=반별조회!$C$5),COUNTIFS($A$3:$A214,"&lt;&gt;",$D$3:$D214,반별조회!$C$5),"")</f>
        <v/>
      </c>
    </row>
    <row r="215" spans="1:62" ht="15" customHeight="1">
      <c r="A215" s="102"/>
      <c r="B215" s="102"/>
      <c r="C215" s="102"/>
      <c r="D215" s="101"/>
      <c r="E215" s="105"/>
      <c r="F215" s="105" t="str">
        <f t="shared" ca="1" si="9"/>
        <v/>
      </c>
      <c r="G215" s="105"/>
      <c r="H215" s="105"/>
      <c r="I215" s="105"/>
      <c r="J215" s="105"/>
      <c r="K215" s="105"/>
      <c r="L215" s="105"/>
      <c r="M215" s="105"/>
      <c r="N215" s="105"/>
      <c r="O215" s="105"/>
      <c r="P215" s="106"/>
      <c r="Q215" s="106"/>
      <c r="R215" s="106"/>
      <c r="S215" s="107"/>
      <c r="T215" s="106"/>
      <c r="U215" s="106"/>
      <c r="V215" s="108"/>
      <c r="W215" s="108"/>
      <c r="X215" s="108"/>
      <c r="Y215" s="108"/>
      <c r="Z215" s="109"/>
      <c r="AA215" s="109"/>
      <c r="AB215" s="109"/>
      <c r="AC215" s="109"/>
      <c r="AD215" s="110"/>
      <c r="AE215" s="110"/>
      <c r="AF215" s="110"/>
      <c r="AG215" s="110"/>
      <c r="AH215" s="110"/>
      <c r="AI215" s="110"/>
      <c r="AJ215" s="110"/>
      <c r="AK215" s="110"/>
      <c r="AL215" s="110"/>
      <c r="AM215" s="110"/>
      <c r="AN215" s="110"/>
      <c r="AO215" s="110"/>
      <c r="AP215" s="110"/>
      <c r="AQ215" s="111"/>
      <c r="AR215" s="110"/>
      <c r="AS215" s="111"/>
      <c r="AT215" s="112"/>
      <c r="AU215" s="112"/>
      <c r="AV215" s="112"/>
      <c r="AW215" s="112"/>
      <c r="AX215" s="112"/>
      <c r="AY215" s="112"/>
      <c r="AZ215" s="112"/>
      <c r="BA215" s="112"/>
      <c r="BB215" s="112"/>
      <c r="BC215" s="112"/>
      <c r="BD215" s="113"/>
      <c r="BE215" s="114"/>
      <c r="BF215" s="115"/>
      <c r="BG215" s="115"/>
      <c r="BH215" s="116" t="str">
        <f t="shared" si="10"/>
        <v/>
      </c>
      <c r="BI215" s="116" t="str">
        <f t="shared" si="11"/>
        <v/>
      </c>
      <c r="BJ215" s="116" t="str">
        <f>IF(AND($A215&lt;&gt;"",$D215=반별조회!$C$5),COUNTIFS($A$3:$A215,"&lt;&gt;",$D$3:$D215,반별조회!$C$5),"")</f>
        <v/>
      </c>
    </row>
    <row r="216" spans="1:62" ht="15" customHeight="1">
      <c r="A216" s="102"/>
      <c r="B216" s="102"/>
      <c r="C216" s="102"/>
      <c r="D216" s="101"/>
      <c r="E216" s="105"/>
      <c r="F216" s="105" t="str">
        <f t="shared" ca="1" si="9"/>
        <v/>
      </c>
      <c r="G216" s="105"/>
      <c r="H216" s="105"/>
      <c r="I216" s="105"/>
      <c r="J216" s="105"/>
      <c r="K216" s="105"/>
      <c r="L216" s="105"/>
      <c r="M216" s="105"/>
      <c r="N216" s="105"/>
      <c r="O216" s="105"/>
      <c r="P216" s="106"/>
      <c r="Q216" s="106"/>
      <c r="R216" s="106"/>
      <c r="S216" s="107"/>
      <c r="T216" s="106"/>
      <c r="U216" s="106"/>
      <c r="V216" s="108"/>
      <c r="W216" s="108"/>
      <c r="X216" s="108"/>
      <c r="Y216" s="108"/>
      <c r="Z216" s="109"/>
      <c r="AA216" s="109"/>
      <c r="AB216" s="109"/>
      <c r="AC216" s="109"/>
      <c r="AD216" s="110"/>
      <c r="AE216" s="110"/>
      <c r="AF216" s="110"/>
      <c r="AG216" s="110"/>
      <c r="AH216" s="110"/>
      <c r="AI216" s="110"/>
      <c r="AJ216" s="110"/>
      <c r="AK216" s="110"/>
      <c r="AL216" s="110"/>
      <c r="AM216" s="110"/>
      <c r="AN216" s="110"/>
      <c r="AO216" s="110"/>
      <c r="AP216" s="110"/>
      <c r="AQ216" s="111"/>
      <c r="AR216" s="110"/>
      <c r="AS216" s="111"/>
      <c r="AT216" s="112"/>
      <c r="AU216" s="112"/>
      <c r="AV216" s="112"/>
      <c r="AW216" s="112"/>
      <c r="AX216" s="112"/>
      <c r="AY216" s="112"/>
      <c r="AZ216" s="112"/>
      <c r="BA216" s="112"/>
      <c r="BB216" s="112"/>
      <c r="BC216" s="112"/>
      <c r="BD216" s="113"/>
      <c r="BE216" s="114"/>
      <c r="BF216" s="115"/>
      <c r="BG216" s="115"/>
      <c r="BH216" s="116" t="str">
        <f t="shared" si="10"/>
        <v/>
      </c>
      <c r="BI216" s="116" t="str">
        <f t="shared" si="11"/>
        <v/>
      </c>
      <c r="BJ216" s="116" t="str">
        <f>IF(AND($A216&lt;&gt;"",$D216=반별조회!$C$5),COUNTIFS($A$3:$A216,"&lt;&gt;",$D$3:$D216,반별조회!$C$5),"")</f>
        <v/>
      </c>
    </row>
    <row r="217" spans="1:62" ht="15" customHeight="1">
      <c r="A217" s="102"/>
      <c r="B217" s="102"/>
      <c r="C217" s="102"/>
      <c r="D217" s="101"/>
      <c r="E217" s="105"/>
      <c r="F217" s="105" t="str">
        <f t="shared" ca="1" si="9"/>
        <v/>
      </c>
      <c r="G217" s="105"/>
      <c r="H217" s="105"/>
      <c r="I217" s="105"/>
      <c r="J217" s="105"/>
      <c r="K217" s="105"/>
      <c r="L217" s="105"/>
      <c r="M217" s="105"/>
      <c r="N217" s="105"/>
      <c r="O217" s="105"/>
      <c r="P217" s="106"/>
      <c r="Q217" s="106"/>
      <c r="R217" s="106"/>
      <c r="S217" s="107"/>
      <c r="T217" s="106"/>
      <c r="U217" s="106"/>
      <c r="V217" s="108"/>
      <c r="W217" s="108"/>
      <c r="X217" s="108"/>
      <c r="Y217" s="108"/>
      <c r="Z217" s="109"/>
      <c r="AA217" s="109"/>
      <c r="AB217" s="109"/>
      <c r="AC217" s="109"/>
      <c r="AD217" s="110"/>
      <c r="AE217" s="110"/>
      <c r="AF217" s="110"/>
      <c r="AG217" s="110"/>
      <c r="AH217" s="110"/>
      <c r="AI217" s="110"/>
      <c r="AJ217" s="110"/>
      <c r="AK217" s="110"/>
      <c r="AL217" s="110"/>
      <c r="AM217" s="110"/>
      <c r="AN217" s="110"/>
      <c r="AO217" s="110"/>
      <c r="AP217" s="110"/>
      <c r="AQ217" s="111"/>
      <c r="AR217" s="110"/>
      <c r="AS217" s="111"/>
      <c r="AT217" s="112"/>
      <c r="AU217" s="112"/>
      <c r="AV217" s="112"/>
      <c r="AW217" s="112"/>
      <c r="AX217" s="112"/>
      <c r="AY217" s="112"/>
      <c r="AZ217" s="112"/>
      <c r="BA217" s="112"/>
      <c r="BB217" s="112"/>
      <c r="BC217" s="112"/>
      <c r="BD217" s="113"/>
      <c r="BE217" s="114"/>
      <c r="BF217" s="115"/>
      <c r="BG217" s="115"/>
      <c r="BH217" s="116" t="str">
        <f t="shared" si="10"/>
        <v/>
      </c>
      <c r="BI217" s="116" t="str">
        <f t="shared" si="11"/>
        <v/>
      </c>
      <c r="BJ217" s="116" t="str">
        <f>IF(AND($A217&lt;&gt;"",$D217=반별조회!$C$5),COUNTIFS($A$3:$A217,"&lt;&gt;",$D$3:$D217,반별조회!$C$5),"")</f>
        <v/>
      </c>
    </row>
    <row r="218" spans="1:62" ht="15" customHeight="1">
      <c r="A218" s="102"/>
      <c r="B218" s="102"/>
      <c r="C218" s="102"/>
      <c r="D218" s="101"/>
      <c r="E218" s="105"/>
      <c r="F218" s="105" t="str">
        <f t="shared" ca="1" si="9"/>
        <v/>
      </c>
      <c r="G218" s="105"/>
      <c r="H218" s="105"/>
      <c r="I218" s="105"/>
      <c r="J218" s="105"/>
      <c r="K218" s="105"/>
      <c r="L218" s="105"/>
      <c r="M218" s="105"/>
      <c r="N218" s="105"/>
      <c r="O218" s="105"/>
      <c r="P218" s="106"/>
      <c r="Q218" s="106"/>
      <c r="R218" s="106"/>
      <c r="S218" s="107"/>
      <c r="T218" s="106"/>
      <c r="U218" s="106"/>
      <c r="V218" s="108"/>
      <c r="W218" s="108"/>
      <c r="X218" s="108"/>
      <c r="Y218" s="108"/>
      <c r="Z218" s="109"/>
      <c r="AA218" s="109"/>
      <c r="AB218" s="109"/>
      <c r="AC218" s="109"/>
      <c r="AD218" s="110"/>
      <c r="AE218" s="110"/>
      <c r="AF218" s="110"/>
      <c r="AG218" s="110"/>
      <c r="AH218" s="110"/>
      <c r="AI218" s="110"/>
      <c r="AJ218" s="110"/>
      <c r="AK218" s="110"/>
      <c r="AL218" s="110"/>
      <c r="AM218" s="110"/>
      <c r="AN218" s="110"/>
      <c r="AO218" s="110"/>
      <c r="AP218" s="110"/>
      <c r="AQ218" s="111"/>
      <c r="AR218" s="110"/>
      <c r="AS218" s="111"/>
      <c r="AT218" s="112"/>
      <c r="AU218" s="112"/>
      <c r="AV218" s="112"/>
      <c r="AW218" s="112"/>
      <c r="AX218" s="112"/>
      <c r="AY218" s="112"/>
      <c r="AZ218" s="112"/>
      <c r="BA218" s="112"/>
      <c r="BB218" s="112"/>
      <c r="BC218" s="112"/>
      <c r="BD218" s="113"/>
      <c r="BE218" s="114"/>
      <c r="BF218" s="115"/>
      <c r="BG218" s="115"/>
      <c r="BH218" s="116" t="str">
        <f t="shared" si="10"/>
        <v/>
      </c>
      <c r="BI218" s="116" t="str">
        <f t="shared" si="11"/>
        <v/>
      </c>
      <c r="BJ218" s="116" t="str">
        <f>IF(AND($A218&lt;&gt;"",$D218=반별조회!$C$5),COUNTIFS($A$3:$A218,"&lt;&gt;",$D$3:$D218,반별조회!$C$5),"")</f>
        <v/>
      </c>
    </row>
    <row r="219" spans="1:62" ht="15" customHeight="1">
      <c r="A219" s="102"/>
      <c r="B219" s="102"/>
      <c r="C219" s="102"/>
      <c r="D219" s="101"/>
      <c r="E219" s="105"/>
      <c r="F219" s="105" t="str">
        <f t="shared" ca="1" si="9"/>
        <v/>
      </c>
      <c r="G219" s="105"/>
      <c r="H219" s="105"/>
      <c r="I219" s="105"/>
      <c r="J219" s="105"/>
      <c r="K219" s="105"/>
      <c r="L219" s="105"/>
      <c r="M219" s="105"/>
      <c r="N219" s="105"/>
      <c r="O219" s="105"/>
      <c r="P219" s="106"/>
      <c r="Q219" s="106"/>
      <c r="R219" s="106"/>
      <c r="S219" s="107"/>
      <c r="T219" s="106"/>
      <c r="U219" s="106"/>
      <c r="V219" s="108"/>
      <c r="W219" s="108"/>
      <c r="X219" s="108"/>
      <c r="Y219" s="108"/>
      <c r="Z219" s="109"/>
      <c r="AA219" s="109"/>
      <c r="AB219" s="109"/>
      <c r="AC219" s="109"/>
      <c r="AD219" s="110"/>
      <c r="AE219" s="110"/>
      <c r="AF219" s="110"/>
      <c r="AG219" s="110"/>
      <c r="AH219" s="110"/>
      <c r="AI219" s="110"/>
      <c r="AJ219" s="110"/>
      <c r="AK219" s="110"/>
      <c r="AL219" s="110"/>
      <c r="AM219" s="110"/>
      <c r="AN219" s="110"/>
      <c r="AO219" s="110"/>
      <c r="AP219" s="110"/>
      <c r="AQ219" s="111"/>
      <c r="AR219" s="110"/>
      <c r="AS219" s="111"/>
      <c r="AT219" s="112"/>
      <c r="AU219" s="112"/>
      <c r="AV219" s="112"/>
      <c r="AW219" s="112"/>
      <c r="AX219" s="112"/>
      <c r="AY219" s="112"/>
      <c r="AZ219" s="112"/>
      <c r="BA219" s="112"/>
      <c r="BB219" s="112"/>
      <c r="BC219" s="112"/>
      <c r="BD219" s="113"/>
      <c r="BE219" s="114"/>
      <c r="BF219" s="115"/>
      <c r="BG219" s="115"/>
      <c r="BH219" s="116" t="str">
        <f t="shared" si="10"/>
        <v/>
      </c>
      <c r="BI219" s="116" t="str">
        <f t="shared" si="11"/>
        <v/>
      </c>
      <c r="BJ219" s="116" t="str">
        <f>IF(AND($A219&lt;&gt;"",$D219=반별조회!$C$5),COUNTIFS($A$3:$A219,"&lt;&gt;",$D$3:$D219,반별조회!$C$5),"")</f>
        <v/>
      </c>
    </row>
    <row r="220" spans="1:62" ht="15" customHeight="1">
      <c r="A220" s="102"/>
      <c r="B220" s="102"/>
      <c r="C220" s="102"/>
      <c r="D220" s="101"/>
      <c r="E220" s="105"/>
      <c r="F220" s="105" t="str">
        <f t="shared" ca="1" si="9"/>
        <v/>
      </c>
      <c r="G220" s="105"/>
      <c r="H220" s="105"/>
      <c r="I220" s="105"/>
      <c r="J220" s="105"/>
      <c r="K220" s="105"/>
      <c r="L220" s="105"/>
      <c r="M220" s="105"/>
      <c r="N220" s="105"/>
      <c r="O220" s="105"/>
      <c r="P220" s="106"/>
      <c r="Q220" s="106"/>
      <c r="R220" s="106"/>
      <c r="S220" s="107"/>
      <c r="T220" s="106"/>
      <c r="U220" s="106"/>
      <c r="V220" s="108"/>
      <c r="W220" s="108"/>
      <c r="X220" s="108"/>
      <c r="Y220" s="108"/>
      <c r="Z220" s="109"/>
      <c r="AA220" s="109"/>
      <c r="AB220" s="109"/>
      <c r="AC220" s="109"/>
      <c r="AD220" s="110"/>
      <c r="AE220" s="110"/>
      <c r="AF220" s="110"/>
      <c r="AG220" s="110"/>
      <c r="AH220" s="110"/>
      <c r="AI220" s="110"/>
      <c r="AJ220" s="110"/>
      <c r="AK220" s="110"/>
      <c r="AL220" s="110"/>
      <c r="AM220" s="110"/>
      <c r="AN220" s="110"/>
      <c r="AO220" s="110"/>
      <c r="AP220" s="110"/>
      <c r="AQ220" s="111"/>
      <c r="AR220" s="110"/>
      <c r="AS220" s="111"/>
      <c r="AT220" s="112"/>
      <c r="AU220" s="112"/>
      <c r="AV220" s="112"/>
      <c r="AW220" s="112"/>
      <c r="AX220" s="112"/>
      <c r="AY220" s="112"/>
      <c r="AZ220" s="112"/>
      <c r="BA220" s="112"/>
      <c r="BB220" s="112"/>
      <c r="BC220" s="112"/>
      <c r="BD220" s="113"/>
      <c r="BE220" s="114"/>
      <c r="BF220" s="115"/>
      <c r="BG220" s="115"/>
      <c r="BH220" s="116" t="str">
        <f t="shared" si="10"/>
        <v/>
      </c>
      <c r="BI220" s="116" t="str">
        <f t="shared" si="11"/>
        <v/>
      </c>
      <c r="BJ220" s="116" t="str">
        <f>IF(AND($A220&lt;&gt;"",$D220=반별조회!$C$5),COUNTIFS($A$3:$A220,"&lt;&gt;",$D$3:$D220,반별조회!$C$5),"")</f>
        <v/>
      </c>
    </row>
    <row r="221" spans="1:62" ht="15" customHeight="1">
      <c r="A221" s="102"/>
      <c r="B221" s="102"/>
      <c r="C221" s="102"/>
      <c r="D221" s="101"/>
      <c r="E221" s="105"/>
      <c r="F221" s="105" t="str">
        <f t="shared" ca="1" si="9"/>
        <v/>
      </c>
      <c r="G221" s="105"/>
      <c r="H221" s="105"/>
      <c r="I221" s="105"/>
      <c r="J221" s="105"/>
      <c r="K221" s="105"/>
      <c r="L221" s="105"/>
      <c r="M221" s="105"/>
      <c r="N221" s="105"/>
      <c r="O221" s="105"/>
      <c r="P221" s="106"/>
      <c r="Q221" s="106"/>
      <c r="R221" s="106"/>
      <c r="S221" s="107"/>
      <c r="T221" s="106"/>
      <c r="U221" s="106"/>
      <c r="V221" s="108"/>
      <c r="W221" s="108"/>
      <c r="X221" s="108"/>
      <c r="Y221" s="108"/>
      <c r="Z221" s="109"/>
      <c r="AA221" s="109"/>
      <c r="AB221" s="109"/>
      <c r="AC221" s="109"/>
      <c r="AD221" s="110"/>
      <c r="AE221" s="110"/>
      <c r="AF221" s="110"/>
      <c r="AG221" s="110"/>
      <c r="AH221" s="110"/>
      <c r="AI221" s="110"/>
      <c r="AJ221" s="110"/>
      <c r="AK221" s="110"/>
      <c r="AL221" s="110"/>
      <c r="AM221" s="110"/>
      <c r="AN221" s="110"/>
      <c r="AO221" s="110"/>
      <c r="AP221" s="110"/>
      <c r="AQ221" s="111"/>
      <c r="AR221" s="110"/>
      <c r="AS221" s="111"/>
      <c r="AT221" s="112"/>
      <c r="AU221" s="112"/>
      <c r="AV221" s="112"/>
      <c r="AW221" s="112"/>
      <c r="AX221" s="112"/>
      <c r="AY221" s="112"/>
      <c r="AZ221" s="112"/>
      <c r="BA221" s="112"/>
      <c r="BB221" s="112"/>
      <c r="BC221" s="112"/>
      <c r="BD221" s="113"/>
      <c r="BE221" s="114"/>
      <c r="BF221" s="115"/>
      <c r="BG221" s="115"/>
      <c r="BH221" s="116" t="str">
        <f t="shared" si="10"/>
        <v/>
      </c>
      <c r="BI221" s="116" t="str">
        <f t="shared" si="11"/>
        <v/>
      </c>
      <c r="BJ221" s="116" t="str">
        <f>IF(AND($A221&lt;&gt;"",$D221=반별조회!$C$5),COUNTIFS($A$3:$A221,"&lt;&gt;",$D$3:$D221,반별조회!$C$5),"")</f>
        <v/>
      </c>
    </row>
    <row r="222" spans="1:62" ht="15" customHeight="1">
      <c r="A222" s="102"/>
      <c r="B222" s="102"/>
      <c r="C222" s="102"/>
      <c r="D222" s="101"/>
      <c r="E222" s="105"/>
      <c r="F222" s="105" t="str">
        <f t="shared" ca="1" si="9"/>
        <v/>
      </c>
      <c r="G222" s="105"/>
      <c r="H222" s="105"/>
      <c r="I222" s="105"/>
      <c r="J222" s="105"/>
      <c r="K222" s="105"/>
      <c r="L222" s="105"/>
      <c r="M222" s="105"/>
      <c r="N222" s="105"/>
      <c r="O222" s="105"/>
      <c r="P222" s="106"/>
      <c r="Q222" s="106"/>
      <c r="R222" s="106"/>
      <c r="S222" s="107"/>
      <c r="T222" s="106"/>
      <c r="U222" s="106"/>
      <c r="V222" s="108"/>
      <c r="W222" s="108"/>
      <c r="X222" s="108"/>
      <c r="Y222" s="108"/>
      <c r="Z222" s="109"/>
      <c r="AA222" s="109"/>
      <c r="AB222" s="109"/>
      <c r="AC222" s="109"/>
      <c r="AD222" s="110"/>
      <c r="AE222" s="110"/>
      <c r="AF222" s="110"/>
      <c r="AG222" s="110"/>
      <c r="AH222" s="110"/>
      <c r="AI222" s="110"/>
      <c r="AJ222" s="110"/>
      <c r="AK222" s="110"/>
      <c r="AL222" s="110"/>
      <c r="AM222" s="110"/>
      <c r="AN222" s="110"/>
      <c r="AO222" s="110"/>
      <c r="AP222" s="110"/>
      <c r="AQ222" s="111"/>
      <c r="AR222" s="110"/>
      <c r="AS222" s="111"/>
      <c r="AT222" s="112"/>
      <c r="AU222" s="112"/>
      <c r="AV222" s="112"/>
      <c r="AW222" s="112"/>
      <c r="AX222" s="112"/>
      <c r="AY222" s="112"/>
      <c r="AZ222" s="112"/>
      <c r="BA222" s="112"/>
      <c r="BB222" s="112"/>
      <c r="BC222" s="112"/>
      <c r="BD222" s="113"/>
      <c r="BE222" s="114"/>
      <c r="BF222" s="115"/>
      <c r="BG222" s="115"/>
      <c r="BH222" s="116" t="str">
        <f t="shared" si="10"/>
        <v/>
      </c>
      <c r="BI222" s="116" t="str">
        <f t="shared" si="11"/>
        <v/>
      </c>
      <c r="BJ222" s="116" t="str">
        <f>IF(AND($A222&lt;&gt;"",$D222=반별조회!$C$5),COUNTIFS($A$3:$A222,"&lt;&gt;",$D$3:$D222,반별조회!$C$5),"")</f>
        <v/>
      </c>
    </row>
    <row r="223" spans="1:62" ht="15" customHeight="1">
      <c r="A223" s="102"/>
      <c r="B223" s="102"/>
      <c r="C223" s="102"/>
      <c r="D223" s="101"/>
      <c r="E223" s="105"/>
      <c r="F223" s="105" t="str">
        <f t="shared" ca="1" si="9"/>
        <v/>
      </c>
      <c r="G223" s="105"/>
      <c r="H223" s="105"/>
      <c r="I223" s="105"/>
      <c r="J223" s="105"/>
      <c r="K223" s="105"/>
      <c r="L223" s="105"/>
      <c r="M223" s="105"/>
      <c r="N223" s="105"/>
      <c r="O223" s="105"/>
      <c r="P223" s="106"/>
      <c r="Q223" s="106"/>
      <c r="R223" s="106"/>
      <c r="S223" s="107"/>
      <c r="T223" s="106"/>
      <c r="U223" s="106"/>
      <c r="V223" s="108"/>
      <c r="W223" s="108"/>
      <c r="X223" s="108"/>
      <c r="Y223" s="108"/>
      <c r="Z223" s="109"/>
      <c r="AA223" s="109"/>
      <c r="AB223" s="109"/>
      <c r="AC223" s="109"/>
      <c r="AD223" s="110"/>
      <c r="AE223" s="110"/>
      <c r="AF223" s="110"/>
      <c r="AG223" s="110"/>
      <c r="AH223" s="110"/>
      <c r="AI223" s="110"/>
      <c r="AJ223" s="110"/>
      <c r="AK223" s="110"/>
      <c r="AL223" s="110"/>
      <c r="AM223" s="110"/>
      <c r="AN223" s="110"/>
      <c r="AO223" s="110"/>
      <c r="AP223" s="110"/>
      <c r="AQ223" s="111"/>
      <c r="AR223" s="110"/>
      <c r="AS223" s="111"/>
      <c r="AT223" s="112"/>
      <c r="AU223" s="112"/>
      <c r="AV223" s="112"/>
      <c r="AW223" s="112"/>
      <c r="AX223" s="112"/>
      <c r="AY223" s="112"/>
      <c r="AZ223" s="112"/>
      <c r="BA223" s="112"/>
      <c r="BB223" s="112"/>
      <c r="BC223" s="112"/>
      <c r="BD223" s="113"/>
      <c r="BE223" s="114"/>
      <c r="BF223" s="115"/>
      <c r="BG223" s="115"/>
      <c r="BH223" s="116" t="str">
        <f t="shared" si="10"/>
        <v/>
      </c>
      <c r="BI223" s="116" t="str">
        <f t="shared" si="11"/>
        <v/>
      </c>
      <c r="BJ223" s="116" t="str">
        <f>IF(AND($A223&lt;&gt;"",$D223=반별조회!$C$5),COUNTIFS($A$3:$A223,"&lt;&gt;",$D$3:$D223,반별조회!$C$5),"")</f>
        <v/>
      </c>
    </row>
    <row r="224" spans="1:62" ht="15" customHeight="1">
      <c r="A224" s="102"/>
      <c r="B224" s="102"/>
      <c r="C224" s="102"/>
      <c r="D224" s="101"/>
      <c r="E224" s="105"/>
      <c r="F224" s="105" t="str">
        <f t="shared" ca="1" si="9"/>
        <v/>
      </c>
      <c r="G224" s="105"/>
      <c r="H224" s="105"/>
      <c r="I224" s="105"/>
      <c r="J224" s="105"/>
      <c r="K224" s="105"/>
      <c r="L224" s="105"/>
      <c r="M224" s="105"/>
      <c r="N224" s="105"/>
      <c r="O224" s="105"/>
      <c r="P224" s="106"/>
      <c r="Q224" s="106"/>
      <c r="R224" s="106"/>
      <c r="S224" s="107"/>
      <c r="T224" s="106"/>
      <c r="U224" s="106"/>
      <c r="V224" s="108"/>
      <c r="W224" s="108"/>
      <c r="X224" s="108"/>
      <c r="Y224" s="108"/>
      <c r="Z224" s="109"/>
      <c r="AA224" s="109"/>
      <c r="AB224" s="109"/>
      <c r="AC224" s="109"/>
      <c r="AD224" s="110"/>
      <c r="AE224" s="110"/>
      <c r="AF224" s="110"/>
      <c r="AG224" s="110"/>
      <c r="AH224" s="110"/>
      <c r="AI224" s="110"/>
      <c r="AJ224" s="110"/>
      <c r="AK224" s="110"/>
      <c r="AL224" s="110"/>
      <c r="AM224" s="110"/>
      <c r="AN224" s="110"/>
      <c r="AO224" s="110"/>
      <c r="AP224" s="110"/>
      <c r="AQ224" s="111"/>
      <c r="AR224" s="110"/>
      <c r="AS224" s="111"/>
      <c r="AT224" s="112"/>
      <c r="AU224" s="112"/>
      <c r="AV224" s="112"/>
      <c r="AW224" s="112"/>
      <c r="AX224" s="112"/>
      <c r="AY224" s="112"/>
      <c r="AZ224" s="112"/>
      <c r="BA224" s="112"/>
      <c r="BB224" s="112"/>
      <c r="BC224" s="112"/>
      <c r="BD224" s="113"/>
      <c r="BE224" s="114"/>
      <c r="BF224" s="115"/>
      <c r="BG224" s="115"/>
      <c r="BH224" s="116" t="str">
        <f t="shared" si="10"/>
        <v/>
      </c>
      <c r="BI224" s="116" t="str">
        <f t="shared" si="11"/>
        <v/>
      </c>
      <c r="BJ224" s="116" t="str">
        <f>IF(AND($A224&lt;&gt;"",$D224=반별조회!$C$5),COUNTIFS($A$3:$A224,"&lt;&gt;",$D$3:$D224,반별조회!$C$5),"")</f>
        <v/>
      </c>
    </row>
    <row r="225" spans="1:62" ht="15" customHeight="1">
      <c r="A225" s="102"/>
      <c r="B225" s="102"/>
      <c r="C225" s="102"/>
      <c r="D225" s="101"/>
      <c r="E225" s="105"/>
      <c r="F225" s="105" t="str">
        <f t="shared" ca="1" si="9"/>
        <v/>
      </c>
      <c r="G225" s="105"/>
      <c r="H225" s="105"/>
      <c r="I225" s="105"/>
      <c r="J225" s="105"/>
      <c r="K225" s="105"/>
      <c r="L225" s="105"/>
      <c r="M225" s="105"/>
      <c r="N225" s="105"/>
      <c r="O225" s="105"/>
      <c r="P225" s="106"/>
      <c r="Q225" s="106"/>
      <c r="R225" s="106"/>
      <c r="S225" s="107"/>
      <c r="T225" s="106"/>
      <c r="U225" s="106"/>
      <c r="V225" s="108"/>
      <c r="W225" s="108"/>
      <c r="X225" s="108"/>
      <c r="Y225" s="108"/>
      <c r="Z225" s="109"/>
      <c r="AA225" s="109"/>
      <c r="AB225" s="109"/>
      <c r="AC225" s="109"/>
      <c r="AD225" s="110"/>
      <c r="AE225" s="110"/>
      <c r="AF225" s="110"/>
      <c r="AG225" s="110"/>
      <c r="AH225" s="110"/>
      <c r="AI225" s="110"/>
      <c r="AJ225" s="110"/>
      <c r="AK225" s="110"/>
      <c r="AL225" s="110"/>
      <c r="AM225" s="110"/>
      <c r="AN225" s="110"/>
      <c r="AO225" s="110"/>
      <c r="AP225" s="110"/>
      <c r="AQ225" s="111"/>
      <c r="AR225" s="110"/>
      <c r="AS225" s="111"/>
      <c r="AT225" s="112"/>
      <c r="AU225" s="112"/>
      <c r="AV225" s="112"/>
      <c r="AW225" s="112"/>
      <c r="AX225" s="112"/>
      <c r="AY225" s="112"/>
      <c r="AZ225" s="112"/>
      <c r="BA225" s="112"/>
      <c r="BB225" s="112"/>
      <c r="BC225" s="112"/>
      <c r="BD225" s="113"/>
      <c r="BE225" s="114"/>
      <c r="BF225" s="115"/>
      <c r="BG225" s="115"/>
      <c r="BH225" s="116" t="str">
        <f t="shared" si="10"/>
        <v/>
      </c>
      <c r="BI225" s="116" t="str">
        <f t="shared" si="11"/>
        <v/>
      </c>
      <c r="BJ225" s="116" t="str">
        <f>IF(AND($A225&lt;&gt;"",$D225=반별조회!$C$5),COUNTIFS($A$3:$A225,"&lt;&gt;",$D$3:$D225,반별조회!$C$5),"")</f>
        <v/>
      </c>
    </row>
    <row r="226" spans="1:62" ht="15" customHeight="1">
      <c r="A226" s="102"/>
      <c r="B226" s="102"/>
      <c r="C226" s="102"/>
      <c r="D226" s="101"/>
      <c r="E226" s="105"/>
      <c r="F226" s="105" t="str">
        <f t="shared" ca="1" si="9"/>
        <v/>
      </c>
      <c r="G226" s="105"/>
      <c r="H226" s="105"/>
      <c r="I226" s="105"/>
      <c r="J226" s="105"/>
      <c r="K226" s="105"/>
      <c r="L226" s="105"/>
      <c r="M226" s="105"/>
      <c r="N226" s="105"/>
      <c r="O226" s="105"/>
      <c r="P226" s="106"/>
      <c r="Q226" s="106"/>
      <c r="R226" s="106"/>
      <c r="S226" s="107"/>
      <c r="T226" s="106"/>
      <c r="U226" s="106"/>
      <c r="V226" s="108"/>
      <c r="W226" s="108"/>
      <c r="X226" s="108"/>
      <c r="Y226" s="108"/>
      <c r="Z226" s="109"/>
      <c r="AA226" s="109"/>
      <c r="AB226" s="109"/>
      <c r="AC226" s="109"/>
      <c r="AD226" s="110"/>
      <c r="AE226" s="110"/>
      <c r="AF226" s="110"/>
      <c r="AG226" s="110"/>
      <c r="AH226" s="110"/>
      <c r="AI226" s="110"/>
      <c r="AJ226" s="110"/>
      <c r="AK226" s="110"/>
      <c r="AL226" s="110"/>
      <c r="AM226" s="110"/>
      <c r="AN226" s="110"/>
      <c r="AO226" s="110"/>
      <c r="AP226" s="110"/>
      <c r="AQ226" s="111"/>
      <c r="AR226" s="110"/>
      <c r="AS226" s="111"/>
      <c r="AT226" s="112"/>
      <c r="AU226" s="112"/>
      <c r="AV226" s="112"/>
      <c r="AW226" s="112"/>
      <c r="AX226" s="112"/>
      <c r="AY226" s="112"/>
      <c r="AZ226" s="112"/>
      <c r="BA226" s="112"/>
      <c r="BB226" s="112"/>
      <c r="BC226" s="112"/>
      <c r="BD226" s="113"/>
      <c r="BE226" s="114"/>
      <c r="BF226" s="115"/>
      <c r="BG226" s="115"/>
      <c r="BH226" s="116" t="str">
        <f t="shared" si="10"/>
        <v/>
      </c>
      <c r="BI226" s="116" t="str">
        <f t="shared" si="11"/>
        <v/>
      </c>
      <c r="BJ226" s="116" t="str">
        <f>IF(AND($A226&lt;&gt;"",$D226=반별조회!$C$5),COUNTIFS($A$3:$A226,"&lt;&gt;",$D$3:$D226,반별조회!$C$5),"")</f>
        <v/>
      </c>
    </row>
    <row r="227" spans="1:62" ht="15" customHeight="1">
      <c r="A227" s="102"/>
      <c r="B227" s="102"/>
      <c r="C227" s="102"/>
      <c r="D227" s="101"/>
      <c r="E227" s="105"/>
      <c r="F227" s="105" t="str">
        <f t="shared" ca="1" si="9"/>
        <v/>
      </c>
      <c r="G227" s="105"/>
      <c r="H227" s="105"/>
      <c r="I227" s="105"/>
      <c r="J227" s="105"/>
      <c r="K227" s="105"/>
      <c r="L227" s="105"/>
      <c r="M227" s="105"/>
      <c r="N227" s="105"/>
      <c r="O227" s="105"/>
      <c r="P227" s="106"/>
      <c r="Q227" s="106"/>
      <c r="R227" s="106"/>
      <c r="S227" s="107"/>
      <c r="T227" s="106"/>
      <c r="U227" s="106"/>
      <c r="V227" s="108"/>
      <c r="W227" s="108"/>
      <c r="X227" s="108"/>
      <c r="Y227" s="108"/>
      <c r="Z227" s="109"/>
      <c r="AA227" s="109"/>
      <c r="AB227" s="109"/>
      <c r="AC227" s="109"/>
      <c r="AD227" s="110"/>
      <c r="AE227" s="110"/>
      <c r="AF227" s="110"/>
      <c r="AG227" s="110"/>
      <c r="AH227" s="110"/>
      <c r="AI227" s="110"/>
      <c r="AJ227" s="110"/>
      <c r="AK227" s="110"/>
      <c r="AL227" s="110"/>
      <c r="AM227" s="110"/>
      <c r="AN227" s="110"/>
      <c r="AO227" s="110"/>
      <c r="AP227" s="110"/>
      <c r="AQ227" s="111"/>
      <c r="AR227" s="110"/>
      <c r="AS227" s="111"/>
      <c r="AT227" s="112"/>
      <c r="AU227" s="112"/>
      <c r="AV227" s="112"/>
      <c r="AW227" s="112"/>
      <c r="AX227" s="112"/>
      <c r="AY227" s="112"/>
      <c r="AZ227" s="112"/>
      <c r="BA227" s="112"/>
      <c r="BB227" s="112"/>
      <c r="BC227" s="112"/>
      <c r="BD227" s="113"/>
      <c r="BE227" s="114"/>
      <c r="BF227" s="115"/>
      <c r="BG227" s="115"/>
      <c r="BH227" s="116" t="str">
        <f t="shared" si="10"/>
        <v/>
      </c>
      <c r="BI227" s="116" t="str">
        <f t="shared" si="11"/>
        <v/>
      </c>
      <c r="BJ227" s="116" t="str">
        <f>IF(AND($A227&lt;&gt;"",$D227=반별조회!$C$5),COUNTIFS($A$3:$A227,"&lt;&gt;",$D$3:$D227,반별조회!$C$5),"")</f>
        <v/>
      </c>
    </row>
    <row r="228" spans="1:62" ht="15" customHeight="1">
      <c r="A228" s="102"/>
      <c r="B228" s="102"/>
      <c r="C228" s="102"/>
      <c r="D228" s="101"/>
      <c r="E228" s="105"/>
      <c r="F228" s="105" t="str">
        <f t="shared" ca="1" si="9"/>
        <v/>
      </c>
      <c r="G228" s="105"/>
      <c r="H228" s="105"/>
      <c r="I228" s="105"/>
      <c r="J228" s="105"/>
      <c r="K228" s="105"/>
      <c r="L228" s="105"/>
      <c r="M228" s="105"/>
      <c r="N228" s="105"/>
      <c r="O228" s="105"/>
      <c r="P228" s="106"/>
      <c r="Q228" s="106"/>
      <c r="R228" s="106"/>
      <c r="S228" s="107"/>
      <c r="T228" s="106"/>
      <c r="U228" s="106"/>
      <c r="V228" s="108"/>
      <c r="W228" s="108"/>
      <c r="X228" s="108"/>
      <c r="Y228" s="108"/>
      <c r="Z228" s="109"/>
      <c r="AA228" s="109"/>
      <c r="AB228" s="109"/>
      <c r="AC228" s="109"/>
      <c r="AD228" s="110"/>
      <c r="AE228" s="110"/>
      <c r="AF228" s="110"/>
      <c r="AG228" s="110"/>
      <c r="AH228" s="110"/>
      <c r="AI228" s="110"/>
      <c r="AJ228" s="110"/>
      <c r="AK228" s="110"/>
      <c r="AL228" s="110"/>
      <c r="AM228" s="110"/>
      <c r="AN228" s="110"/>
      <c r="AO228" s="110"/>
      <c r="AP228" s="110"/>
      <c r="AQ228" s="111"/>
      <c r="AR228" s="110"/>
      <c r="AS228" s="111"/>
      <c r="AT228" s="112"/>
      <c r="AU228" s="112"/>
      <c r="AV228" s="112"/>
      <c r="AW228" s="112"/>
      <c r="AX228" s="112"/>
      <c r="AY228" s="112"/>
      <c r="AZ228" s="112"/>
      <c r="BA228" s="112"/>
      <c r="BB228" s="112"/>
      <c r="BC228" s="112"/>
      <c r="BD228" s="113"/>
      <c r="BE228" s="114"/>
      <c r="BF228" s="115"/>
      <c r="BG228" s="115"/>
      <c r="BH228" s="116" t="str">
        <f t="shared" si="10"/>
        <v/>
      </c>
      <c r="BI228" s="116" t="str">
        <f t="shared" si="11"/>
        <v/>
      </c>
      <c r="BJ228" s="116" t="str">
        <f>IF(AND($A228&lt;&gt;"",$D228=반별조회!$C$5),COUNTIFS($A$3:$A228,"&lt;&gt;",$D$3:$D228,반별조회!$C$5),"")</f>
        <v/>
      </c>
    </row>
    <row r="229" spans="1:62" ht="15" customHeight="1">
      <c r="A229" s="102"/>
      <c r="B229" s="102"/>
      <c r="C229" s="102"/>
      <c r="D229" s="101"/>
      <c r="E229" s="105"/>
      <c r="F229" s="105" t="str">
        <f t="shared" ca="1" si="9"/>
        <v/>
      </c>
      <c r="G229" s="105"/>
      <c r="H229" s="105"/>
      <c r="I229" s="105"/>
      <c r="J229" s="105"/>
      <c r="K229" s="105"/>
      <c r="L229" s="105"/>
      <c r="M229" s="105"/>
      <c r="N229" s="105"/>
      <c r="O229" s="105"/>
      <c r="P229" s="106"/>
      <c r="Q229" s="106"/>
      <c r="R229" s="106"/>
      <c r="S229" s="107"/>
      <c r="T229" s="106"/>
      <c r="U229" s="106"/>
      <c r="V229" s="108"/>
      <c r="W229" s="108"/>
      <c r="X229" s="108"/>
      <c r="Y229" s="108"/>
      <c r="Z229" s="109"/>
      <c r="AA229" s="109"/>
      <c r="AB229" s="109"/>
      <c r="AC229" s="109"/>
      <c r="AD229" s="110"/>
      <c r="AE229" s="110"/>
      <c r="AF229" s="110"/>
      <c r="AG229" s="110"/>
      <c r="AH229" s="110"/>
      <c r="AI229" s="110"/>
      <c r="AJ229" s="110"/>
      <c r="AK229" s="110"/>
      <c r="AL229" s="110"/>
      <c r="AM229" s="110"/>
      <c r="AN229" s="110"/>
      <c r="AO229" s="110"/>
      <c r="AP229" s="110"/>
      <c r="AQ229" s="111"/>
      <c r="AR229" s="110"/>
      <c r="AS229" s="111"/>
      <c r="AT229" s="112"/>
      <c r="AU229" s="112"/>
      <c r="AV229" s="112"/>
      <c r="AW229" s="112"/>
      <c r="AX229" s="112"/>
      <c r="AY229" s="112"/>
      <c r="AZ229" s="112"/>
      <c r="BA229" s="112"/>
      <c r="BB229" s="112"/>
      <c r="BC229" s="112"/>
      <c r="BD229" s="113"/>
      <c r="BE229" s="114"/>
      <c r="BF229" s="115"/>
      <c r="BG229" s="115"/>
      <c r="BH229" s="116" t="str">
        <f t="shared" si="10"/>
        <v/>
      </c>
      <c r="BI229" s="116" t="str">
        <f t="shared" si="11"/>
        <v/>
      </c>
      <c r="BJ229" s="116" t="str">
        <f>IF(AND($A229&lt;&gt;"",$D229=반별조회!$C$5),COUNTIFS($A$3:$A229,"&lt;&gt;",$D$3:$D229,반별조회!$C$5),"")</f>
        <v/>
      </c>
    </row>
    <row r="230" spans="1:62" ht="15" customHeight="1">
      <c r="A230" s="102"/>
      <c r="B230" s="102"/>
      <c r="C230" s="102"/>
      <c r="D230" s="101"/>
      <c r="E230" s="105"/>
      <c r="F230" s="105" t="str">
        <f t="shared" ca="1" si="9"/>
        <v/>
      </c>
      <c r="G230" s="105"/>
      <c r="H230" s="105"/>
      <c r="I230" s="105"/>
      <c r="J230" s="105"/>
      <c r="K230" s="105"/>
      <c r="L230" s="105"/>
      <c r="M230" s="105"/>
      <c r="N230" s="105"/>
      <c r="O230" s="105"/>
      <c r="P230" s="106"/>
      <c r="Q230" s="106"/>
      <c r="R230" s="106"/>
      <c r="S230" s="107"/>
      <c r="T230" s="106"/>
      <c r="U230" s="106"/>
      <c r="V230" s="108"/>
      <c r="W230" s="108"/>
      <c r="X230" s="108"/>
      <c r="Y230" s="108"/>
      <c r="Z230" s="109"/>
      <c r="AA230" s="109"/>
      <c r="AB230" s="109"/>
      <c r="AC230" s="109"/>
      <c r="AD230" s="110"/>
      <c r="AE230" s="110"/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1"/>
      <c r="AR230" s="110"/>
      <c r="AS230" s="111"/>
      <c r="AT230" s="112"/>
      <c r="AU230" s="112"/>
      <c r="AV230" s="112"/>
      <c r="AW230" s="112"/>
      <c r="AX230" s="112"/>
      <c r="AY230" s="112"/>
      <c r="AZ230" s="112"/>
      <c r="BA230" s="112"/>
      <c r="BB230" s="112"/>
      <c r="BC230" s="112"/>
      <c r="BD230" s="113"/>
      <c r="BE230" s="114"/>
      <c r="BF230" s="115"/>
      <c r="BG230" s="115"/>
      <c r="BH230" s="116" t="str">
        <f t="shared" si="10"/>
        <v/>
      </c>
      <c r="BI230" s="116" t="str">
        <f t="shared" si="11"/>
        <v/>
      </c>
      <c r="BJ230" s="116" t="str">
        <f>IF(AND($A230&lt;&gt;"",$D230=반별조회!$C$5),COUNTIFS($A$3:$A230,"&lt;&gt;",$D$3:$D230,반별조회!$C$5),"")</f>
        <v/>
      </c>
    </row>
    <row r="231" spans="1:62" ht="15" customHeight="1">
      <c r="A231" s="102"/>
      <c r="B231" s="102"/>
      <c r="C231" s="102"/>
      <c r="D231" s="101"/>
      <c r="E231" s="105"/>
      <c r="F231" s="105" t="str">
        <f t="shared" ca="1" si="9"/>
        <v/>
      </c>
      <c r="G231" s="105"/>
      <c r="H231" s="105"/>
      <c r="I231" s="105"/>
      <c r="J231" s="105"/>
      <c r="K231" s="105"/>
      <c r="L231" s="105"/>
      <c r="M231" s="105"/>
      <c r="N231" s="105"/>
      <c r="O231" s="105"/>
      <c r="P231" s="106"/>
      <c r="Q231" s="106"/>
      <c r="R231" s="106"/>
      <c r="S231" s="107"/>
      <c r="T231" s="106"/>
      <c r="U231" s="106"/>
      <c r="V231" s="108"/>
      <c r="W231" s="108"/>
      <c r="X231" s="108"/>
      <c r="Y231" s="108"/>
      <c r="Z231" s="109"/>
      <c r="AA231" s="109"/>
      <c r="AB231" s="109"/>
      <c r="AC231" s="109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1"/>
      <c r="AR231" s="110"/>
      <c r="AS231" s="111"/>
      <c r="AT231" s="112"/>
      <c r="AU231" s="112"/>
      <c r="AV231" s="112"/>
      <c r="AW231" s="112"/>
      <c r="AX231" s="112"/>
      <c r="AY231" s="112"/>
      <c r="AZ231" s="112"/>
      <c r="BA231" s="112"/>
      <c r="BB231" s="112"/>
      <c r="BC231" s="112"/>
      <c r="BD231" s="113"/>
      <c r="BE231" s="114"/>
      <c r="BF231" s="115"/>
      <c r="BG231" s="115"/>
      <c r="BH231" s="116" t="str">
        <f t="shared" si="10"/>
        <v/>
      </c>
      <c r="BI231" s="116" t="str">
        <f t="shared" si="11"/>
        <v/>
      </c>
      <c r="BJ231" s="116" t="str">
        <f>IF(AND($A231&lt;&gt;"",$D231=반별조회!$C$5),COUNTIFS($A$3:$A231,"&lt;&gt;",$D$3:$D231,반별조회!$C$5),"")</f>
        <v/>
      </c>
    </row>
    <row r="232" spans="1:62" ht="15" customHeight="1">
      <c r="A232" s="102"/>
      <c r="B232" s="102"/>
      <c r="C232" s="102"/>
      <c r="D232" s="101"/>
      <c r="E232" s="105"/>
      <c r="F232" s="105" t="str">
        <f t="shared" ca="1" si="9"/>
        <v/>
      </c>
      <c r="G232" s="105"/>
      <c r="H232" s="105"/>
      <c r="I232" s="105"/>
      <c r="J232" s="105"/>
      <c r="K232" s="105"/>
      <c r="L232" s="105"/>
      <c r="M232" s="105"/>
      <c r="N232" s="105"/>
      <c r="O232" s="105"/>
      <c r="P232" s="106"/>
      <c r="Q232" s="106"/>
      <c r="R232" s="106"/>
      <c r="S232" s="107"/>
      <c r="T232" s="106"/>
      <c r="U232" s="106"/>
      <c r="V232" s="108"/>
      <c r="W232" s="108"/>
      <c r="X232" s="108"/>
      <c r="Y232" s="108"/>
      <c r="Z232" s="109"/>
      <c r="AA232" s="109"/>
      <c r="AB232" s="109"/>
      <c r="AC232" s="109"/>
      <c r="AD232" s="110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1"/>
      <c r="AR232" s="110"/>
      <c r="AS232" s="111"/>
      <c r="AT232" s="112"/>
      <c r="AU232" s="112"/>
      <c r="AV232" s="112"/>
      <c r="AW232" s="112"/>
      <c r="AX232" s="112"/>
      <c r="AY232" s="112"/>
      <c r="AZ232" s="112"/>
      <c r="BA232" s="112"/>
      <c r="BB232" s="112"/>
      <c r="BC232" s="112"/>
      <c r="BD232" s="113"/>
      <c r="BE232" s="114"/>
      <c r="BF232" s="115"/>
      <c r="BG232" s="115"/>
      <c r="BH232" s="116" t="str">
        <f t="shared" si="10"/>
        <v/>
      </c>
      <c r="BI232" s="116" t="str">
        <f t="shared" si="11"/>
        <v/>
      </c>
      <c r="BJ232" s="116" t="str">
        <f>IF(AND($A232&lt;&gt;"",$D232=반별조회!$C$5),COUNTIFS($A$3:$A232,"&lt;&gt;",$D$3:$D232,반별조회!$C$5),"")</f>
        <v/>
      </c>
    </row>
    <row r="233" spans="1:62" ht="15" customHeight="1">
      <c r="A233" s="102"/>
      <c r="B233" s="102"/>
      <c r="C233" s="102"/>
      <c r="D233" s="101"/>
      <c r="E233" s="105"/>
      <c r="F233" s="105" t="str">
        <f t="shared" ca="1" si="9"/>
        <v/>
      </c>
      <c r="G233" s="105"/>
      <c r="H233" s="105"/>
      <c r="I233" s="105"/>
      <c r="J233" s="105"/>
      <c r="K233" s="105"/>
      <c r="L233" s="105"/>
      <c r="M233" s="105"/>
      <c r="N233" s="105"/>
      <c r="O233" s="105"/>
      <c r="P233" s="106"/>
      <c r="Q233" s="106"/>
      <c r="R233" s="106"/>
      <c r="S233" s="107"/>
      <c r="T233" s="106"/>
      <c r="U233" s="106"/>
      <c r="V233" s="108"/>
      <c r="W233" s="108"/>
      <c r="X233" s="108"/>
      <c r="Y233" s="108"/>
      <c r="Z233" s="109"/>
      <c r="AA233" s="109"/>
      <c r="AB233" s="109"/>
      <c r="AC233" s="109"/>
      <c r="AD233" s="110"/>
      <c r="AE233" s="110"/>
      <c r="AF233" s="110"/>
      <c r="AG233" s="110"/>
      <c r="AH233" s="110"/>
      <c r="AI233" s="110"/>
      <c r="AJ233" s="110"/>
      <c r="AK233" s="110"/>
      <c r="AL233" s="110"/>
      <c r="AM233" s="110"/>
      <c r="AN233" s="110"/>
      <c r="AO233" s="110"/>
      <c r="AP233" s="110"/>
      <c r="AQ233" s="111"/>
      <c r="AR233" s="110"/>
      <c r="AS233" s="111"/>
      <c r="AT233" s="112"/>
      <c r="AU233" s="112"/>
      <c r="AV233" s="112"/>
      <c r="AW233" s="112"/>
      <c r="AX233" s="112"/>
      <c r="AY233" s="112"/>
      <c r="AZ233" s="112"/>
      <c r="BA233" s="112"/>
      <c r="BB233" s="112"/>
      <c r="BC233" s="112"/>
      <c r="BD233" s="113"/>
      <c r="BE233" s="114"/>
      <c r="BF233" s="115"/>
      <c r="BG233" s="115"/>
      <c r="BH233" s="116" t="str">
        <f t="shared" si="10"/>
        <v/>
      </c>
      <c r="BI233" s="116" t="str">
        <f t="shared" si="11"/>
        <v/>
      </c>
      <c r="BJ233" s="116" t="str">
        <f>IF(AND($A233&lt;&gt;"",$D233=반별조회!$C$5),COUNTIFS($A$3:$A233,"&lt;&gt;",$D$3:$D233,반별조회!$C$5),"")</f>
        <v/>
      </c>
    </row>
    <row r="234" spans="1:62" ht="15" customHeight="1">
      <c r="A234" s="102"/>
      <c r="B234" s="102"/>
      <c r="C234" s="102"/>
      <c r="D234" s="101"/>
      <c r="E234" s="105"/>
      <c r="F234" s="105" t="str">
        <f t="shared" ca="1" si="9"/>
        <v/>
      </c>
      <c r="G234" s="105"/>
      <c r="H234" s="105"/>
      <c r="I234" s="105"/>
      <c r="J234" s="105"/>
      <c r="K234" s="105"/>
      <c r="L234" s="105"/>
      <c r="M234" s="105"/>
      <c r="N234" s="105"/>
      <c r="O234" s="105"/>
      <c r="P234" s="106"/>
      <c r="Q234" s="106"/>
      <c r="R234" s="106"/>
      <c r="S234" s="107"/>
      <c r="T234" s="106"/>
      <c r="U234" s="106"/>
      <c r="V234" s="108"/>
      <c r="W234" s="108"/>
      <c r="X234" s="108"/>
      <c r="Y234" s="108"/>
      <c r="Z234" s="109"/>
      <c r="AA234" s="109"/>
      <c r="AB234" s="109"/>
      <c r="AC234" s="109"/>
      <c r="AD234" s="110"/>
      <c r="AE234" s="110"/>
      <c r="AF234" s="110"/>
      <c r="AG234" s="110"/>
      <c r="AH234" s="110"/>
      <c r="AI234" s="110"/>
      <c r="AJ234" s="110"/>
      <c r="AK234" s="110"/>
      <c r="AL234" s="110"/>
      <c r="AM234" s="110"/>
      <c r="AN234" s="110"/>
      <c r="AO234" s="110"/>
      <c r="AP234" s="110"/>
      <c r="AQ234" s="111"/>
      <c r="AR234" s="110"/>
      <c r="AS234" s="111"/>
      <c r="AT234" s="112"/>
      <c r="AU234" s="112"/>
      <c r="AV234" s="112"/>
      <c r="AW234" s="112"/>
      <c r="AX234" s="112"/>
      <c r="AY234" s="112"/>
      <c r="AZ234" s="112"/>
      <c r="BA234" s="112"/>
      <c r="BB234" s="112"/>
      <c r="BC234" s="112"/>
      <c r="BD234" s="113"/>
      <c r="BE234" s="114"/>
      <c r="BF234" s="115"/>
      <c r="BG234" s="115"/>
      <c r="BH234" s="116" t="str">
        <f t="shared" si="10"/>
        <v/>
      </c>
      <c r="BI234" s="116" t="str">
        <f t="shared" si="11"/>
        <v/>
      </c>
      <c r="BJ234" s="116" t="str">
        <f>IF(AND($A234&lt;&gt;"",$D234=반별조회!$C$5),COUNTIFS($A$3:$A234,"&lt;&gt;",$D$3:$D234,반별조회!$C$5),"")</f>
        <v/>
      </c>
    </row>
    <row r="235" spans="1:62" ht="15" customHeight="1">
      <c r="A235" s="102"/>
      <c r="B235" s="102"/>
      <c r="C235" s="102"/>
      <c r="D235" s="101"/>
      <c r="E235" s="105"/>
      <c r="F235" s="105" t="str">
        <f t="shared" ca="1" si="9"/>
        <v/>
      </c>
      <c r="G235" s="105"/>
      <c r="H235" s="105"/>
      <c r="I235" s="105"/>
      <c r="J235" s="105"/>
      <c r="K235" s="105"/>
      <c r="L235" s="105"/>
      <c r="M235" s="105"/>
      <c r="N235" s="105"/>
      <c r="O235" s="105"/>
      <c r="P235" s="106"/>
      <c r="Q235" s="106"/>
      <c r="R235" s="106"/>
      <c r="S235" s="107"/>
      <c r="T235" s="106"/>
      <c r="U235" s="106"/>
      <c r="V235" s="108"/>
      <c r="W235" s="108"/>
      <c r="X235" s="108"/>
      <c r="Y235" s="108"/>
      <c r="Z235" s="109"/>
      <c r="AA235" s="109"/>
      <c r="AB235" s="109"/>
      <c r="AC235" s="109"/>
      <c r="AD235" s="110"/>
      <c r="AE235" s="110"/>
      <c r="AF235" s="110"/>
      <c r="AG235" s="110"/>
      <c r="AH235" s="110"/>
      <c r="AI235" s="110"/>
      <c r="AJ235" s="110"/>
      <c r="AK235" s="110"/>
      <c r="AL235" s="110"/>
      <c r="AM235" s="110"/>
      <c r="AN235" s="110"/>
      <c r="AO235" s="110"/>
      <c r="AP235" s="110"/>
      <c r="AQ235" s="111"/>
      <c r="AR235" s="110"/>
      <c r="AS235" s="111"/>
      <c r="AT235" s="112"/>
      <c r="AU235" s="112"/>
      <c r="AV235" s="112"/>
      <c r="AW235" s="112"/>
      <c r="AX235" s="112"/>
      <c r="AY235" s="112"/>
      <c r="AZ235" s="112"/>
      <c r="BA235" s="112"/>
      <c r="BB235" s="112"/>
      <c r="BC235" s="112"/>
      <c r="BD235" s="113"/>
      <c r="BE235" s="114"/>
      <c r="BF235" s="115"/>
      <c r="BG235" s="115"/>
      <c r="BH235" s="116" t="str">
        <f t="shared" si="10"/>
        <v/>
      </c>
      <c r="BI235" s="116" t="str">
        <f t="shared" si="11"/>
        <v/>
      </c>
      <c r="BJ235" s="116" t="str">
        <f>IF(AND($A235&lt;&gt;"",$D235=반별조회!$C$5),COUNTIFS($A$3:$A235,"&lt;&gt;",$D$3:$D235,반별조회!$C$5),"")</f>
        <v/>
      </c>
    </row>
    <row r="236" spans="1:62" ht="15" customHeight="1">
      <c r="A236" s="102"/>
      <c r="B236" s="102"/>
      <c r="C236" s="102"/>
      <c r="D236" s="101"/>
      <c r="E236" s="105"/>
      <c r="F236" s="105" t="str">
        <f t="shared" ca="1" si="9"/>
        <v/>
      </c>
      <c r="G236" s="105"/>
      <c r="H236" s="105"/>
      <c r="I236" s="105"/>
      <c r="J236" s="105"/>
      <c r="K236" s="105"/>
      <c r="L236" s="105"/>
      <c r="M236" s="105"/>
      <c r="N236" s="105"/>
      <c r="O236" s="105"/>
      <c r="P236" s="106"/>
      <c r="Q236" s="106"/>
      <c r="R236" s="106"/>
      <c r="S236" s="107"/>
      <c r="T236" s="106"/>
      <c r="U236" s="106"/>
      <c r="V236" s="108"/>
      <c r="W236" s="108"/>
      <c r="X236" s="108"/>
      <c r="Y236" s="108"/>
      <c r="Z236" s="109"/>
      <c r="AA236" s="109"/>
      <c r="AB236" s="109"/>
      <c r="AC236" s="109"/>
      <c r="AD236" s="110"/>
      <c r="AE236" s="110"/>
      <c r="AF236" s="110"/>
      <c r="AG236" s="110"/>
      <c r="AH236" s="110"/>
      <c r="AI236" s="110"/>
      <c r="AJ236" s="110"/>
      <c r="AK236" s="110"/>
      <c r="AL236" s="110"/>
      <c r="AM236" s="110"/>
      <c r="AN236" s="110"/>
      <c r="AO236" s="110"/>
      <c r="AP236" s="110"/>
      <c r="AQ236" s="111"/>
      <c r="AR236" s="110"/>
      <c r="AS236" s="111"/>
      <c r="AT236" s="112"/>
      <c r="AU236" s="112"/>
      <c r="AV236" s="112"/>
      <c r="AW236" s="112"/>
      <c r="AX236" s="112"/>
      <c r="AY236" s="112"/>
      <c r="AZ236" s="112"/>
      <c r="BA236" s="112"/>
      <c r="BB236" s="112"/>
      <c r="BC236" s="112"/>
      <c r="BD236" s="113"/>
      <c r="BE236" s="114"/>
      <c r="BF236" s="115"/>
      <c r="BG236" s="115"/>
      <c r="BH236" s="116" t="str">
        <f t="shared" si="10"/>
        <v/>
      </c>
      <c r="BI236" s="116" t="str">
        <f t="shared" si="11"/>
        <v/>
      </c>
      <c r="BJ236" s="116" t="str">
        <f>IF(AND($A236&lt;&gt;"",$D236=반별조회!$C$5),COUNTIFS($A$3:$A236,"&lt;&gt;",$D$3:$D236,반별조회!$C$5),"")</f>
        <v/>
      </c>
    </row>
    <row r="237" spans="1:62" ht="15" customHeight="1">
      <c r="A237" s="102"/>
      <c r="B237" s="102"/>
      <c r="C237" s="102"/>
      <c r="D237" s="101"/>
      <c r="E237" s="105"/>
      <c r="F237" s="105" t="str">
        <f t="shared" ca="1" si="9"/>
        <v/>
      </c>
      <c r="G237" s="105"/>
      <c r="H237" s="105"/>
      <c r="I237" s="105"/>
      <c r="J237" s="105"/>
      <c r="K237" s="105"/>
      <c r="L237" s="105"/>
      <c r="M237" s="105"/>
      <c r="N237" s="105"/>
      <c r="O237" s="105"/>
      <c r="P237" s="106"/>
      <c r="Q237" s="106"/>
      <c r="R237" s="106"/>
      <c r="S237" s="107"/>
      <c r="T237" s="106"/>
      <c r="U237" s="106"/>
      <c r="V237" s="108"/>
      <c r="W237" s="108"/>
      <c r="X237" s="108"/>
      <c r="Y237" s="108"/>
      <c r="Z237" s="109"/>
      <c r="AA237" s="109"/>
      <c r="AB237" s="109"/>
      <c r="AC237" s="109"/>
      <c r="AD237" s="110"/>
      <c r="AE237" s="110"/>
      <c r="AF237" s="110"/>
      <c r="AG237" s="110"/>
      <c r="AH237" s="110"/>
      <c r="AI237" s="110"/>
      <c r="AJ237" s="110"/>
      <c r="AK237" s="110"/>
      <c r="AL237" s="110"/>
      <c r="AM237" s="110"/>
      <c r="AN237" s="110"/>
      <c r="AO237" s="110"/>
      <c r="AP237" s="110"/>
      <c r="AQ237" s="111"/>
      <c r="AR237" s="110"/>
      <c r="AS237" s="111"/>
      <c r="AT237" s="112"/>
      <c r="AU237" s="112"/>
      <c r="AV237" s="112"/>
      <c r="AW237" s="112"/>
      <c r="AX237" s="112"/>
      <c r="AY237" s="112"/>
      <c r="AZ237" s="112"/>
      <c r="BA237" s="112"/>
      <c r="BB237" s="112"/>
      <c r="BC237" s="112"/>
      <c r="BD237" s="113"/>
      <c r="BE237" s="114"/>
      <c r="BF237" s="115"/>
      <c r="BG237" s="115"/>
      <c r="BH237" s="116" t="str">
        <f t="shared" si="10"/>
        <v/>
      </c>
      <c r="BI237" s="116" t="str">
        <f t="shared" si="11"/>
        <v/>
      </c>
      <c r="BJ237" s="116" t="str">
        <f>IF(AND($A237&lt;&gt;"",$D237=반별조회!$C$5),COUNTIFS($A$3:$A237,"&lt;&gt;",$D$3:$D237,반별조회!$C$5),"")</f>
        <v/>
      </c>
    </row>
    <row r="238" spans="1:62" ht="15" customHeight="1">
      <c r="A238" s="102"/>
      <c r="B238" s="102"/>
      <c r="C238" s="102"/>
      <c r="D238" s="101"/>
      <c r="E238" s="105"/>
      <c r="F238" s="105" t="str">
        <f t="shared" ca="1" si="9"/>
        <v/>
      </c>
      <c r="G238" s="105"/>
      <c r="H238" s="105"/>
      <c r="I238" s="105"/>
      <c r="J238" s="105"/>
      <c r="K238" s="105"/>
      <c r="L238" s="105"/>
      <c r="M238" s="105"/>
      <c r="N238" s="105"/>
      <c r="O238" s="105"/>
      <c r="P238" s="106"/>
      <c r="Q238" s="106"/>
      <c r="R238" s="106"/>
      <c r="S238" s="107"/>
      <c r="T238" s="106"/>
      <c r="U238" s="106"/>
      <c r="V238" s="108"/>
      <c r="W238" s="108"/>
      <c r="X238" s="108"/>
      <c r="Y238" s="108"/>
      <c r="Z238" s="109"/>
      <c r="AA238" s="109"/>
      <c r="AB238" s="109"/>
      <c r="AC238" s="109"/>
      <c r="AD238" s="110"/>
      <c r="AE238" s="110"/>
      <c r="AF238" s="110"/>
      <c r="AG238" s="110"/>
      <c r="AH238" s="110"/>
      <c r="AI238" s="110"/>
      <c r="AJ238" s="110"/>
      <c r="AK238" s="110"/>
      <c r="AL238" s="110"/>
      <c r="AM238" s="110"/>
      <c r="AN238" s="110"/>
      <c r="AO238" s="110"/>
      <c r="AP238" s="110"/>
      <c r="AQ238" s="111"/>
      <c r="AR238" s="110"/>
      <c r="AS238" s="111"/>
      <c r="AT238" s="112"/>
      <c r="AU238" s="112"/>
      <c r="AV238" s="112"/>
      <c r="AW238" s="112"/>
      <c r="AX238" s="112"/>
      <c r="AY238" s="112"/>
      <c r="AZ238" s="112"/>
      <c r="BA238" s="112"/>
      <c r="BB238" s="112"/>
      <c r="BC238" s="112"/>
      <c r="BD238" s="113"/>
      <c r="BE238" s="114"/>
      <c r="BF238" s="115"/>
      <c r="BG238" s="115"/>
      <c r="BH238" s="116" t="str">
        <f t="shared" si="10"/>
        <v/>
      </c>
      <c r="BI238" s="116" t="str">
        <f t="shared" si="11"/>
        <v/>
      </c>
      <c r="BJ238" s="116" t="str">
        <f>IF(AND($A238&lt;&gt;"",$D238=반별조회!$C$5),COUNTIFS($A$3:$A238,"&lt;&gt;",$D$3:$D238,반별조회!$C$5),"")</f>
        <v/>
      </c>
    </row>
    <row r="239" spans="1:62" ht="15" customHeight="1">
      <c r="A239" s="102"/>
      <c r="B239" s="102"/>
      <c r="C239" s="102"/>
      <c r="D239" s="101"/>
      <c r="E239" s="105"/>
      <c r="F239" s="105" t="str">
        <f t="shared" ca="1" si="9"/>
        <v/>
      </c>
      <c r="G239" s="105"/>
      <c r="H239" s="105"/>
      <c r="I239" s="105"/>
      <c r="J239" s="105"/>
      <c r="K239" s="105"/>
      <c r="L239" s="105"/>
      <c r="M239" s="105"/>
      <c r="N239" s="105"/>
      <c r="O239" s="105"/>
      <c r="P239" s="106"/>
      <c r="Q239" s="106"/>
      <c r="R239" s="106"/>
      <c r="S239" s="107"/>
      <c r="T239" s="106"/>
      <c r="U239" s="106"/>
      <c r="V239" s="108"/>
      <c r="W239" s="108"/>
      <c r="X239" s="108"/>
      <c r="Y239" s="108"/>
      <c r="Z239" s="109"/>
      <c r="AA239" s="109"/>
      <c r="AB239" s="109"/>
      <c r="AC239" s="109"/>
      <c r="AD239" s="110"/>
      <c r="AE239" s="110"/>
      <c r="AF239" s="110"/>
      <c r="AG239" s="110"/>
      <c r="AH239" s="110"/>
      <c r="AI239" s="110"/>
      <c r="AJ239" s="110"/>
      <c r="AK239" s="110"/>
      <c r="AL239" s="110"/>
      <c r="AM239" s="110"/>
      <c r="AN239" s="110"/>
      <c r="AO239" s="110"/>
      <c r="AP239" s="110"/>
      <c r="AQ239" s="111"/>
      <c r="AR239" s="110"/>
      <c r="AS239" s="111"/>
      <c r="AT239" s="112"/>
      <c r="AU239" s="112"/>
      <c r="AV239" s="112"/>
      <c r="AW239" s="112"/>
      <c r="AX239" s="112"/>
      <c r="AY239" s="112"/>
      <c r="AZ239" s="112"/>
      <c r="BA239" s="112"/>
      <c r="BB239" s="112"/>
      <c r="BC239" s="112"/>
      <c r="BD239" s="113"/>
      <c r="BE239" s="114"/>
      <c r="BF239" s="115"/>
      <c r="BG239" s="115"/>
      <c r="BH239" s="116" t="str">
        <f t="shared" si="10"/>
        <v/>
      </c>
      <c r="BI239" s="116" t="str">
        <f t="shared" si="11"/>
        <v/>
      </c>
      <c r="BJ239" s="116" t="str">
        <f>IF(AND($A239&lt;&gt;"",$D239=반별조회!$C$5),COUNTIFS($A$3:$A239,"&lt;&gt;",$D$3:$D239,반별조회!$C$5),"")</f>
        <v/>
      </c>
    </row>
    <row r="240" spans="1:62" ht="15" customHeight="1">
      <c r="A240" s="102"/>
      <c r="B240" s="102"/>
      <c r="C240" s="102"/>
      <c r="D240" s="101"/>
      <c r="E240" s="105"/>
      <c r="F240" s="105" t="str">
        <f t="shared" ca="1" si="9"/>
        <v/>
      </c>
      <c r="G240" s="105"/>
      <c r="H240" s="105"/>
      <c r="I240" s="105"/>
      <c r="J240" s="105"/>
      <c r="K240" s="105"/>
      <c r="L240" s="105"/>
      <c r="M240" s="105"/>
      <c r="N240" s="105"/>
      <c r="O240" s="105"/>
      <c r="P240" s="106"/>
      <c r="Q240" s="106"/>
      <c r="R240" s="106"/>
      <c r="S240" s="107"/>
      <c r="T240" s="106"/>
      <c r="U240" s="106"/>
      <c r="V240" s="108"/>
      <c r="W240" s="108"/>
      <c r="X240" s="108"/>
      <c r="Y240" s="108"/>
      <c r="Z240" s="109"/>
      <c r="AA240" s="109"/>
      <c r="AB240" s="109"/>
      <c r="AC240" s="109"/>
      <c r="AD240" s="110"/>
      <c r="AE240" s="110"/>
      <c r="AF240" s="110"/>
      <c r="AG240" s="110"/>
      <c r="AH240" s="110"/>
      <c r="AI240" s="110"/>
      <c r="AJ240" s="110"/>
      <c r="AK240" s="110"/>
      <c r="AL240" s="110"/>
      <c r="AM240" s="110"/>
      <c r="AN240" s="110"/>
      <c r="AO240" s="110"/>
      <c r="AP240" s="110"/>
      <c r="AQ240" s="111"/>
      <c r="AR240" s="110"/>
      <c r="AS240" s="111"/>
      <c r="AT240" s="112"/>
      <c r="AU240" s="112"/>
      <c r="AV240" s="112"/>
      <c r="AW240" s="112"/>
      <c r="AX240" s="112"/>
      <c r="AY240" s="112"/>
      <c r="AZ240" s="112"/>
      <c r="BA240" s="112"/>
      <c r="BB240" s="112"/>
      <c r="BC240" s="112"/>
      <c r="BD240" s="113"/>
      <c r="BE240" s="114"/>
      <c r="BF240" s="115"/>
      <c r="BG240" s="115"/>
      <c r="BH240" s="116" t="str">
        <f t="shared" si="10"/>
        <v/>
      </c>
      <c r="BI240" s="116" t="str">
        <f t="shared" si="11"/>
        <v/>
      </c>
      <c r="BJ240" s="116" t="str">
        <f>IF(AND($A240&lt;&gt;"",$D240=반별조회!$C$5),COUNTIFS($A$3:$A240,"&lt;&gt;",$D$3:$D240,반별조회!$C$5),"")</f>
        <v/>
      </c>
    </row>
    <row r="241" spans="1:62" ht="15" customHeight="1">
      <c r="A241" s="102"/>
      <c r="B241" s="102"/>
      <c r="C241" s="102"/>
      <c r="D241" s="101"/>
      <c r="E241" s="105"/>
      <c r="F241" s="105" t="str">
        <f t="shared" ca="1" si="9"/>
        <v/>
      </c>
      <c r="G241" s="105"/>
      <c r="H241" s="105"/>
      <c r="I241" s="105"/>
      <c r="J241" s="105"/>
      <c r="K241" s="105"/>
      <c r="L241" s="105"/>
      <c r="M241" s="105"/>
      <c r="N241" s="105"/>
      <c r="O241" s="105"/>
      <c r="P241" s="106"/>
      <c r="Q241" s="106"/>
      <c r="R241" s="106"/>
      <c r="S241" s="107"/>
      <c r="T241" s="106"/>
      <c r="U241" s="106"/>
      <c r="V241" s="108"/>
      <c r="W241" s="108"/>
      <c r="X241" s="108"/>
      <c r="Y241" s="108"/>
      <c r="Z241" s="109"/>
      <c r="AA241" s="109"/>
      <c r="AB241" s="109"/>
      <c r="AC241" s="109"/>
      <c r="AD241" s="110"/>
      <c r="AE241" s="110"/>
      <c r="AF241" s="110"/>
      <c r="AG241" s="110"/>
      <c r="AH241" s="110"/>
      <c r="AI241" s="110"/>
      <c r="AJ241" s="110"/>
      <c r="AK241" s="110"/>
      <c r="AL241" s="110"/>
      <c r="AM241" s="110"/>
      <c r="AN241" s="110"/>
      <c r="AO241" s="110"/>
      <c r="AP241" s="110"/>
      <c r="AQ241" s="111"/>
      <c r="AR241" s="110"/>
      <c r="AS241" s="111"/>
      <c r="AT241" s="112"/>
      <c r="AU241" s="112"/>
      <c r="AV241" s="112"/>
      <c r="AW241" s="112"/>
      <c r="AX241" s="112"/>
      <c r="AY241" s="112"/>
      <c r="AZ241" s="112"/>
      <c r="BA241" s="112"/>
      <c r="BB241" s="112"/>
      <c r="BC241" s="112"/>
      <c r="BD241" s="113"/>
      <c r="BE241" s="114"/>
      <c r="BF241" s="115"/>
      <c r="BG241" s="115"/>
      <c r="BH241" s="116" t="str">
        <f t="shared" si="10"/>
        <v/>
      </c>
      <c r="BI241" s="116" t="str">
        <f t="shared" si="11"/>
        <v/>
      </c>
      <c r="BJ241" s="116" t="str">
        <f>IF(AND($A241&lt;&gt;"",$D241=반별조회!$C$5),COUNTIFS($A$3:$A241,"&lt;&gt;",$D$3:$D241,반별조회!$C$5),"")</f>
        <v/>
      </c>
    </row>
    <row r="242" spans="1:62" ht="15" customHeight="1">
      <c r="A242" s="102"/>
      <c r="B242" s="102"/>
      <c r="C242" s="102"/>
      <c r="D242" s="101"/>
      <c r="E242" s="105"/>
      <c r="F242" s="105" t="str">
        <f t="shared" ca="1" si="9"/>
        <v/>
      </c>
      <c r="G242" s="105"/>
      <c r="H242" s="105"/>
      <c r="I242" s="105"/>
      <c r="J242" s="105"/>
      <c r="K242" s="105"/>
      <c r="L242" s="105"/>
      <c r="M242" s="105"/>
      <c r="N242" s="105"/>
      <c r="O242" s="105"/>
      <c r="P242" s="106"/>
      <c r="Q242" s="106"/>
      <c r="R242" s="106"/>
      <c r="S242" s="107"/>
      <c r="T242" s="106"/>
      <c r="U242" s="106"/>
      <c r="V242" s="108"/>
      <c r="W242" s="108"/>
      <c r="X242" s="108"/>
      <c r="Y242" s="108"/>
      <c r="Z242" s="109"/>
      <c r="AA242" s="109"/>
      <c r="AB242" s="109"/>
      <c r="AC242" s="109"/>
      <c r="AD242" s="110"/>
      <c r="AE242" s="110"/>
      <c r="AF242" s="110"/>
      <c r="AG242" s="110"/>
      <c r="AH242" s="110"/>
      <c r="AI242" s="110"/>
      <c r="AJ242" s="110"/>
      <c r="AK242" s="110"/>
      <c r="AL242" s="110"/>
      <c r="AM242" s="110"/>
      <c r="AN242" s="110"/>
      <c r="AO242" s="110"/>
      <c r="AP242" s="110"/>
      <c r="AQ242" s="111"/>
      <c r="AR242" s="110"/>
      <c r="AS242" s="111"/>
      <c r="AT242" s="112"/>
      <c r="AU242" s="112"/>
      <c r="AV242" s="112"/>
      <c r="AW242" s="112"/>
      <c r="AX242" s="112"/>
      <c r="AY242" s="112"/>
      <c r="AZ242" s="112"/>
      <c r="BA242" s="112"/>
      <c r="BB242" s="112"/>
      <c r="BC242" s="112"/>
      <c r="BD242" s="113"/>
      <c r="BE242" s="114"/>
      <c r="BF242" s="115"/>
      <c r="BG242" s="115"/>
      <c r="BH242" s="116" t="str">
        <f t="shared" si="10"/>
        <v/>
      </c>
      <c r="BI242" s="116" t="str">
        <f t="shared" si="11"/>
        <v/>
      </c>
      <c r="BJ242" s="116" t="str">
        <f>IF(AND($A242&lt;&gt;"",$D242=반별조회!$C$5),COUNTIFS($A$3:$A242,"&lt;&gt;",$D$3:$D242,반별조회!$C$5),"")</f>
        <v/>
      </c>
    </row>
    <row r="243" spans="1:62" ht="15" customHeight="1">
      <c r="A243" s="102"/>
      <c r="B243" s="102"/>
      <c r="C243" s="102"/>
      <c r="D243" s="101"/>
      <c r="E243" s="105"/>
      <c r="F243" s="105" t="str">
        <f t="shared" ca="1" si="9"/>
        <v/>
      </c>
      <c r="G243" s="105"/>
      <c r="H243" s="105"/>
      <c r="I243" s="105"/>
      <c r="J243" s="105"/>
      <c r="K243" s="105"/>
      <c r="L243" s="105"/>
      <c r="M243" s="105"/>
      <c r="N243" s="105"/>
      <c r="O243" s="105"/>
      <c r="P243" s="106"/>
      <c r="Q243" s="106"/>
      <c r="R243" s="106"/>
      <c r="S243" s="107"/>
      <c r="T243" s="106"/>
      <c r="U243" s="106"/>
      <c r="V243" s="108"/>
      <c r="W243" s="108"/>
      <c r="X243" s="108"/>
      <c r="Y243" s="108"/>
      <c r="Z243" s="109"/>
      <c r="AA243" s="109"/>
      <c r="AB243" s="109"/>
      <c r="AC243" s="109"/>
      <c r="AD243" s="110"/>
      <c r="AE243" s="110"/>
      <c r="AF243" s="110"/>
      <c r="AG243" s="110"/>
      <c r="AH243" s="110"/>
      <c r="AI243" s="110"/>
      <c r="AJ243" s="110"/>
      <c r="AK243" s="110"/>
      <c r="AL243" s="110"/>
      <c r="AM243" s="110"/>
      <c r="AN243" s="110"/>
      <c r="AO243" s="110"/>
      <c r="AP243" s="110"/>
      <c r="AQ243" s="111"/>
      <c r="AR243" s="110"/>
      <c r="AS243" s="111"/>
      <c r="AT243" s="112"/>
      <c r="AU243" s="112"/>
      <c r="AV243" s="112"/>
      <c r="AW243" s="112"/>
      <c r="AX243" s="112"/>
      <c r="AY243" s="112"/>
      <c r="AZ243" s="112"/>
      <c r="BA243" s="112"/>
      <c r="BB243" s="112"/>
      <c r="BC243" s="112"/>
      <c r="BD243" s="113"/>
      <c r="BE243" s="114"/>
      <c r="BF243" s="115"/>
      <c r="BG243" s="115"/>
      <c r="BH243" s="116" t="str">
        <f t="shared" si="10"/>
        <v/>
      </c>
      <c r="BI243" s="116" t="str">
        <f t="shared" si="11"/>
        <v/>
      </c>
      <c r="BJ243" s="116" t="str">
        <f>IF(AND($A243&lt;&gt;"",$D243=반별조회!$C$5),COUNTIFS($A$3:$A243,"&lt;&gt;",$D$3:$D243,반별조회!$C$5),"")</f>
        <v/>
      </c>
    </row>
    <row r="244" spans="1:62" ht="15" customHeight="1">
      <c r="A244" s="102"/>
      <c r="B244" s="102"/>
      <c r="C244" s="102"/>
      <c r="D244" s="101"/>
      <c r="E244" s="105"/>
      <c r="F244" s="105" t="str">
        <f t="shared" ca="1" si="9"/>
        <v/>
      </c>
      <c r="G244" s="105"/>
      <c r="H244" s="105"/>
      <c r="I244" s="105"/>
      <c r="J244" s="105"/>
      <c r="K244" s="105"/>
      <c r="L244" s="105"/>
      <c r="M244" s="105"/>
      <c r="N244" s="105"/>
      <c r="O244" s="105"/>
      <c r="P244" s="106"/>
      <c r="Q244" s="106"/>
      <c r="R244" s="106"/>
      <c r="S244" s="107"/>
      <c r="T244" s="106"/>
      <c r="U244" s="106"/>
      <c r="V244" s="108"/>
      <c r="W244" s="108"/>
      <c r="X244" s="108"/>
      <c r="Y244" s="108"/>
      <c r="Z244" s="109"/>
      <c r="AA244" s="109"/>
      <c r="AB244" s="109"/>
      <c r="AC244" s="109"/>
      <c r="AD244" s="110"/>
      <c r="AE244" s="110"/>
      <c r="AF244" s="110"/>
      <c r="AG244" s="110"/>
      <c r="AH244" s="110"/>
      <c r="AI244" s="110"/>
      <c r="AJ244" s="110"/>
      <c r="AK244" s="110"/>
      <c r="AL244" s="110"/>
      <c r="AM244" s="110"/>
      <c r="AN244" s="110"/>
      <c r="AO244" s="110"/>
      <c r="AP244" s="110"/>
      <c r="AQ244" s="111"/>
      <c r="AR244" s="110"/>
      <c r="AS244" s="111"/>
      <c r="AT244" s="112"/>
      <c r="AU244" s="112"/>
      <c r="AV244" s="112"/>
      <c r="AW244" s="112"/>
      <c r="AX244" s="112"/>
      <c r="AY244" s="112"/>
      <c r="AZ244" s="112"/>
      <c r="BA244" s="112"/>
      <c r="BB244" s="112"/>
      <c r="BC244" s="112"/>
      <c r="BD244" s="113"/>
      <c r="BE244" s="114"/>
      <c r="BF244" s="115"/>
      <c r="BG244" s="115"/>
      <c r="BH244" s="116" t="str">
        <f t="shared" si="10"/>
        <v/>
      </c>
      <c r="BI244" s="116" t="str">
        <f t="shared" si="11"/>
        <v/>
      </c>
      <c r="BJ244" s="116" t="str">
        <f>IF(AND($A244&lt;&gt;"",$D244=반별조회!$C$5),COUNTIFS($A$3:$A244,"&lt;&gt;",$D$3:$D244,반별조회!$C$5),"")</f>
        <v/>
      </c>
    </row>
    <row r="245" spans="1:62" ht="15" customHeight="1">
      <c r="A245" s="102"/>
      <c r="B245" s="102"/>
      <c r="C245" s="102"/>
      <c r="D245" s="101"/>
      <c r="E245" s="105"/>
      <c r="F245" s="105" t="str">
        <f t="shared" ca="1" si="9"/>
        <v/>
      </c>
      <c r="G245" s="105"/>
      <c r="H245" s="105"/>
      <c r="I245" s="105"/>
      <c r="J245" s="105"/>
      <c r="K245" s="105"/>
      <c r="L245" s="105"/>
      <c r="M245" s="105"/>
      <c r="N245" s="105"/>
      <c r="O245" s="105"/>
      <c r="P245" s="106"/>
      <c r="Q245" s="106"/>
      <c r="R245" s="106"/>
      <c r="S245" s="107"/>
      <c r="T245" s="106"/>
      <c r="U245" s="106"/>
      <c r="V245" s="108"/>
      <c r="W245" s="108"/>
      <c r="X245" s="108"/>
      <c r="Y245" s="108"/>
      <c r="Z245" s="109"/>
      <c r="AA245" s="109"/>
      <c r="AB245" s="109"/>
      <c r="AC245" s="109"/>
      <c r="AD245" s="110"/>
      <c r="AE245" s="110"/>
      <c r="AF245" s="110"/>
      <c r="AG245" s="110"/>
      <c r="AH245" s="110"/>
      <c r="AI245" s="110"/>
      <c r="AJ245" s="110"/>
      <c r="AK245" s="110"/>
      <c r="AL245" s="110"/>
      <c r="AM245" s="110"/>
      <c r="AN245" s="110"/>
      <c r="AO245" s="110"/>
      <c r="AP245" s="110"/>
      <c r="AQ245" s="111"/>
      <c r="AR245" s="110"/>
      <c r="AS245" s="111"/>
      <c r="AT245" s="112"/>
      <c r="AU245" s="112"/>
      <c r="AV245" s="112"/>
      <c r="AW245" s="112"/>
      <c r="AX245" s="112"/>
      <c r="AY245" s="112"/>
      <c r="AZ245" s="112"/>
      <c r="BA245" s="112"/>
      <c r="BB245" s="112"/>
      <c r="BC245" s="112"/>
      <c r="BD245" s="113"/>
      <c r="BE245" s="114"/>
      <c r="BF245" s="115"/>
      <c r="BG245" s="115"/>
      <c r="BH245" s="116" t="str">
        <f t="shared" si="10"/>
        <v/>
      </c>
      <c r="BI245" s="116" t="str">
        <f t="shared" si="11"/>
        <v/>
      </c>
      <c r="BJ245" s="116" t="str">
        <f>IF(AND($A245&lt;&gt;"",$D245=반별조회!$C$5),COUNTIFS($A$3:$A245,"&lt;&gt;",$D$3:$D245,반별조회!$C$5),"")</f>
        <v/>
      </c>
    </row>
    <row r="246" spans="1:62" ht="15" customHeight="1">
      <c r="A246" s="102"/>
      <c r="B246" s="102"/>
      <c r="C246" s="102"/>
      <c r="D246" s="101"/>
      <c r="E246" s="105"/>
      <c r="F246" s="105" t="str">
        <f t="shared" ca="1" si="9"/>
        <v/>
      </c>
      <c r="G246" s="105"/>
      <c r="H246" s="105"/>
      <c r="I246" s="105"/>
      <c r="J246" s="105"/>
      <c r="K246" s="105"/>
      <c r="L246" s="105"/>
      <c r="M246" s="105"/>
      <c r="N246" s="105"/>
      <c r="O246" s="105"/>
      <c r="P246" s="106"/>
      <c r="Q246" s="106"/>
      <c r="R246" s="106"/>
      <c r="S246" s="107"/>
      <c r="T246" s="106"/>
      <c r="U246" s="106"/>
      <c r="V246" s="108"/>
      <c r="W246" s="108"/>
      <c r="X246" s="108"/>
      <c r="Y246" s="108"/>
      <c r="Z246" s="109"/>
      <c r="AA246" s="109"/>
      <c r="AB246" s="109"/>
      <c r="AC246" s="109"/>
      <c r="AD246" s="110"/>
      <c r="AE246" s="110"/>
      <c r="AF246" s="110"/>
      <c r="AG246" s="110"/>
      <c r="AH246" s="110"/>
      <c r="AI246" s="110"/>
      <c r="AJ246" s="110"/>
      <c r="AK246" s="110"/>
      <c r="AL246" s="110"/>
      <c r="AM246" s="110"/>
      <c r="AN246" s="110"/>
      <c r="AO246" s="110"/>
      <c r="AP246" s="110"/>
      <c r="AQ246" s="111"/>
      <c r="AR246" s="110"/>
      <c r="AS246" s="111"/>
      <c r="AT246" s="112"/>
      <c r="AU246" s="112"/>
      <c r="AV246" s="112"/>
      <c r="AW246" s="112"/>
      <c r="AX246" s="112"/>
      <c r="AY246" s="112"/>
      <c r="AZ246" s="112"/>
      <c r="BA246" s="112"/>
      <c r="BB246" s="112"/>
      <c r="BC246" s="112"/>
      <c r="BD246" s="113"/>
      <c r="BE246" s="114"/>
      <c r="BF246" s="115"/>
      <c r="BG246" s="115"/>
      <c r="BH246" s="116" t="str">
        <f t="shared" si="10"/>
        <v/>
      </c>
      <c r="BI246" s="116" t="str">
        <f t="shared" si="11"/>
        <v/>
      </c>
      <c r="BJ246" s="116" t="str">
        <f>IF(AND($A246&lt;&gt;"",$D246=반별조회!$C$5),COUNTIFS($A$3:$A246,"&lt;&gt;",$D$3:$D246,반별조회!$C$5),"")</f>
        <v/>
      </c>
    </row>
    <row r="247" spans="1:62" ht="15" customHeight="1">
      <c r="A247" s="102"/>
      <c r="B247" s="102"/>
      <c r="C247" s="102"/>
      <c r="D247" s="101"/>
      <c r="E247" s="105"/>
      <c r="F247" s="105" t="str">
        <f t="shared" ca="1" si="9"/>
        <v/>
      </c>
      <c r="G247" s="105"/>
      <c r="H247" s="105"/>
      <c r="I247" s="105"/>
      <c r="J247" s="105"/>
      <c r="K247" s="105"/>
      <c r="L247" s="105"/>
      <c r="M247" s="105"/>
      <c r="N247" s="105"/>
      <c r="O247" s="105"/>
      <c r="P247" s="106"/>
      <c r="Q247" s="106"/>
      <c r="R247" s="106"/>
      <c r="S247" s="107"/>
      <c r="T247" s="106"/>
      <c r="U247" s="106"/>
      <c r="V247" s="108"/>
      <c r="W247" s="108"/>
      <c r="X247" s="108"/>
      <c r="Y247" s="108"/>
      <c r="Z247" s="109"/>
      <c r="AA247" s="109"/>
      <c r="AB247" s="109"/>
      <c r="AC247" s="109"/>
      <c r="AD247" s="110"/>
      <c r="AE247" s="110"/>
      <c r="AF247" s="110"/>
      <c r="AG247" s="110"/>
      <c r="AH247" s="110"/>
      <c r="AI247" s="110"/>
      <c r="AJ247" s="110"/>
      <c r="AK247" s="110"/>
      <c r="AL247" s="110"/>
      <c r="AM247" s="110"/>
      <c r="AN247" s="110"/>
      <c r="AO247" s="110"/>
      <c r="AP247" s="110"/>
      <c r="AQ247" s="111"/>
      <c r="AR247" s="110"/>
      <c r="AS247" s="111"/>
      <c r="AT247" s="112"/>
      <c r="AU247" s="112"/>
      <c r="AV247" s="112"/>
      <c r="AW247" s="112"/>
      <c r="AX247" s="112"/>
      <c r="AY247" s="112"/>
      <c r="AZ247" s="112"/>
      <c r="BA247" s="112"/>
      <c r="BB247" s="112"/>
      <c r="BC247" s="112"/>
      <c r="BD247" s="113"/>
      <c r="BE247" s="114"/>
      <c r="BF247" s="115"/>
      <c r="BG247" s="115"/>
      <c r="BH247" s="116" t="str">
        <f t="shared" si="10"/>
        <v/>
      </c>
      <c r="BI247" s="116" t="str">
        <f t="shared" si="11"/>
        <v/>
      </c>
      <c r="BJ247" s="116" t="str">
        <f>IF(AND($A247&lt;&gt;"",$D247=반별조회!$C$5),COUNTIFS($A$3:$A247,"&lt;&gt;",$D$3:$D247,반별조회!$C$5),"")</f>
        <v/>
      </c>
    </row>
    <row r="248" spans="1:62" ht="15" customHeight="1">
      <c r="A248" s="102"/>
      <c r="B248" s="102"/>
      <c r="C248" s="102"/>
      <c r="D248" s="101"/>
      <c r="E248" s="105"/>
      <c r="F248" s="105" t="str">
        <f t="shared" ca="1" si="9"/>
        <v/>
      </c>
      <c r="G248" s="105"/>
      <c r="H248" s="105"/>
      <c r="I248" s="105"/>
      <c r="J248" s="105"/>
      <c r="K248" s="105"/>
      <c r="L248" s="105"/>
      <c r="M248" s="105"/>
      <c r="N248" s="105"/>
      <c r="O248" s="105"/>
      <c r="P248" s="106"/>
      <c r="Q248" s="106"/>
      <c r="R248" s="106"/>
      <c r="S248" s="107"/>
      <c r="T248" s="106"/>
      <c r="U248" s="106"/>
      <c r="V248" s="108"/>
      <c r="W248" s="108"/>
      <c r="X248" s="108"/>
      <c r="Y248" s="108"/>
      <c r="Z248" s="109"/>
      <c r="AA248" s="109"/>
      <c r="AB248" s="109"/>
      <c r="AC248" s="109"/>
      <c r="AD248" s="110"/>
      <c r="AE248" s="110"/>
      <c r="AF248" s="110"/>
      <c r="AG248" s="110"/>
      <c r="AH248" s="110"/>
      <c r="AI248" s="110"/>
      <c r="AJ248" s="110"/>
      <c r="AK248" s="110"/>
      <c r="AL248" s="110"/>
      <c r="AM248" s="110"/>
      <c r="AN248" s="110"/>
      <c r="AO248" s="110"/>
      <c r="AP248" s="110"/>
      <c r="AQ248" s="111"/>
      <c r="AR248" s="110"/>
      <c r="AS248" s="111"/>
      <c r="AT248" s="112"/>
      <c r="AU248" s="112"/>
      <c r="AV248" s="112"/>
      <c r="AW248" s="112"/>
      <c r="AX248" s="112"/>
      <c r="AY248" s="112"/>
      <c r="AZ248" s="112"/>
      <c r="BA248" s="112"/>
      <c r="BB248" s="112"/>
      <c r="BC248" s="112"/>
      <c r="BD248" s="113"/>
      <c r="BE248" s="114"/>
      <c r="BF248" s="115"/>
      <c r="BG248" s="115"/>
      <c r="BH248" s="116" t="str">
        <f t="shared" si="10"/>
        <v/>
      </c>
      <c r="BI248" s="116" t="str">
        <f t="shared" si="11"/>
        <v/>
      </c>
      <c r="BJ248" s="116" t="str">
        <f>IF(AND($A248&lt;&gt;"",$D248=반별조회!$C$5),COUNTIFS($A$3:$A248,"&lt;&gt;",$D$3:$D248,반별조회!$C$5),"")</f>
        <v/>
      </c>
    </row>
    <row r="249" spans="1:62" ht="15" customHeight="1">
      <c r="A249" s="102"/>
      <c r="B249" s="102"/>
      <c r="C249" s="102"/>
      <c r="D249" s="101"/>
      <c r="E249" s="105"/>
      <c r="F249" s="105" t="str">
        <f t="shared" ca="1" si="9"/>
        <v/>
      </c>
      <c r="G249" s="105"/>
      <c r="H249" s="105"/>
      <c r="I249" s="105"/>
      <c r="J249" s="105"/>
      <c r="K249" s="105"/>
      <c r="L249" s="105"/>
      <c r="M249" s="105"/>
      <c r="N249" s="105"/>
      <c r="O249" s="105"/>
      <c r="P249" s="106"/>
      <c r="Q249" s="106"/>
      <c r="R249" s="106"/>
      <c r="S249" s="107"/>
      <c r="T249" s="106"/>
      <c r="U249" s="106"/>
      <c r="V249" s="108"/>
      <c r="W249" s="108"/>
      <c r="X249" s="108"/>
      <c r="Y249" s="108"/>
      <c r="Z249" s="109"/>
      <c r="AA249" s="109"/>
      <c r="AB249" s="109"/>
      <c r="AC249" s="109"/>
      <c r="AD249" s="110"/>
      <c r="AE249" s="110"/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1"/>
      <c r="AR249" s="110"/>
      <c r="AS249" s="111"/>
      <c r="AT249" s="112"/>
      <c r="AU249" s="112"/>
      <c r="AV249" s="112"/>
      <c r="AW249" s="112"/>
      <c r="AX249" s="112"/>
      <c r="AY249" s="112"/>
      <c r="AZ249" s="112"/>
      <c r="BA249" s="112"/>
      <c r="BB249" s="112"/>
      <c r="BC249" s="112"/>
      <c r="BD249" s="113"/>
      <c r="BE249" s="114"/>
      <c r="BF249" s="115"/>
      <c r="BG249" s="115"/>
      <c r="BH249" s="116" t="str">
        <f t="shared" si="10"/>
        <v/>
      </c>
      <c r="BI249" s="116" t="str">
        <f t="shared" si="11"/>
        <v/>
      </c>
      <c r="BJ249" s="116" t="str">
        <f>IF(AND($A249&lt;&gt;"",$D249=반별조회!$C$5),COUNTIFS($A$3:$A249,"&lt;&gt;",$D$3:$D249,반별조회!$C$5),"")</f>
        <v/>
      </c>
    </row>
    <row r="250" spans="1:62" ht="15" customHeight="1">
      <c r="A250" s="102"/>
      <c r="B250" s="102"/>
      <c r="C250" s="102"/>
      <c r="D250" s="101"/>
      <c r="E250" s="105"/>
      <c r="F250" s="105" t="str">
        <f t="shared" ca="1" si="9"/>
        <v/>
      </c>
      <c r="G250" s="105"/>
      <c r="H250" s="105"/>
      <c r="I250" s="105"/>
      <c r="J250" s="105"/>
      <c r="K250" s="105"/>
      <c r="L250" s="105"/>
      <c r="M250" s="105"/>
      <c r="N250" s="105"/>
      <c r="O250" s="105"/>
      <c r="P250" s="106"/>
      <c r="Q250" s="106"/>
      <c r="R250" s="106"/>
      <c r="S250" s="107"/>
      <c r="T250" s="106"/>
      <c r="U250" s="106"/>
      <c r="V250" s="108"/>
      <c r="W250" s="108"/>
      <c r="X250" s="108"/>
      <c r="Y250" s="108"/>
      <c r="Z250" s="109"/>
      <c r="AA250" s="109"/>
      <c r="AB250" s="109"/>
      <c r="AC250" s="109"/>
      <c r="AD250" s="110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1"/>
      <c r="AR250" s="110"/>
      <c r="AS250" s="111"/>
      <c r="AT250" s="112"/>
      <c r="AU250" s="112"/>
      <c r="AV250" s="112"/>
      <c r="AW250" s="112"/>
      <c r="AX250" s="112"/>
      <c r="AY250" s="112"/>
      <c r="AZ250" s="112"/>
      <c r="BA250" s="112"/>
      <c r="BB250" s="112"/>
      <c r="BC250" s="112"/>
      <c r="BD250" s="113"/>
      <c r="BE250" s="114"/>
      <c r="BF250" s="115"/>
      <c r="BG250" s="115"/>
      <c r="BH250" s="116" t="str">
        <f t="shared" si="10"/>
        <v/>
      </c>
      <c r="BI250" s="116" t="str">
        <f t="shared" si="11"/>
        <v/>
      </c>
      <c r="BJ250" s="116" t="str">
        <f>IF(AND($A250&lt;&gt;"",$D250=반별조회!$C$5),COUNTIFS($A$3:$A250,"&lt;&gt;",$D$3:$D250,반별조회!$C$5),"")</f>
        <v/>
      </c>
    </row>
    <row r="251" spans="1:62" ht="15" customHeight="1">
      <c r="A251" s="102"/>
      <c r="B251" s="102"/>
      <c r="C251" s="102"/>
      <c r="D251" s="101"/>
      <c r="E251" s="105"/>
      <c r="F251" s="105" t="str">
        <f t="shared" ca="1" si="9"/>
        <v/>
      </c>
      <c r="G251" s="105"/>
      <c r="H251" s="105"/>
      <c r="I251" s="105"/>
      <c r="J251" s="105"/>
      <c r="K251" s="105"/>
      <c r="L251" s="105"/>
      <c r="M251" s="105"/>
      <c r="N251" s="105"/>
      <c r="O251" s="105"/>
      <c r="P251" s="106"/>
      <c r="Q251" s="106"/>
      <c r="R251" s="106"/>
      <c r="S251" s="107"/>
      <c r="T251" s="106"/>
      <c r="U251" s="106"/>
      <c r="V251" s="108"/>
      <c r="W251" s="108"/>
      <c r="X251" s="108"/>
      <c r="Y251" s="108"/>
      <c r="Z251" s="109"/>
      <c r="AA251" s="109"/>
      <c r="AB251" s="109"/>
      <c r="AC251" s="109"/>
      <c r="AD251" s="110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1"/>
      <c r="AR251" s="110"/>
      <c r="AS251" s="111"/>
      <c r="AT251" s="112"/>
      <c r="AU251" s="112"/>
      <c r="AV251" s="112"/>
      <c r="AW251" s="112"/>
      <c r="AX251" s="112"/>
      <c r="AY251" s="112"/>
      <c r="AZ251" s="112"/>
      <c r="BA251" s="112"/>
      <c r="BB251" s="112"/>
      <c r="BC251" s="112"/>
      <c r="BD251" s="113"/>
      <c r="BE251" s="114"/>
      <c r="BF251" s="115"/>
      <c r="BG251" s="115"/>
      <c r="BH251" s="116" t="str">
        <f t="shared" si="10"/>
        <v/>
      </c>
      <c r="BI251" s="116" t="str">
        <f t="shared" si="11"/>
        <v/>
      </c>
      <c r="BJ251" s="116" t="str">
        <f>IF(AND($A251&lt;&gt;"",$D251=반별조회!$C$5),COUNTIFS($A$3:$A251,"&lt;&gt;",$D$3:$D251,반별조회!$C$5),"")</f>
        <v/>
      </c>
    </row>
    <row r="252" spans="1:62" ht="15" customHeight="1">
      <c r="A252" s="102"/>
      <c r="B252" s="102"/>
      <c r="C252" s="102"/>
      <c r="D252" s="101"/>
      <c r="E252" s="105"/>
      <c r="F252" s="105" t="str">
        <f t="shared" ca="1" si="9"/>
        <v/>
      </c>
      <c r="G252" s="105"/>
      <c r="H252" s="105"/>
      <c r="I252" s="105"/>
      <c r="J252" s="105"/>
      <c r="K252" s="105"/>
      <c r="L252" s="105"/>
      <c r="M252" s="105"/>
      <c r="N252" s="105"/>
      <c r="O252" s="105"/>
      <c r="P252" s="106"/>
      <c r="Q252" s="106"/>
      <c r="R252" s="106"/>
      <c r="S252" s="107"/>
      <c r="T252" s="106"/>
      <c r="U252" s="106"/>
      <c r="V252" s="108"/>
      <c r="W252" s="108"/>
      <c r="X252" s="108"/>
      <c r="Y252" s="108"/>
      <c r="Z252" s="109"/>
      <c r="AA252" s="109"/>
      <c r="AB252" s="109"/>
      <c r="AC252" s="109"/>
      <c r="AD252" s="110"/>
      <c r="AE252" s="110"/>
      <c r="AF252" s="110"/>
      <c r="AG252" s="110"/>
      <c r="AH252" s="110"/>
      <c r="AI252" s="110"/>
      <c r="AJ252" s="110"/>
      <c r="AK252" s="110"/>
      <c r="AL252" s="110"/>
      <c r="AM252" s="110"/>
      <c r="AN252" s="110"/>
      <c r="AO252" s="110"/>
      <c r="AP252" s="110"/>
      <c r="AQ252" s="111"/>
      <c r="AR252" s="110"/>
      <c r="AS252" s="111"/>
      <c r="AT252" s="112"/>
      <c r="AU252" s="112"/>
      <c r="AV252" s="112"/>
      <c r="AW252" s="112"/>
      <c r="AX252" s="112"/>
      <c r="AY252" s="112"/>
      <c r="AZ252" s="112"/>
      <c r="BA252" s="112"/>
      <c r="BB252" s="112"/>
      <c r="BC252" s="112"/>
      <c r="BD252" s="113"/>
      <c r="BE252" s="114"/>
      <c r="BF252" s="115"/>
      <c r="BG252" s="115"/>
      <c r="BH252" s="116" t="str">
        <f t="shared" si="10"/>
        <v/>
      </c>
      <c r="BI252" s="116" t="str">
        <f t="shared" si="11"/>
        <v/>
      </c>
      <c r="BJ252" s="116" t="str">
        <f>IF(AND($A252&lt;&gt;"",$D252=반별조회!$C$5),COUNTIFS($A$3:$A252,"&lt;&gt;",$D$3:$D252,반별조회!$C$5),"")</f>
        <v/>
      </c>
    </row>
    <row r="253" spans="1:62" ht="15" customHeight="1">
      <c r="A253" s="102"/>
      <c r="B253" s="102"/>
      <c r="C253" s="102"/>
      <c r="D253" s="101"/>
      <c r="E253" s="105"/>
      <c r="F253" s="105" t="str">
        <f t="shared" ca="1" si="9"/>
        <v/>
      </c>
      <c r="G253" s="105"/>
      <c r="H253" s="105"/>
      <c r="I253" s="105"/>
      <c r="J253" s="105"/>
      <c r="K253" s="105"/>
      <c r="L253" s="105"/>
      <c r="M253" s="105"/>
      <c r="N253" s="105"/>
      <c r="O253" s="105"/>
      <c r="P253" s="106"/>
      <c r="Q253" s="106"/>
      <c r="R253" s="106"/>
      <c r="S253" s="107"/>
      <c r="T253" s="106"/>
      <c r="U253" s="106"/>
      <c r="V253" s="108"/>
      <c r="W253" s="108"/>
      <c r="X253" s="108"/>
      <c r="Y253" s="108"/>
      <c r="Z253" s="109"/>
      <c r="AA253" s="109"/>
      <c r="AB253" s="109"/>
      <c r="AC253" s="109"/>
      <c r="AD253" s="110"/>
      <c r="AE253" s="110"/>
      <c r="AF253" s="110"/>
      <c r="AG253" s="110"/>
      <c r="AH253" s="110"/>
      <c r="AI253" s="110"/>
      <c r="AJ253" s="110"/>
      <c r="AK253" s="110"/>
      <c r="AL253" s="110"/>
      <c r="AM253" s="110"/>
      <c r="AN253" s="110"/>
      <c r="AO253" s="110"/>
      <c r="AP253" s="110"/>
      <c r="AQ253" s="111"/>
      <c r="AR253" s="110"/>
      <c r="AS253" s="111"/>
      <c r="AT253" s="112"/>
      <c r="AU253" s="112"/>
      <c r="AV253" s="112"/>
      <c r="AW253" s="112"/>
      <c r="AX253" s="112"/>
      <c r="AY253" s="112"/>
      <c r="AZ253" s="112"/>
      <c r="BA253" s="112"/>
      <c r="BB253" s="112"/>
      <c r="BC253" s="112"/>
      <c r="BD253" s="113"/>
      <c r="BE253" s="114"/>
      <c r="BF253" s="115"/>
      <c r="BG253" s="115"/>
      <c r="BH253" s="116" t="str">
        <f t="shared" si="10"/>
        <v/>
      </c>
      <c r="BI253" s="116" t="str">
        <f t="shared" si="11"/>
        <v/>
      </c>
      <c r="BJ253" s="116" t="str">
        <f>IF(AND($A253&lt;&gt;"",$D253=반별조회!$C$5),COUNTIFS($A$3:$A253,"&lt;&gt;",$D$3:$D253,반별조회!$C$5),"")</f>
        <v/>
      </c>
    </row>
    <row r="254" spans="1:62" ht="15" customHeight="1">
      <c r="A254" s="102"/>
      <c r="B254" s="102"/>
      <c r="C254" s="102"/>
      <c r="D254" s="101"/>
      <c r="E254" s="105"/>
      <c r="F254" s="105" t="str">
        <f t="shared" ca="1" si="9"/>
        <v/>
      </c>
      <c r="G254" s="105"/>
      <c r="H254" s="105"/>
      <c r="I254" s="105"/>
      <c r="J254" s="105"/>
      <c r="K254" s="105"/>
      <c r="L254" s="105"/>
      <c r="M254" s="105"/>
      <c r="N254" s="105"/>
      <c r="O254" s="105"/>
      <c r="P254" s="106"/>
      <c r="Q254" s="106"/>
      <c r="R254" s="106"/>
      <c r="S254" s="107"/>
      <c r="T254" s="106"/>
      <c r="U254" s="106"/>
      <c r="V254" s="108"/>
      <c r="W254" s="108"/>
      <c r="X254" s="108"/>
      <c r="Y254" s="108"/>
      <c r="Z254" s="109"/>
      <c r="AA254" s="109"/>
      <c r="AB254" s="109"/>
      <c r="AC254" s="109"/>
      <c r="AD254" s="110"/>
      <c r="AE254" s="110"/>
      <c r="AF254" s="110"/>
      <c r="AG254" s="110"/>
      <c r="AH254" s="110"/>
      <c r="AI254" s="110"/>
      <c r="AJ254" s="110"/>
      <c r="AK254" s="110"/>
      <c r="AL254" s="110"/>
      <c r="AM254" s="110"/>
      <c r="AN254" s="110"/>
      <c r="AO254" s="110"/>
      <c r="AP254" s="110"/>
      <c r="AQ254" s="111"/>
      <c r="AR254" s="110"/>
      <c r="AS254" s="111"/>
      <c r="AT254" s="112"/>
      <c r="AU254" s="112"/>
      <c r="AV254" s="112"/>
      <c r="AW254" s="112"/>
      <c r="AX254" s="112"/>
      <c r="AY254" s="112"/>
      <c r="AZ254" s="112"/>
      <c r="BA254" s="112"/>
      <c r="BB254" s="112"/>
      <c r="BC254" s="112"/>
      <c r="BD254" s="113"/>
      <c r="BE254" s="114"/>
      <c r="BF254" s="115"/>
      <c r="BG254" s="115"/>
      <c r="BH254" s="116" t="str">
        <f t="shared" si="10"/>
        <v/>
      </c>
      <c r="BI254" s="116" t="str">
        <f t="shared" si="11"/>
        <v/>
      </c>
      <c r="BJ254" s="116" t="str">
        <f>IF(AND($A254&lt;&gt;"",$D254=반별조회!$C$5),COUNTIFS($A$3:$A254,"&lt;&gt;",$D$3:$D254,반별조회!$C$5),"")</f>
        <v/>
      </c>
    </row>
    <row r="255" spans="1:62" ht="15" customHeight="1">
      <c r="A255" s="102"/>
      <c r="B255" s="102"/>
      <c r="C255" s="102"/>
      <c r="D255" s="101"/>
      <c r="E255" s="105"/>
      <c r="F255" s="105" t="str">
        <f t="shared" ca="1" si="9"/>
        <v/>
      </c>
      <c r="G255" s="105"/>
      <c r="H255" s="105"/>
      <c r="I255" s="105"/>
      <c r="J255" s="105"/>
      <c r="K255" s="105"/>
      <c r="L255" s="105"/>
      <c r="M255" s="105"/>
      <c r="N255" s="105"/>
      <c r="O255" s="105"/>
      <c r="P255" s="106"/>
      <c r="Q255" s="106"/>
      <c r="R255" s="106"/>
      <c r="S255" s="107"/>
      <c r="T255" s="106"/>
      <c r="U255" s="106"/>
      <c r="V255" s="108"/>
      <c r="W255" s="108"/>
      <c r="X255" s="108"/>
      <c r="Y255" s="108"/>
      <c r="Z255" s="109"/>
      <c r="AA255" s="109"/>
      <c r="AB255" s="109"/>
      <c r="AC255" s="109"/>
      <c r="AD255" s="110"/>
      <c r="AE255" s="110"/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1"/>
      <c r="AR255" s="110"/>
      <c r="AS255" s="111"/>
      <c r="AT255" s="112"/>
      <c r="AU255" s="112"/>
      <c r="AV255" s="112"/>
      <c r="AW255" s="112"/>
      <c r="AX255" s="112"/>
      <c r="AY255" s="112"/>
      <c r="AZ255" s="112"/>
      <c r="BA255" s="112"/>
      <c r="BB255" s="112"/>
      <c r="BC255" s="112"/>
      <c r="BD255" s="113"/>
      <c r="BE255" s="114"/>
      <c r="BF255" s="115"/>
      <c r="BG255" s="115"/>
      <c r="BH255" s="116" t="str">
        <f t="shared" si="10"/>
        <v/>
      </c>
      <c r="BI255" s="116" t="str">
        <f t="shared" si="11"/>
        <v/>
      </c>
      <c r="BJ255" s="116" t="str">
        <f>IF(AND($A255&lt;&gt;"",$D255=반별조회!$C$5),COUNTIFS($A$3:$A255,"&lt;&gt;",$D$3:$D255,반별조회!$C$5),"")</f>
        <v/>
      </c>
    </row>
    <row r="256" spans="1:62" ht="15" customHeight="1">
      <c r="A256" s="102"/>
      <c r="B256" s="102"/>
      <c r="C256" s="102"/>
      <c r="D256" s="101"/>
      <c r="E256" s="105"/>
      <c r="F256" s="105" t="str">
        <f t="shared" ca="1" si="9"/>
        <v/>
      </c>
      <c r="G256" s="105"/>
      <c r="H256" s="105"/>
      <c r="I256" s="105"/>
      <c r="J256" s="105"/>
      <c r="K256" s="105"/>
      <c r="L256" s="105"/>
      <c r="M256" s="105"/>
      <c r="N256" s="105"/>
      <c r="O256" s="105"/>
      <c r="P256" s="106"/>
      <c r="Q256" s="106"/>
      <c r="R256" s="106"/>
      <c r="S256" s="107"/>
      <c r="T256" s="106"/>
      <c r="U256" s="106"/>
      <c r="V256" s="108"/>
      <c r="W256" s="108"/>
      <c r="X256" s="108"/>
      <c r="Y256" s="108"/>
      <c r="Z256" s="109"/>
      <c r="AA256" s="109"/>
      <c r="AB256" s="109"/>
      <c r="AC256" s="109"/>
      <c r="AD256" s="110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1"/>
      <c r="AR256" s="110"/>
      <c r="AS256" s="111"/>
      <c r="AT256" s="112"/>
      <c r="AU256" s="112"/>
      <c r="AV256" s="112"/>
      <c r="AW256" s="112"/>
      <c r="AX256" s="112"/>
      <c r="AY256" s="112"/>
      <c r="AZ256" s="112"/>
      <c r="BA256" s="112"/>
      <c r="BB256" s="112"/>
      <c r="BC256" s="112"/>
      <c r="BD256" s="113"/>
      <c r="BE256" s="114"/>
      <c r="BF256" s="115"/>
      <c r="BG256" s="115"/>
      <c r="BH256" s="116" t="str">
        <f t="shared" si="10"/>
        <v/>
      </c>
      <c r="BI256" s="116" t="str">
        <f t="shared" si="11"/>
        <v/>
      </c>
      <c r="BJ256" s="116" t="str">
        <f>IF(AND($A256&lt;&gt;"",$D256=반별조회!$C$5),COUNTIFS($A$3:$A256,"&lt;&gt;",$D$3:$D256,반별조회!$C$5),"")</f>
        <v/>
      </c>
    </row>
    <row r="257" spans="1:62" ht="15" customHeight="1">
      <c r="A257" s="102"/>
      <c r="B257" s="102"/>
      <c r="C257" s="102"/>
      <c r="D257" s="101"/>
      <c r="E257" s="105"/>
      <c r="F257" s="105" t="str">
        <f t="shared" ca="1" si="9"/>
        <v/>
      </c>
      <c r="G257" s="105"/>
      <c r="H257" s="105"/>
      <c r="I257" s="105"/>
      <c r="J257" s="105"/>
      <c r="K257" s="105"/>
      <c r="L257" s="105"/>
      <c r="M257" s="105"/>
      <c r="N257" s="105"/>
      <c r="O257" s="105"/>
      <c r="P257" s="106"/>
      <c r="Q257" s="106"/>
      <c r="R257" s="106"/>
      <c r="S257" s="107"/>
      <c r="T257" s="106"/>
      <c r="U257" s="106"/>
      <c r="V257" s="108"/>
      <c r="W257" s="108"/>
      <c r="X257" s="108"/>
      <c r="Y257" s="108"/>
      <c r="Z257" s="109"/>
      <c r="AA257" s="109"/>
      <c r="AB257" s="109"/>
      <c r="AC257" s="109"/>
      <c r="AD257" s="110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1"/>
      <c r="AR257" s="110"/>
      <c r="AS257" s="111"/>
      <c r="AT257" s="112"/>
      <c r="AU257" s="112"/>
      <c r="AV257" s="112"/>
      <c r="AW257" s="112"/>
      <c r="AX257" s="112"/>
      <c r="AY257" s="112"/>
      <c r="AZ257" s="112"/>
      <c r="BA257" s="112"/>
      <c r="BB257" s="112"/>
      <c r="BC257" s="112"/>
      <c r="BD257" s="113"/>
      <c r="BE257" s="114"/>
      <c r="BF257" s="115"/>
      <c r="BG257" s="115"/>
      <c r="BH257" s="116" t="str">
        <f t="shared" si="10"/>
        <v/>
      </c>
      <c r="BI257" s="116" t="str">
        <f t="shared" si="11"/>
        <v/>
      </c>
      <c r="BJ257" s="116" t="str">
        <f>IF(AND($A257&lt;&gt;"",$D257=반별조회!$C$5),COUNTIFS($A$3:$A257,"&lt;&gt;",$D$3:$D257,반별조회!$C$5),"")</f>
        <v/>
      </c>
    </row>
    <row r="258" spans="1:62" ht="15" customHeight="1">
      <c r="A258" s="102"/>
      <c r="B258" s="102"/>
      <c r="C258" s="102"/>
      <c r="D258" s="101"/>
      <c r="E258" s="105"/>
      <c r="F258" s="105" t="str">
        <f t="shared" ca="1" si="9"/>
        <v/>
      </c>
      <c r="G258" s="105"/>
      <c r="H258" s="105"/>
      <c r="I258" s="105"/>
      <c r="J258" s="105"/>
      <c r="K258" s="105"/>
      <c r="L258" s="105"/>
      <c r="M258" s="105"/>
      <c r="N258" s="105"/>
      <c r="O258" s="105"/>
      <c r="P258" s="106"/>
      <c r="Q258" s="106"/>
      <c r="R258" s="106"/>
      <c r="S258" s="107"/>
      <c r="T258" s="106"/>
      <c r="U258" s="106"/>
      <c r="V258" s="108"/>
      <c r="W258" s="108"/>
      <c r="X258" s="108"/>
      <c r="Y258" s="108"/>
      <c r="Z258" s="109"/>
      <c r="AA258" s="109"/>
      <c r="AB258" s="109"/>
      <c r="AC258" s="109"/>
      <c r="AD258" s="110"/>
      <c r="AE258" s="110"/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1"/>
      <c r="AR258" s="110"/>
      <c r="AS258" s="111"/>
      <c r="AT258" s="112"/>
      <c r="AU258" s="112"/>
      <c r="AV258" s="112"/>
      <c r="AW258" s="112"/>
      <c r="AX258" s="112"/>
      <c r="AY258" s="112"/>
      <c r="AZ258" s="112"/>
      <c r="BA258" s="112"/>
      <c r="BB258" s="112"/>
      <c r="BC258" s="112"/>
      <c r="BD258" s="113"/>
      <c r="BE258" s="114"/>
      <c r="BF258" s="115"/>
      <c r="BG258" s="115"/>
      <c r="BH258" s="116" t="str">
        <f t="shared" si="10"/>
        <v/>
      </c>
      <c r="BI258" s="116" t="str">
        <f t="shared" si="11"/>
        <v/>
      </c>
      <c r="BJ258" s="116" t="str">
        <f>IF(AND($A258&lt;&gt;"",$D258=반별조회!$C$5),COUNTIFS($A$3:$A258,"&lt;&gt;",$D$3:$D258,반별조회!$C$5),"")</f>
        <v/>
      </c>
    </row>
    <row r="259" spans="1:62" ht="15" customHeight="1">
      <c r="A259" s="102"/>
      <c r="B259" s="102"/>
      <c r="C259" s="102"/>
      <c r="D259" s="101"/>
      <c r="E259" s="105"/>
      <c r="F259" s="105" t="str">
        <f t="shared" ref="F259:F322" ca="1" si="12">IF($E259="","",INT((TODAY()-$E259)/365.25))</f>
        <v/>
      </c>
      <c r="G259" s="105"/>
      <c r="H259" s="105"/>
      <c r="I259" s="105"/>
      <c r="J259" s="105"/>
      <c r="K259" s="105"/>
      <c r="L259" s="105"/>
      <c r="M259" s="105"/>
      <c r="N259" s="105"/>
      <c r="O259" s="105"/>
      <c r="P259" s="106"/>
      <c r="Q259" s="106"/>
      <c r="R259" s="106"/>
      <c r="S259" s="107"/>
      <c r="T259" s="106"/>
      <c r="U259" s="106"/>
      <c r="V259" s="108"/>
      <c r="W259" s="108"/>
      <c r="X259" s="108"/>
      <c r="Y259" s="108"/>
      <c r="Z259" s="109"/>
      <c r="AA259" s="109"/>
      <c r="AB259" s="109"/>
      <c r="AC259" s="109"/>
      <c r="AD259" s="110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1"/>
      <c r="AR259" s="110"/>
      <c r="AS259" s="111"/>
      <c r="AT259" s="112"/>
      <c r="AU259" s="112"/>
      <c r="AV259" s="112"/>
      <c r="AW259" s="112"/>
      <c r="AX259" s="112"/>
      <c r="AY259" s="112"/>
      <c r="AZ259" s="112"/>
      <c r="BA259" s="112"/>
      <c r="BB259" s="112"/>
      <c r="BC259" s="112"/>
      <c r="BD259" s="113"/>
      <c r="BE259" s="114"/>
      <c r="BF259" s="115"/>
      <c r="BG259" s="115"/>
      <c r="BH259" s="116" t="str">
        <f t="shared" ref="BH259:BH322" si="13">IF($A259="","","SYNK-"&amp;TEXT(ROW()-2,"000"))</f>
        <v/>
      </c>
      <c r="BI259" s="116" t="str">
        <f t="shared" ref="BI259:BI322" si="14">IF(A259="","",TRIM(IF(AA259="거절","⚠비자거절 ","")&amp;IF(AS259="설득필요","⚠가족설득필요 ","")&amp;IF(AND(W259="5~6급",OR(S259="완전초보",S259="기초")),"⚠목표-수준괴리 ","")&amp;IF(AND(AQ259="빠듯함",AS259="설득필요"),"⚠재정리스크 ","")))</f>
        <v/>
      </c>
      <c r="BJ259" s="116" t="str">
        <f>IF(AND($A259&lt;&gt;"",$D259=반별조회!$C$5),COUNTIFS($A$3:$A259,"&lt;&gt;",$D$3:$D259,반별조회!$C$5),"")</f>
        <v/>
      </c>
    </row>
    <row r="260" spans="1:62" ht="15" customHeight="1">
      <c r="A260" s="102"/>
      <c r="B260" s="102"/>
      <c r="C260" s="102"/>
      <c r="D260" s="101"/>
      <c r="E260" s="105"/>
      <c r="F260" s="105" t="str">
        <f t="shared" ca="1" si="12"/>
        <v/>
      </c>
      <c r="G260" s="105"/>
      <c r="H260" s="105"/>
      <c r="I260" s="105"/>
      <c r="J260" s="105"/>
      <c r="K260" s="105"/>
      <c r="L260" s="105"/>
      <c r="M260" s="105"/>
      <c r="N260" s="105"/>
      <c r="O260" s="105"/>
      <c r="P260" s="106"/>
      <c r="Q260" s="106"/>
      <c r="R260" s="106"/>
      <c r="S260" s="107"/>
      <c r="T260" s="106"/>
      <c r="U260" s="106"/>
      <c r="V260" s="108"/>
      <c r="W260" s="108"/>
      <c r="X260" s="108"/>
      <c r="Y260" s="108"/>
      <c r="Z260" s="109"/>
      <c r="AA260" s="109"/>
      <c r="AB260" s="109"/>
      <c r="AC260" s="109"/>
      <c r="AD260" s="110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1"/>
      <c r="AR260" s="110"/>
      <c r="AS260" s="111"/>
      <c r="AT260" s="112"/>
      <c r="AU260" s="112"/>
      <c r="AV260" s="112"/>
      <c r="AW260" s="112"/>
      <c r="AX260" s="112"/>
      <c r="AY260" s="112"/>
      <c r="AZ260" s="112"/>
      <c r="BA260" s="112"/>
      <c r="BB260" s="112"/>
      <c r="BC260" s="112"/>
      <c r="BD260" s="113"/>
      <c r="BE260" s="114"/>
      <c r="BF260" s="115"/>
      <c r="BG260" s="115"/>
      <c r="BH260" s="116" t="str">
        <f t="shared" si="13"/>
        <v/>
      </c>
      <c r="BI260" s="116" t="str">
        <f t="shared" si="14"/>
        <v/>
      </c>
      <c r="BJ260" s="116" t="str">
        <f>IF(AND($A260&lt;&gt;"",$D260=반별조회!$C$5),COUNTIFS($A$3:$A260,"&lt;&gt;",$D$3:$D260,반별조회!$C$5),"")</f>
        <v/>
      </c>
    </row>
    <row r="261" spans="1:62" ht="15" customHeight="1">
      <c r="A261" s="102"/>
      <c r="B261" s="102"/>
      <c r="C261" s="102"/>
      <c r="D261" s="101"/>
      <c r="E261" s="105"/>
      <c r="F261" s="105" t="str">
        <f t="shared" ca="1" si="12"/>
        <v/>
      </c>
      <c r="G261" s="105"/>
      <c r="H261" s="105"/>
      <c r="I261" s="105"/>
      <c r="J261" s="105"/>
      <c r="K261" s="105"/>
      <c r="L261" s="105"/>
      <c r="M261" s="105"/>
      <c r="N261" s="105"/>
      <c r="O261" s="105"/>
      <c r="P261" s="106"/>
      <c r="Q261" s="106"/>
      <c r="R261" s="106"/>
      <c r="S261" s="107"/>
      <c r="T261" s="106"/>
      <c r="U261" s="106"/>
      <c r="V261" s="108"/>
      <c r="W261" s="108"/>
      <c r="X261" s="108"/>
      <c r="Y261" s="108"/>
      <c r="Z261" s="109"/>
      <c r="AA261" s="109"/>
      <c r="AB261" s="109"/>
      <c r="AC261" s="109"/>
      <c r="AD261" s="110"/>
      <c r="AE261" s="110"/>
      <c r="AF261" s="110"/>
      <c r="AG261" s="110"/>
      <c r="AH261" s="110"/>
      <c r="AI261" s="110"/>
      <c r="AJ261" s="110"/>
      <c r="AK261" s="110"/>
      <c r="AL261" s="110"/>
      <c r="AM261" s="110"/>
      <c r="AN261" s="110"/>
      <c r="AO261" s="110"/>
      <c r="AP261" s="110"/>
      <c r="AQ261" s="111"/>
      <c r="AR261" s="110"/>
      <c r="AS261" s="111"/>
      <c r="AT261" s="112"/>
      <c r="AU261" s="112"/>
      <c r="AV261" s="112"/>
      <c r="AW261" s="112"/>
      <c r="AX261" s="112"/>
      <c r="AY261" s="112"/>
      <c r="AZ261" s="112"/>
      <c r="BA261" s="112"/>
      <c r="BB261" s="112"/>
      <c r="BC261" s="112"/>
      <c r="BD261" s="113"/>
      <c r="BE261" s="114"/>
      <c r="BF261" s="115"/>
      <c r="BG261" s="115"/>
      <c r="BH261" s="116" t="str">
        <f t="shared" si="13"/>
        <v/>
      </c>
      <c r="BI261" s="116" t="str">
        <f t="shared" si="14"/>
        <v/>
      </c>
      <c r="BJ261" s="116" t="str">
        <f>IF(AND($A261&lt;&gt;"",$D261=반별조회!$C$5),COUNTIFS($A$3:$A261,"&lt;&gt;",$D$3:$D261,반별조회!$C$5),"")</f>
        <v/>
      </c>
    </row>
    <row r="262" spans="1:62" ht="15" customHeight="1">
      <c r="A262" s="102"/>
      <c r="B262" s="102"/>
      <c r="C262" s="102"/>
      <c r="D262" s="101"/>
      <c r="E262" s="105"/>
      <c r="F262" s="105" t="str">
        <f t="shared" ca="1" si="12"/>
        <v/>
      </c>
      <c r="G262" s="105"/>
      <c r="H262" s="105"/>
      <c r="I262" s="105"/>
      <c r="J262" s="105"/>
      <c r="K262" s="105"/>
      <c r="L262" s="105"/>
      <c r="M262" s="105"/>
      <c r="N262" s="105"/>
      <c r="O262" s="105"/>
      <c r="P262" s="106"/>
      <c r="Q262" s="106"/>
      <c r="R262" s="106"/>
      <c r="S262" s="107"/>
      <c r="T262" s="106"/>
      <c r="U262" s="106"/>
      <c r="V262" s="108"/>
      <c r="W262" s="108"/>
      <c r="X262" s="108"/>
      <c r="Y262" s="108"/>
      <c r="Z262" s="109"/>
      <c r="AA262" s="109"/>
      <c r="AB262" s="109"/>
      <c r="AC262" s="109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1"/>
      <c r="AR262" s="110"/>
      <c r="AS262" s="111"/>
      <c r="AT262" s="112"/>
      <c r="AU262" s="112"/>
      <c r="AV262" s="112"/>
      <c r="AW262" s="112"/>
      <c r="AX262" s="112"/>
      <c r="AY262" s="112"/>
      <c r="AZ262" s="112"/>
      <c r="BA262" s="112"/>
      <c r="BB262" s="112"/>
      <c r="BC262" s="112"/>
      <c r="BD262" s="113"/>
      <c r="BE262" s="114"/>
      <c r="BF262" s="115"/>
      <c r="BG262" s="115"/>
      <c r="BH262" s="116" t="str">
        <f t="shared" si="13"/>
        <v/>
      </c>
      <c r="BI262" s="116" t="str">
        <f t="shared" si="14"/>
        <v/>
      </c>
      <c r="BJ262" s="116" t="str">
        <f>IF(AND($A262&lt;&gt;"",$D262=반별조회!$C$5),COUNTIFS($A$3:$A262,"&lt;&gt;",$D$3:$D262,반별조회!$C$5),"")</f>
        <v/>
      </c>
    </row>
    <row r="263" spans="1:62" ht="15" customHeight="1">
      <c r="A263" s="102"/>
      <c r="B263" s="102"/>
      <c r="C263" s="102"/>
      <c r="D263" s="101"/>
      <c r="E263" s="105"/>
      <c r="F263" s="105" t="str">
        <f t="shared" ca="1" si="12"/>
        <v/>
      </c>
      <c r="G263" s="105"/>
      <c r="H263" s="105"/>
      <c r="I263" s="105"/>
      <c r="J263" s="105"/>
      <c r="K263" s="105"/>
      <c r="L263" s="105"/>
      <c r="M263" s="105"/>
      <c r="N263" s="105"/>
      <c r="O263" s="105"/>
      <c r="P263" s="106"/>
      <c r="Q263" s="106"/>
      <c r="R263" s="106"/>
      <c r="S263" s="107"/>
      <c r="T263" s="106"/>
      <c r="U263" s="106"/>
      <c r="V263" s="108"/>
      <c r="W263" s="108"/>
      <c r="X263" s="108"/>
      <c r="Y263" s="108"/>
      <c r="Z263" s="109"/>
      <c r="AA263" s="109"/>
      <c r="AB263" s="109"/>
      <c r="AC263" s="109"/>
      <c r="AD263" s="110"/>
      <c r="AE263" s="110"/>
      <c r="AF263" s="110"/>
      <c r="AG263" s="110"/>
      <c r="AH263" s="110"/>
      <c r="AI263" s="110"/>
      <c r="AJ263" s="110"/>
      <c r="AK263" s="110"/>
      <c r="AL263" s="110"/>
      <c r="AM263" s="110"/>
      <c r="AN263" s="110"/>
      <c r="AO263" s="110"/>
      <c r="AP263" s="110"/>
      <c r="AQ263" s="111"/>
      <c r="AR263" s="110"/>
      <c r="AS263" s="111"/>
      <c r="AT263" s="112"/>
      <c r="AU263" s="112"/>
      <c r="AV263" s="112"/>
      <c r="AW263" s="112"/>
      <c r="AX263" s="112"/>
      <c r="AY263" s="112"/>
      <c r="AZ263" s="112"/>
      <c r="BA263" s="112"/>
      <c r="BB263" s="112"/>
      <c r="BC263" s="112"/>
      <c r="BD263" s="113"/>
      <c r="BE263" s="114"/>
      <c r="BF263" s="115"/>
      <c r="BG263" s="115"/>
      <c r="BH263" s="116" t="str">
        <f t="shared" si="13"/>
        <v/>
      </c>
      <c r="BI263" s="116" t="str">
        <f t="shared" si="14"/>
        <v/>
      </c>
      <c r="BJ263" s="116" t="str">
        <f>IF(AND($A263&lt;&gt;"",$D263=반별조회!$C$5),COUNTIFS($A$3:$A263,"&lt;&gt;",$D$3:$D263,반별조회!$C$5),"")</f>
        <v/>
      </c>
    </row>
    <row r="264" spans="1:62" ht="15" customHeight="1">
      <c r="A264" s="102"/>
      <c r="B264" s="102"/>
      <c r="C264" s="102"/>
      <c r="D264" s="101"/>
      <c r="E264" s="105"/>
      <c r="F264" s="105" t="str">
        <f t="shared" ca="1" si="12"/>
        <v/>
      </c>
      <c r="G264" s="105"/>
      <c r="H264" s="105"/>
      <c r="I264" s="105"/>
      <c r="J264" s="105"/>
      <c r="K264" s="105"/>
      <c r="L264" s="105"/>
      <c r="M264" s="105"/>
      <c r="N264" s="105"/>
      <c r="O264" s="105"/>
      <c r="P264" s="106"/>
      <c r="Q264" s="106"/>
      <c r="R264" s="106"/>
      <c r="S264" s="107"/>
      <c r="T264" s="106"/>
      <c r="U264" s="106"/>
      <c r="V264" s="108"/>
      <c r="W264" s="108"/>
      <c r="X264" s="108"/>
      <c r="Y264" s="108"/>
      <c r="Z264" s="109"/>
      <c r="AA264" s="109"/>
      <c r="AB264" s="109"/>
      <c r="AC264" s="109"/>
      <c r="AD264" s="110"/>
      <c r="AE264" s="110"/>
      <c r="AF264" s="110"/>
      <c r="AG264" s="110"/>
      <c r="AH264" s="110"/>
      <c r="AI264" s="110"/>
      <c r="AJ264" s="110"/>
      <c r="AK264" s="110"/>
      <c r="AL264" s="110"/>
      <c r="AM264" s="110"/>
      <c r="AN264" s="110"/>
      <c r="AO264" s="110"/>
      <c r="AP264" s="110"/>
      <c r="AQ264" s="111"/>
      <c r="AR264" s="110"/>
      <c r="AS264" s="111"/>
      <c r="AT264" s="112"/>
      <c r="AU264" s="112"/>
      <c r="AV264" s="112"/>
      <c r="AW264" s="112"/>
      <c r="AX264" s="112"/>
      <c r="AY264" s="112"/>
      <c r="AZ264" s="112"/>
      <c r="BA264" s="112"/>
      <c r="BB264" s="112"/>
      <c r="BC264" s="112"/>
      <c r="BD264" s="113"/>
      <c r="BE264" s="114"/>
      <c r="BF264" s="115"/>
      <c r="BG264" s="115"/>
      <c r="BH264" s="116" t="str">
        <f t="shared" si="13"/>
        <v/>
      </c>
      <c r="BI264" s="116" t="str">
        <f t="shared" si="14"/>
        <v/>
      </c>
      <c r="BJ264" s="116" t="str">
        <f>IF(AND($A264&lt;&gt;"",$D264=반별조회!$C$5),COUNTIFS($A$3:$A264,"&lt;&gt;",$D$3:$D264,반별조회!$C$5),"")</f>
        <v/>
      </c>
    </row>
    <row r="265" spans="1:62" ht="15" customHeight="1">
      <c r="A265" s="102"/>
      <c r="B265" s="102"/>
      <c r="C265" s="102"/>
      <c r="D265" s="101"/>
      <c r="E265" s="105"/>
      <c r="F265" s="105" t="str">
        <f t="shared" ca="1" si="12"/>
        <v/>
      </c>
      <c r="G265" s="105"/>
      <c r="H265" s="105"/>
      <c r="I265" s="105"/>
      <c r="J265" s="105"/>
      <c r="K265" s="105"/>
      <c r="L265" s="105"/>
      <c r="M265" s="105"/>
      <c r="N265" s="105"/>
      <c r="O265" s="105"/>
      <c r="P265" s="106"/>
      <c r="Q265" s="106"/>
      <c r="R265" s="106"/>
      <c r="S265" s="107"/>
      <c r="T265" s="106"/>
      <c r="U265" s="106"/>
      <c r="V265" s="108"/>
      <c r="W265" s="108"/>
      <c r="X265" s="108"/>
      <c r="Y265" s="108"/>
      <c r="Z265" s="109"/>
      <c r="AA265" s="109"/>
      <c r="AB265" s="109"/>
      <c r="AC265" s="109"/>
      <c r="AD265" s="110"/>
      <c r="AE265" s="110"/>
      <c r="AF265" s="110"/>
      <c r="AG265" s="110"/>
      <c r="AH265" s="110"/>
      <c r="AI265" s="110"/>
      <c r="AJ265" s="110"/>
      <c r="AK265" s="110"/>
      <c r="AL265" s="110"/>
      <c r="AM265" s="110"/>
      <c r="AN265" s="110"/>
      <c r="AO265" s="110"/>
      <c r="AP265" s="110"/>
      <c r="AQ265" s="111"/>
      <c r="AR265" s="110"/>
      <c r="AS265" s="111"/>
      <c r="AT265" s="112"/>
      <c r="AU265" s="112"/>
      <c r="AV265" s="112"/>
      <c r="AW265" s="112"/>
      <c r="AX265" s="112"/>
      <c r="AY265" s="112"/>
      <c r="AZ265" s="112"/>
      <c r="BA265" s="112"/>
      <c r="BB265" s="112"/>
      <c r="BC265" s="112"/>
      <c r="BD265" s="113"/>
      <c r="BE265" s="114"/>
      <c r="BF265" s="115"/>
      <c r="BG265" s="115"/>
      <c r="BH265" s="116" t="str">
        <f t="shared" si="13"/>
        <v/>
      </c>
      <c r="BI265" s="116" t="str">
        <f t="shared" si="14"/>
        <v/>
      </c>
      <c r="BJ265" s="116" t="str">
        <f>IF(AND($A265&lt;&gt;"",$D265=반별조회!$C$5),COUNTIFS($A$3:$A265,"&lt;&gt;",$D$3:$D265,반별조회!$C$5),"")</f>
        <v/>
      </c>
    </row>
    <row r="266" spans="1:62" ht="15" customHeight="1">
      <c r="A266" s="102"/>
      <c r="B266" s="102"/>
      <c r="C266" s="102"/>
      <c r="D266" s="101"/>
      <c r="E266" s="105"/>
      <c r="F266" s="105" t="str">
        <f t="shared" ca="1" si="12"/>
        <v/>
      </c>
      <c r="G266" s="105"/>
      <c r="H266" s="105"/>
      <c r="I266" s="105"/>
      <c r="J266" s="105"/>
      <c r="K266" s="105"/>
      <c r="L266" s="105"/>
      <c r="M266" s="105"/>
      <c r="N266" s="105"/>
      <c r="O266" s="105"/>
      <c r="P266" s="106"/>
      <c r="Q266" s="106"/>
      <c r="R266" s="106"/>
      <c r="S266" s="107"/>
      <c r="T266" s="106"/>
      <c r="U266" s="106"/>
      <c r="V266" s="108"/>
      <c r="W266" s="108"/>
      <c r="X266" s="108"/>
      <c r="Y266" s="108"/>
      <c r="Z266" s="109"/>
      <c r="AA266" s="109"/>
      <c r="AB266" s="109"/>
      <c r="AC266" s="109"/>
      <c r="AD266" s="110"/>
      <c r="AE266" s="110"/>
      <c r="AF266" s="110"/>
      <c r="AG266" s="110"/>
      <c r="AH266" s="110"/>
      <c r="AI266" s="110"/>
      <c r="AJ266" s="110"/>
      <c r="AK266" s="110"/>
      <c r="AL266" s="110"/>
      <c r="AM266" s="110"/>
      <c r="AN266" s="110"/>
      <c r="AO266" s="110"/>
      <c r="AP266" s="110"/>
      <c r="AQ266" s="111"/>
      <c r="AR266" s="110"/>
      <c r="AS266" s="111"/>
      <c r="AT266" s="112"/>
      <c r="AU266" s="112"/>
      <c r="AV266" s="112"/>
      <c r="AW266" s="112"/>
      <c r="AX266" s="112"/>
      <c r="AY266" s="112"/>
      <c r="AZ266" s="112"/>
      <c r="BA266" s="112"/>
      <c r="BB266" s="112"/>
      <c r="BC266" s="112"/>
      <c r="BD266" s="113"/>
      <c r="BE266" s="114"/>
      <c r="BF266" s="115"/>
      <c r="BG266" s="115"/>
      <c r="BH266" s="116" t="str">
        <f t="shared" si="13"/>
        <v/>
      </c>
      <c r="BI266" s="116" t="str">
        <f t="shared" si="14"/>
        <v/>
      </c>
      <c r="BJ266" s="116" t="str">
        <f>IF(AND($A266&lt;&gt;"",$D266=반별조회!$C$5),COUNTIFS($A$3:$A266,"&lt;&gt;",$D$3:$D266,반별조회!$C$5),"")</f>
        <v/>
      </c>
    </row>
    <row r="267" spans="1:62" ht="15" customHeight="1">
      <c r="A267" s="102"/>
      <c r="B267" s="102"/>
      <c r="C267" s="102"/>
      <c r="D267" s="101"/>
      <c r="E267" s="105"/>
      <c r="F267" s="105" t="str">
        <f t="shared" ca="1" si="12"/>
        <v/>
      </c>
      <c r="G267" s="105"/>
      <c r="H267" s="105"/>
      <c r="I267" s="105"/>
      <c r="J267" s="105"/>
      <c r="K267" s="105"/>
      <c r="L267" s="105"/>
      <c r="M267" s="105"/>
      <c r="N267" s="105"/>
      <c r="O267" s="105"/>
      <c r="P267" s="106"/>
      <c r="Q267" s="106"/>
      <c r="R267" s="106"/>
      <c r="S267" s="107"/>
      <c r="T267" s="106"/>
      <c r="U267" s="106"/>
      <c r="V267" s="108"/>
      <c r="W267" s="108"/>
      <c r="X267" s="108"/>
      <c r="Y267" s="108"/>
      <c r="Z267" s="109"/>
      <c r="AA267" s="109"/>
      <c r="AB267" s="109"/>
      <c r="AC267" s="109"/>
      <c r="AD267" s="110"/>
      <c r="AE267" s="110"/>
      <c r="AF267" s="110"/>
      <c r="AG267" s="110"/>
      <c r="AH267" s="110"/>
      <c r="AI267" s="110"/>
      <c r="AJ267" s="110"/>
      <c r="AK267" s="110"/>
      <c r="AL267" s="110"/>
      <c r="AM267" s="110"/>
      <c r="AN267" s="110"/>
      <c r="AO267" s="110"/>
      <c r="AP267" s="110"/>
      <c r="AQ267" s="111"/>
      <c r="AR267" s="110"/>
      <c r="AS267" s="111"/>
      <c r="AT267" s="112"/>
      <c r="AU267" s="112"/>
      <c r="AV267" s="112"/>
      <c r="AW267" s="112"/>
      <c r="AX267" s="112"/>
      <c r="AY267" s="112"/>
      <c r="AZ267" s="112"/>
      <c r="BA267" s="112"/>
      <c r="BB267" s="112"/>
      <c r="BC267" s="112"/>
      <c r="BD267" s="113"/>
      <c r="BE267" s="114"/>
      <c r="BF267" s="115"/>
      <c r="BG267" s="115"/>
      <c r="BH267" s="116" t="str">
        <f t="shared" si="13"/>
        <v/>
      </c>
      <c r="BI267" s="116" t="str">
        <f t="shared" si="14"/>
        <v/>
      </c>
      <c r="BJ267" s="116" t="str">
        <f>IF(AND($A267&lt;&gt;"",$D267=반별조회!$C$5),COUNTIFS($A$3:$A267,"&lt;&gt;",$D$3:$D267,반별조회!$C$5),"")</f>
        <v/>
      </c>
    </row>
    <row r="268" spans="1:62" ht="15" customHeight="1">
      <c r="A268" s="102"/>
      <c r="B268" s="102"/>
      <c r="C268" s="102"/>
      <c r="D268" s="101"/>
      <c r="E268" s="105"/>
      <c r="F268" s="105" t="str">
        <f t="shared" ca="1" si="12"/>
        <v/>
      </c>
      <c r="G268" s="105"/>
      <c r="H268" s="105"/>
      <c r="I268" s="105"/>
      <c r="J268" s="105"/>
      <c r="K268" s="105"/>
      <c r="L268" s="105"/>
      <c r="M268" s="105"/>
      <c r="N268" s="105"/>
      <c r="O268" s="105"/>
      <c r="P268" s="106"/>
      <c r="Q268" s="106"/>
      <c r="R268" s="106"/>
      <c r="S268" s="107"/>
      <c r="T268" s="106"/>
      <c r="U268" s="106"/>
      <c r="V268" s="108"/>
      <c r="W268" s="108"/>
      <c r="X268" s="108"/>
      <c r="Y268" s="108"/>
      <c r="Z268" s="109"/>
      <c r="AA268" s="109"/>
      <c r="AB268" s="109"/>
      <c r="AC268" s="109"/>
      <c r="AD268" s="110"/>
      <c r="AE268" s="110"/>
      <c r="AF268" s="110"/>
      <c r="AG268" s="110"/>
      <c r="AH268" s="110"/>
      <c r="AI268" s="110"/>
      <c r="AJ268" s="110"/>
      <c r="AK268" s="110"/>
      <c r="AL268" s="110"/>
      <c r="AM268" s="110"/>
      <c r="AN268" s="110"/>
      <c r="AO268" s="110"/>
      <c r="AP268" s="110"/>
      <c r="AQ268" s="111"/>
      <c r="AR268" s="110"/>
      <c r="AS268" s="111"/>
      <c r="AT268" s="112"/>
      <c r="AU268" s="112"/>
      <c r="AV268" s="112"/>
      <c r="AW268" s="112"/>
      <c r="AX268" s="112"/>
      <c r="AY268" s="112"/>
      <c r="AZ268" s="112"/>
      <c r="BA268" s="112"/>
      <c r="BB268" s="112"/>
      <c r="BC268" s="112"/>
      <c r="BD268" s="113"/>
      <c r="BE268" s="114"/>
      <c r="BF268" s="115"/>
      <c r="BG268" s="115"/>
      <c r="BH268" s="116" t="str">
        <f t="shared" si="13"/>
        <v/>
      </c>
      <c r="BI268" s="116" t="str">
        <f t="shared" si="14"/>
        <v/>
      </c>
      <c r="BJ268" s="116" t="str">
        <f>IF(AND($A268&lt;&gt;"",$D268=반별조회!$C$5),COUNTIFS($A$3:$A268,"&lt;&gt;",$D$3:$D268,반별조회!$C$5),"")</f>
        <v/>
      </c>
    </row>
    <row r="269" spans="1:62" ht="15" customHeight="1">
      <c r="A269" s="102"/>
      <c r="B269" s="102"/>
      <c r="C269" s="102"/>
      <c r="D269" s="101"/>
      <c r="E269" s="105"/>
      <c r="F269" s="105" t="str">
        <f t="shared" ca="1" si="12"/>
        <v/>
      </c>
      <c r="G269" s="105"/>
      <c r="H269" s="105"/>
      <c r="I269" s="105"/>
      <c r="J269" s="105"/>
      <c r="K269" s="105"/>
      <c r="L269" s="105"/>
      <c r="M269" s="105"/>
      <c r="N269" s="105"/>
      <c r="O269" s="105"/>
      <c r="P269" s="106"/>
      <c r="Q269" s="106"/>
      <c r="R269" s="106"/>
      <c r="S269" s="107"/>
      <c r="T269" s="106"/>
      <c r="U269" s="106"/>
      <c r="V269" s="108"/>
      <c r="W269" s="108"/>
      <c r="X269" s="108"/>
      <c r="Y269" s="108"/>
      <c r="Z269" s="109"/>
      <c r="AA269" s="109"/>
      <c r="AB269" s="109"/>
      <c r="AC269" s="109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1"/>
      <c r="AR269" s="110"/>
      <c r="AS269" s="111"/>
      <c r="AT269" s="112"/>
      <c r="AU269" s="112"/>
      <c r="AV269" s="112"/>
      <c r="AW269" s="112"/>
      <c r="AX269" s="112"/>
      <c r="AY269" s="112"/>
      <c r="AZ269" s="112"/>
      <c r="BA269" s="112"/>
      <c r="BB269" s="112"/>
      <c r="BC269" s="112"/>
      <c r="BD269" s="113"/>
      <c r="BE269" s="114"/>
      <c r="BF269" s="115"/>
      <c r="BG269" s="115"/>
      <c r="BH269" s="116" t="str">
        <f t="shared" si="13"/>
        <v/>
      </c>
      <c r="BI269" s="116" t="str">
        <f t="shared" si="14"/>
        <v/>
      </c>
      <c r="BJ269" s="116" t="str">
        <f>IF(AND($A269&lt;&gt;"",$D269=반별조회!$C$5),COUNTIFS($A$3:$A269,"&lt;&gt;",$D$3:$D269,반별조회!$C$5),"")</f>
        <v/>
      </c>
    </row>
    <row r="270" spans="1:62" ht="15" customHeight="1">
      <c r="A270" s="102"/>
      <c r="B270" s="102"/>
      <c r="C270" s="102"/>
      <c r="D270" s="101"/>
      <c r="E270" s="105"/>
      <c r="F270" s="105" t="str">
        <f t="shared" ca="1" si="12"/>
        <v/>
      </c>
      <c r="G270" s="105"/>
      <c r="H270" s="105"/>
      <c r="I270" s="105"/>
      <c r="J270" s="105"/>
      <c r="K270" s="105"/>
      <c r="L270" s="105"/>
      <c r="M270" s="105"/>
      <c r="N270" s="105"/>
      <c r="O270" s="105"/>
      <c r="P270" s="106"/>
      <c r="Q270" s="106"/>
      <c r="R270" s="106"/>
      <c r="S270" s="107"/>
      <c r="T270" s="106"/>
      <c r="U270" s="106"/>
      <c r="V270" s="108"/>
      <c r="W270" s="108"/>
      <c r="X270" s="108"/>
      <c r="Y270" s="108"/>
      <c r="Z270" s="109"/>
      <c r="AA270" s="109"/>
      <c r="AB270" s="109"/>
      <c r="AC270" s="109"/>
      <c r="AD270" s="110"/>
      <c r="AE270" s="110"/>
      <c r="AF270" s="110"/>
      <c r="AG270" s="110"/>
      <c r="AH270" s="110"/>
      <c r="AI270" s="110"/>
      <c r="AJ270" s="110"/>
      <c r="AK270" s="110"/>
      <c r="AL270" s="110"/>
      <c r="AM270" s="110"/>
      <c r="AN270" s="110"/>
      <c r="AO270" s="110"/>
      <c r="AP270" s="110"/>
      <c r="AQ270" s="111"/>
      <c r="AR270" s="110"/>
      <c r="AS270" s="111"/>
      <c r="AT270" s="112"/>
      <c r="AU270" s="112"/>
      <c r="AV270" s="112"/>
      <c r="AW270" s="112"/>
      <c r="AX270" s="112"/>
      <c r="AY270" s="112"/>
      <c r="AZ270" s="112"/>
      <c r="BA270" s="112"/>
      <c r="BB270" s="112"/>
      <c r="BC270" s="112"/>
      <c r="BD270" s="113"/>
      <c r="BE270" s="114"/>
      <c r="BF270" s="115"/>
      <c r="BG270" s="115"/>
      <c r="BH270" s="116" t="str">
        <f t="shared" si="13"/>
        <v/>
      </c>
      <c r="BI270" s="116" t="str">
        <f t="shared" si="14"/>
        <v/>
      </c>
      <c r="BJ270" s="116" t="str">
        <f>IF(AND($A270&lt;&gt;"",$D270=반별조회!$C$5),COUNTIFS($A$3:$A270,"&lt;&gt;",$D$3:$D270,반별조회!$C$5),"")</f>
        <v/>
      </c>
    </row>
    <row r="271" spans="1:62" ht="15" customHeight="1">
      <c r="A271" s="102"/>
      <c r="B271" s="102"/>
      <c r="C271" s="102"/>
      <c r="D271" s="101"/>
      <c r="E271" s="105"/>
      <c r="F271" s="105" t="str">
        <f t="shared" ca="1" si="12"/>
        <v/>
      </c>
      <c r="G271" s="105"/>
      <c r="H271" s="105"/>
      <c r="I271" s="105"/>
      <c r="J271" s="105"/>
      <c r="K271" s="105"/>
      <c r="L271" s="105"/>
      <c r="M271" s="105"/>
      <c r="N271" s="105"/>
      <c r="O271" s="105"/>
      <c r="P271" s="106"/>
      <c r="Q271" s="106"/>
      <c r="R271" s="106"/>
      <c r="S271" s="107"/>
      <c r="T271" s="106"/>
      <c r="U271" s="106"/>
      <c r="V271" s="108"/>
      <c r="W271" s="108"/>
      <c r="X271" s="108"/>
      <c r="Y271" s="108"/>
      <c r="Z271" s="109"/>
      <c r="AA271" s="109"/>
      <c r="AB271" s="109"/>
      <c r="AC271" s="109"/>
      <c r="AD271" s="110"/>
      <c r="AE271" s="110"/>
      <c r="AF271" s="110"/>
      <c r="AG271" s="110"/>
      <c r="AH271" s="110"/>
      <c r="AI271" s="110"/>
      <c r="AJ271" s="110"/>
      <c r="AK271" s="110"/>
      <c r="AL271" s="110"/>
      <c r="AM271" s="110"/>
      <c r="AN271" s="110"/>
      <c r="AO271" s="110"/>
      <c r="AP271" s="110"/>
      <c r="AQ271" s="111"/>
      <c r="AR271" s="110"/>
      <c r="AS271" s="111"/>
      <c r="AT271" s="112"/>
      <c r="AU271" s="112"/>
      <c r="AV271" s="112"/>
      <c r="AW271" s="112"/>
      <c r="AX271" s="112"/>
      <c r="AY271" s="112"/>
      <c r="AZ271" s="112"/>
      <c r="BA271" s="112"/>
      <c r="BB271" s="112"/>
      <c r="BC271" s="112"/>
      <c r="BD271" s="113"/>
      <c r="BE271" s="114"/>
      <c r="BF271" s="115"/>
      <c r="BG271" s="115"/>
      <c r="BH271" s="116" t="str">
        <f t="shared" si="13"/>
        <v/>
      </c>
      <c r="BI271" s="116" t="str">
        <f t="shared" si="14"/>
        <v/>
      </c>
      <c r="BJ271" s="116" t="str">
        <f>IF(AND($A271&lt;&gt;"",$D271=반별조회!$C$5),COUNTIFS($A$3:$A271,"&lt;&gt;",$D$3:$D271,반별조회!$C$5),"")</f>
        <v/>
      </c>
    </row>
    <row r="272" spans="1:62" ht="15" customHeight="1">
      <c r="A272" s="102"/>
      <c r="B272" s="102"/>
      <c r="C272" s="102"/>
      <c r="D272" s="101"/>
      <c r="E272" s="105"/>
      <c r="F272" s="105" t="str">
        <f t="shared" ca="1" si="12"/>
        <v/>
      </c>
      <c r="G272" s="105"/>
      <c r="H272" s="105"/>
      <c r="I272" s="105"/>
      <c r="J272" s="105"/>
      <c r="K272" s="105"/>
      <c r="L272" s="105"/>
      <c r="M272" s="105"/>
      <c r="N272" s="105"/>
      <c r="O272" s="105"/>
      <c r="P272" s="106"/>
      <c r="Q272" s="106"/>
      <c r="R272" s="106"/>
      <c r="S272" s="107"/>
      <c r="T272" s="106"/>
      <c r="U272" s="106"/>
      <c r="V272" s="108"/>
      <c r="W272" s="108"/>
      <c r="X272" s="108"/>
      <c r="Y272" s="108"/>
      <c r="Z272" s="109"/>
      <c r="AA272" s="109"/>
      <c r="AB272" s="109"/>
      <c r="AC272" s="109"/>
      <c r="AD272" s="110"/>
      <c r="AE272" s="110"/>
      <c r="AF272" s="110"/>
      <c r="AG272" s="110"/>
      <c r="AH272" s="110"/>
      <c r="AI272" s="110"/>
      <c r="AJ272" s="110"/>
      <c r="AK272" s="110"/>
      <c r="AL272" s="110"/>
      <c r="AM272" s="110"/>
      <c r="AN272" s="110"/>
      <c r="AO272" s="110"/>
      <c r="AP272" s="110"/>
      <c r="AQ272" s="111"/>
      <c r="AR272" s="110"/>
      <c r="AS272" s="111"/>
      <c r="AT272" s="112"/>
      <c r="AU272" s="112"/>
      <c r="AV272" s="112"/>
      <c r="AW272" s="112"/>
      <c r="AX272" s="112"/>
      <c r="AY272" s="112"/>
      <c r="AZ272" s="112"/>
      <c r="BA272" s="112"/>
      <c r="BB272" s="112"/>
      <c r="BC272" s="112"/>
      <c r="BD272" s="113"/>
      <c r="BE272" s="114"/>
      <c r="BF272" s="115"/>
      <c r="BG272" s="115"/>
      <c r="BH272" s="116" t="str">
        <f t="shared" si="13"/>
        <v/>
      </c>
      <c r="BI272" s="116" t="str">
        <f t="shared" si="14"/>
        <v/>
      </c>
      <c r="BJ272" s="116" t="str">
        <f>IF(AND($A272&lt;&gt;"",$D272=반별조회!$C$5),COUNTIFS($A$3:$A272,"&lt;&gt;",$D$3:$D272,반별조회!$C$5),"")</f>
        <v/>
      </c>
    </row>
    <row r="273" spans="1:62" ht="15" customHeight="1">
      <c r="A273" s="102"/>
      <c r="B273" s="102"/>
      <c r="C273" s="102"/>
      <c r="D273" s="101"/>
      <c r="E273" s="105"/>
      <c r="F273" s="105" t="str">
        <f t="shared" ca="1" si="12"/>
        <v/>
      </c>
      <c r="G273" s="105"/>
      <c r="H273" s="105"/>
      <c r="I273" s="105"/>
      <c r="J273" s="105"/>
      <c r="K273" s="105"/>
      <c r="L273" s="105"/>
      <c r="M273" s="105"/>
      <c r="N273" s="105"/>
      <c r="O273" s="105"/>
      <c r="P273" s="106"/>
      <c r="Q273" s="106"/>
      <c r="R273" s="106"/>
      <c r="S273" s="107"/>
      <c r="T273" s="106"/>
      <c r="U273" s="106"/>
      <c r="V273" s="108"/>
      <c r="W273" s="108"/>
      <c r="X273" s="108"/>
      <c r="Y273" s="108"/>
      <c r="Z273" s="109"/>
      <c r="AA273" s="109"/>
      <c r="AB273" s="109"/>
      <c r="AC273" s="109"/>
      <c r="AD273" s="110"/>
      <c r="AE273" s="110"/>
      <c r="AF273" s="110"/>
      <c r="AG273" s="110"/>
      <c r="AH273" s="110"/>
      <c r="AI273" s="110"/>
      <c r="AJ273" s="110"/>
      <c r="AK273" s="110"/>
      <c r="AL273" s="110"/>
      <c r="AM273" s="110"/>
      <c r="AN273" s="110"/>
      <c r="AO273" s="110"/>
      <c r="AP273" s="110"/>
      <c r="AQ273" s="111"/>
      <c r="AR273" s="110"/>
      <c r="AS273" s="111"/>
      <c r="AT273" s="112"/>
      <c r="AU273" s="112"/>
      <c r="AV273" s="112"/>
      <c r="AW273" s="112"/>
      <c r="AX273" s="112"/>
      <c r="AY273" s="112"/>
      <c r="AZ273" s="112"/>
      <c r="BA273" s="112"/>
      <c r="BB273" s="112"/>
      <c r="BC273" s="112"/>
      <c r="BD273" s="113"/>
      <c r="BE273" s="114"/>
      <c r="BF273" s="115"/>
      <c r="BG273" s="115"/>
      <c r="BH273" s="116" t="str">
        <f t="shared" si="13"/>
        <v/>
      </c>
      <c r="BI273" s="116" t="str">
        <f t="shared" si="14"/>
        <v/>
      </c>
      <c r="BJ273" s="116" t="str">
        <f>IF(AND($A273&lt;&gt;"",$D273=반별조회!$C$5),COUNTIFS($A$3:$A273,"&lt;&gt;",$D$3:$D273,반별조회!$C$5),"")</f>
        <v/>
      </c>
    </row>
    <row r="274" spans="1:62" ht="15" customHeight="1">
      <c r="A274" s="102"/>
      <c r="B274" s="102"/>
      <c r="C274" s="102"/>
      <c r="D274" s="101"/>
      <c r="E274" s="105"/>
      <c r="F274" s="105" t="str">
        <f t="shared" ca="1" si="12"/>
        <v/>
      </c>
      <c r="G274" s="105"/>
      <c r="H274" s="105"/>
      <c r="I274" s="105"/>
      <c r="J274" s="105"/>
      <c r="K274" s="105"/>
      <c r="L274" s="105"/>
      <c r="M274" s="105"/>
      <c r="N274" s="105"/>
      <c r="O274" s="105"/>
      <c r="P274" s="106"/>
      <c r="Q274" s="106"/>
      <c r="R274" s="106"/>
      <c r="S274" s="107"/>
      <c r="T274" s="106"/>
      <c r="U274" s="106"/>
      <c r="V274" s="108"/>
      <c r="W274" s="108"/>
      <c r="X274" s="108"/>
      <c r="Y274" s="108"/>
      <c r="Z274" s="109"/>
      <c r="AA274" s="109"/>
      <c r="AB274" s="109"/>
      <c r="AC274" s="109"/>
      <c r="AD274" s="110"/>
      <c r="AE274" s="110"/>
      <c r="AF274" s="110"/>
      <c r="AG274" s="110"/>
      <c r="AH274" s="110"/>
      <c r="AI274" s="110"/>
      <c r="AJ274" s="110"/>
      <c r="AK274" s="110"/>
      <c r="AL274" s="110"/>
      <c r="AM274" s="110"/>
      <c r="AN274" s="110"/>
      <c r="AO274" s="110"/>
      <c r="AP274" s="110"/>
      <c r="AQ274" s="111"/>
      <c r="AR274" s="110"/>
      <c r="AS274" s="111"/>
      <c r="AT274" s="112"/>
      <c r="AU274" s="112"/>
      <c r="AV274" s="112"/>
      <c r="AW274" s="112"/>
      <c r="AX274" s="112"/>
      <c r="AY274" s="112"/>
      <c r="AZ274" s="112"/>
      <c r="BA274" s="112"/>
      <c r="BB274" s="112"/>
      <c r="BC274" s="112"/>
      <c r="BD274" s="113"/>
      <c r="BE274" s="114"/>
      <c r="BF274" s="115"/>
      <c r="BG274" s="115"/>
      <c r="BH274" s="116" t="str">
        <f t="shared" si="13"/>
        <v/>
      </c>
      <c r="BI274" s="116" t="str">
        <f t="shared" si="14"/>
        <v/>
      </c>
      <c r="BJ274" s="116" t="str">
        <f>IF(AND($A274&lt;&gt;"",$D274=반별조회!$C$5),COUNTIFS($A$3:$A274,"&lt;&gt;",$D$3:$D274,반별조회!$C$5),"")</f>
        <v/>
      </c>
    </row>
    <row r="275" spans="1:62" ht="15" customHeight="1">
      <c r="A275" s="102"/>
      <c r="B275" s="102"/>
      <c r="C275" s="102"/>
      <c r="D275" s="101"/>
      <c r="E275" s="105"/>
      <c r="F275" s="105" t="str">
        <f t="shared" ca="1" si="12"/>
        <v/>
      </c>
      <c r="G275" s="105"/>
      <c r="H275" s="105"/>
      <c r="I275" s="105"/>
      <c r="J275" s="105"/>
      <c r="K275" s="105"/>
      <c r="L275" s="105"/>
      <c r="M275" s="105"/>
      <c r="N275" s="105"/>
      <c r="O275" s="105"/>
      <c r="P275" s="106"/>
      <c r="Q275" s="106"/>
      <c r="R275" s="106"/>
      <c r="S275" s="107"/>
      <c r="T275" s="106"/>
      <c r="U275" s="106"/>
      <c r="V275" s="108"/>
      <c r="W275" s="108"/>
      <c r="X275" s="108"/>
      <c r="Y275" s="108"/>
      <c r="Z275" s="109"/>
      <c r="AA275" s="109"/>
      <c r="AB275" s="109"/>
      <c r="AC275" s="109"/>
      <c r="AD275" s="110"/>
      <c r="AE275" s="110"/>
      <c r="AF275" s="110"/>
      <c r="AG275" s="110"/>
      <c r="AH275" s="110"/>
      <c r="AI275" s="110"/>
      <c r="AJ275" s="110"/>
      <c r="AK275" s="110"/>
      <c r="AL275" s="110"/>
      <c r="AM275" s="110"/>
      <c r="AN275" s="110"/>
      <c r="AO275" s="110"/>
      <c r="AP275" s="110"/>
      <c r="AQ275" s="111"/>
      <c r="AR275" s="110"/>
      <c r="AS275" s="111"/>
      <c r="AT275" s="112"/>
      <c r="AU275" s="112"/>
      <c r="AV275" s="112"/>
      <c r="AW275" s="112"/>
      <c r="AX275" s="112"/>
      <c r="AY275" s="112"/>
      <c r="AZ275" s="112"/>
      <c r="BA275" s="112"/>
      <c r="BB275" s="112"/>
      <c r="BC275" s="112"/>
      <c r="BD275" s="113"/>
      <c r="BE275" s="114"/>
      <c r="BF275" s="115"/>
      <c r="BG275" s="115"/>
      <c r="BH275" s="116" t="str">
        <f t="shared" si="13"/>
        <v/>
      </c>
      <c r="BI275" s="116" t="str">
        <f t="shared" si="14"/>
        <v/>
      </c>
      <c r="BJ275" s="116" t="str">
        <f>IF(AND($A275&lt;&gt;"",$D275=반별조회!$C$5),COUNTIFS($A$3:$A275,"&lt;&gt;",$D$3:$D275,반별조회!$C$5),"")</f>
        <v/>
      </c>
    </row>
    <row r="276" spans="1:62" ht="15" customHeight="1">
      <c r="A276" s="102"/>
      <c r="B276" s="102"/>
      <c r="C276" s="102"/>
      <c r="D276" s="101"/>
      <c r="E276" s="105"/>
      <c r="F276" s="105" t="str">
        <f t="shared" ca="1" si="12"/>
        <v/>
      </c>
      <c r="G276" s="105"/>
      <c r="H276" s="105"/>
      <c r="I276" s="105"/>
      <c r="J276" s="105"/>
      <c r="K276" s="105"/>
      <c r="L276" s="105"/>
      <c r="M276" s="105"/>
      <c r="N276" s="105"/>
      <c r="O276" s="105"/>
      <c r="P276" s="106"/>
      <c r="Q276" s="106"/>
      <c r="R276" s="106"/>
      <c r="S276" s="107"/>
      <c r="T276" s="106"/>
      <c r="U276" s="106"/>
      <c r="V276" s="108"/>
      <c r="W276" s="108"/>
      <c r="X276" s="108"/>
      <c r="Y276" s="108"/>
      <c r="Z276" s="109"/>
      <c r="AA276" s="109"/>
      <c r="AB276" s="109"/>
      <c r="AC276" s="109"/>
      <c r="AD276" s="110"/>
      <c r="AE276" s="110"/>
      <c r="AF276" s="110"/>
      <c r="AG276" s="110"/>
      <c r="AH276" s="110"/>
      <c r="AI276" s="110"/>
      <c r="AJ276" s="110"/>
      <c r="AK276" s="110"/>
      <c r="AL276" s="110"/>
      <c r="AM276" s="110"/>
      <c r="AN276" s="110"/>
      <c r="AO276" s="110"/>
      <c r="AP276" s="110"/>
      <c r="AQ276" s="111"/>
      <c r="AR276" s="110"/>
      <c r="AS276" s="111"/>
      <c r="AT276" s="112"/>
      <c r="AU276" s="112"/>
      <c r="AV276" s="112"/>
      <c r="AW276" s="112"/>
      <c r="AX276" s="112"/>
      <c r="AY276" s="112"/>
      <c r="AZ276" s="112"/>
      <c r="BA276" s="112"/>
      <c r="BB276" s="112"/>
      <c r="BC276" s="112"/>
      <c r="BD276" s="113"/>
      <c r="BE276" s="114"/>
      <c r="BF276" s="115"/>
      <c r="BG276" s="115"/>
      <c r="BH276" s="116" t="str">
        <f t="shared" si="13"/>
        <v/>
      </c>
      <c r="BI276" s="116" t="str">
        <f t="shared" si="14"/>
        <v/>
      </c>
      <c r="BJ276" s="116" t="str">
        <f>IF(AND($A276&lt;&gt;"",$D276=반별조회!$C$5),COUNTIFS($A$3:$A276,"&lt;&gt;",$D$3:$D276,반별조회!$C$5),"")</f>
        <v/>
      </c>
    </row>
    <row r="277" spans="1:62" ht="15" customHeight="1">
      <c r="A277" s="102"/>
      <c r="B277" s="102"/>
      <c r="C277" s="102"/>
      <c r="D277" s="101"/>
      <c r="E277" s="105"/>
      <c r="F277" s="105" t="str">
        <f t="shared" ca="1" si="12"/>
        <v/>
      </c>
      <c r="G277" s="105"/>
      <c r="H277" s="105"/>
      <c r="I277" s="105"/>
      <c r="J277" s="105"/>
      <c r="K277" s="105"/>
      <c r="L277" s="105"/>
      <c r="M277" s="105"/>
      <c r="N277" s="105"/>
      <c r="O277" s="105"/>
      <c r="P277" s="106"/>
      <c r="Q277" s="106"/>
      <c r="R277" s="106"/>
      <c r="S277" s="107"/>
      <c r="T277" s="106"/>
      <c r="U277" s="106"/>
      <c r="V277" s="108"/>
      <c r="W277" s="108"/>
      <c r="X277" s="108"/>
      <c r="Y277" s="108"/>
      <c r="Z277" s="109"/>
      <c r="AA277" s="109"/>
      <c r="AB277" s="109"/>
      <c r="AC277" s="109"/>
      <c r="AD277" s="110"/>
      <c r="AE277" s="110"/>
      <c r="AF277" s="110"/>
      <c r="AG277" s="110"/>
      <c r="AH277" s="110"/>
      <c r="AI277" s="110"/>
      <c r="AJ277" s="110"/>
      <c r="AK277" s="110"/>
      <c r="AL277" s="110"/>
      <c r="AM277" s="110"/>
      <c r="AN277" s="110"/>
      <c r="AO277" s="110"/>
      <c r="AP277" s="110"/>
      <c r="AQ277" s="111"/>
      <c r="AR277" s="110"/>
      <c r="AS277" s="111"/>
      <c r="AT277" s="112"/>
      <c r="AU277" s="112"/>
      <c r="AV277" s="112"/>
      <c r="AW277" s="112"/>
      <c r="AX277" s="112"/>
      <c r="AY277" s="112"/>
      <c r="AZ277" s="112"/>
      <c r="BA277" s="112"/>
      <c r="BB277" s="112"/>
      <c r="BC277" s="112"/>
      <c r="BD277" s="113"/>
      <c r="BE277" s="114"/>
      <c r="BF277" s="115"/>
      <c r="BG277" s="115"/>
      <c r="BH277" s="116" t="str">
        <f t="shared" si="13"/>
        <v/>
      </c>
      <c r="BI277" s="116" t="str">
        <f t="shared" si="14"/>
        <v/>
      </c>
      <c r="BJ277" s="116" t="str">
        <f>IF(AND($A277&lt;&gt;"",$D277=반별조회!$C$5),COUNTIFS($A$3:$A277,"&lt;&gt;",$D$3:$D277,반별조회!$C$5),"")</f>
        <v/>
      </c>
    </row>
    <row r="278" spans="1:62" ht="15" customHeight="1">
      <c r="A278" s="102"/>
      <c r="B278" s="102"/>
      <c r="C278" s="102"/>
      <c r="D278" s="101"/>
      <c r="E278" s="105"/>
      <c r="F278" s="105" t="str">
        <f t="shared" ca="1" si="12"/>
        <v/>
      </c>
      <c r="G278" s="105"/>
      <c r="H278" s="105"/>
      <c r="I278" s="105"/>
      <c r="J278" s="105"/>
      <c r="K278" s="105"/>
      <c r="L278" s="105"/>
      <c r="M278" s="105"/>
      <c r="N278" s="105"/>
      <c r="O278" s="105"/>
      <c r="P278" s="106"/>
      <c r="Q278" s="106"/>
      <c r="R278" s="106"/>
      <c r="S278" s="107"/>
      <c r="T278" s="106"/>
      <c r="U278" s="106"/>
      <c r="V278" s="108"/>
      <c r="W278" s="108"/>
      <c r="X278" s="108"/>
      <c r="Y278" s="108"/>
      <c r="Z278" s="109"/>
      <c r="AA278" s="109"/>
      <c r="AB278" s="109"/>
      <c r="AC278" s="109"/>
      <c r="AD278" s="110"/>
      <c r="AE278" s="110"/>
      <c r="AF278" s="110"/>
      <c r="AG278" s="110"/>
      <c r="AH278" s="110"/>
      <c r="AI278" s="110"/>
      <c r="AJ278" s="110"/>
      <c r="AK278" s="110"/>
      <c r="AL278" s="110"/>
      <c r="AM278" s="110"/>
      <c r="AN278" s="110"/>
      <c r="AO278" s="110"/>
      <c r="AP278" s="110"/>
      <c r="AQ278" s="111"/>
      <c r="AR278" s="110"/>
      <c r="AS278" s="111"/>
      <c r="AT278" s="112"/>
      <c r="AU278" s="112"/>
      <c r="AV278" s="112"/>
      <c r="AW278" s="112"/>
      <c r="AX278" s="112"/>
      <c r="AY278" s="112"/>
      <c r="AZ278" s="112"/>
      <c r="BA278" s="112"/>
      <c r="BB278" s="112"/>
      <c r="BC278" s="112"/>
      <c r="BD278" s="113"/>
      <c r="BE278" s="114"/>
      <c r="BF278" s="115"/>
      <c r="BG278" s="115"/>
      <c r="BH278" s="116" t="str">
        <f t="shared" si="13"/>
        <v/>
      </c>
      <c r="BI278" s="116" t="str">
        <f t="shared" si="14"/>
        <v/>
      </c>
      <c r="BJ278" s="116" t="str">
        <f>IF(AND($A278&lt;&gt;"",$D278=반별조회!$C$5),COUNTIFS($A$3:$A278,"&lt;&gt;",$D$3:$D278,반별조회!$C$5),"")</f>
        <v/>
      </c>
    </row>
    <row r="279" spans="1:62" ht="15" customHeight="1">
      <c r="A279" s="102"/>
      <c r="B279" s="102"/>
      <c r="C279" s="102"/>
      <c r="D279" s="101"/>
      <c r="E279" s="105"/>
      <c r="F279" s="105" t="str">
        <f t="shared" ca="1" si="12"/>
        <v/>
      </c>
      <c r="G279" s="105"/>
      <c r="H279" s="105"/>
      <c r="I279" s="105"/>
      <c r="J279" s="105"/>
      <c r="K279" s="105"/>
      <c r="L279" s="105"/>
      <c r="M279" s="105"/>
      <c r="N279" s="105"/>
      <c r="O279" s="105"/>
      <c r="P279" s="106"/>
      <c r="Q279" s="106"/>
      <c r="R279" s="106"/>
      <c r="S279" s="107"/>
      <c r="T279" s="106"/>
      <c r="U279" s="106"/>
      <c r="V279" s="108"/>
      <c r="W279" s="108"/>
      <c r="X279" s="108"/>
      <c r="Y279" s="108"/>
      <c r="Z279" s="109"/>
      <c r="AA279" s="109"/>
      <c r="AB279" s="109"/>
      <c r="AC279" s="109"/>
      <c r="AD279" s="110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1"/>
      <c r="AR279" s="110"/>
      <c r="AS279" s="111"/>
      <c r="AT279" s="112"/>
      <c r="AU279" s="112"/>
      <c r="AV279" s="112"/>
      <c r="AW279" s="112"/>
      <c r="AX279" s="112"/>
      <c r="AY279" s="112"/>
      <c r="AZ279" s="112"/>
      <c r="BA279" s="112"/>
      <c r="BB279" s="112"/>
      <c r="BC279" s="112"/>
      <c r="BD279" s="113"/>
      <c r="BE279" s="114"/>
      <c r="BF279" s="115"/>
      <c r="BG279" s="115"/>
      <c r="BH279" s="116" t="str">
        <f t="shared" si="13"/>
        <v/>
      </c>
      <c r="BI279" s="116" t="str">
        <f t="shared" si="14"/>
        <v/>
      </c>
      <c r="BJ279" s="116" t="str">
        <f>IF(AND($A279&lt;&gt;"",$D279=반별조회!$C$5),COUNTIFS($A$3:$A279,"&lt;&gt;",$D$3:$D279,반별조회!$C$5),"")</f>
        <v/>
      </c>
    </row>
    <row r="280" spans="1:62" ht="15" customHeight="1">
      <c r="A280" s="102"/>
      <c r="B280" s="102"/>
      <c r="C280" s="102"/>
      <c r="D280" s="101"/>
      <c r="E280" s="105"/>
      <c r="F280" s="105" t="str">
        <f t="shared" ca="1" si="12"/>
        <v/>
      </c>
      <c r="G280" s="105"/>
      <c r="H280" s="105"/>
      <c r="I280" s="105"/>
      <c r="J280" s="105"/>
      <c r="K280" s="105"/>
      <c r="L280" s="105"/>
      <c r="M280" s="105"/>
      <c r="N280" s="105"/>
      <c r="O280" s="105"/>
      <c r="P280" s="106"/>
      <c r="Q280" s="106"/>
      <c r="R280" s="106"/>
      <c r="S280" s="107"/>
      <c r="T280" s="106"/>
      <c r="U280" s="106"/>
      <c r="V280" s="108"/>
      <c r="W280" s="108"/>
      <c r="X280" s="108"/>
      <c r="Y280" s="108"/>
      <c r="Z280" s="109"/>
      <c r="AA280" s="109"/>
      <c r="AB280" s="109"/>
      <c r="AC280" s="109"/>
      <c r="AD280" s="110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1"/>
      <c r="AR280" s="110"/>
      <c r="AS280" s="111"/>
      <c r="AT280" s="112"/>
      <c r="AU280" s="112"/>
      <c r="AV280" s="112"/>
      <c r="AW280" s="112"/>
      <c r="AX280" s="112"/>
      <c r="AY280" s="112"/>
      <c r="AZ280" s="112"/>
      <c r="BA280" s="112"/>
      <c r="BB280" s="112"/>
      <c r="BC280" s="112"/>
      <c r="BD280" s="113"/>
      <c r="BE280" s="114"/>
      <c r="BF280" s="115"/>
      <c r="BG280" s="115"/>
      <c r="BH280" s="116" t="str">
        <f t="shared" si="13"/>
        <v/>
      </c>
      <c r="BI280" s="116" t="str">
        <f t="shared" si="14"/>
        <v/>
      </c>
      <c r="BJ280" s="116" t="str">
        <f>IF(AND($A280&lt;&gt;"",$D280=반별조회!$C$5),COUNTIFS($A$3:$A280,"&lt;&gt;",$D$3:$D280,반별조회!$C$5),"")</f>
        <v/>
      </c>
    </row>
    <row r="281" spans="1:62" ht="15" customHeight="1">
      <c r="A281" s="102"/>
      <c r="B281" s="102"/>
      <c r="C281" s="102"/>
      <c r="D281" s="101"/>
      <c r="E281" s="105"/>
      <c r="F281" s="105" t="str">
        <f t="shared" ca="1" si="12"/>
        <v/>
      </c>
      <c r="G281" s="105"/>
      <c r="H281" s="105"/>
      <c r="I281" s="105"/>
      <c r="J281" s="105"/>
      <c r="K281" s="105"/>
      <c r="L281" s="105"/>
      <c r="M281" s="105"/>
      <c r="N281" s="105"/>
      <c r="O281" s="105"/>
      <c r="P281" s="106"/>
      <c r="Q281" s="106"/>
      <c r="R281" s="106"/>
      <c r="S281" s="107"/>
      <c r="T281" s="106"/>
      <c r="U281" s="106"/>
      <c r="V281" s="108"/>
      <c r="W281" s="108"/>
      <c r="X281" s="108"/>
      <c r="Y281" s="108"/>
      <c r="Z281" s="109"/>
      <c r="AA281" s="109"/>
      <c r="AB281" s="109"/>
      <c r="AC281" s="109"/>
      <c r="AD281" s="110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1"/>
      <c r="AR281" s="110"/>
      <c r="AS281" s="111"/>
      <c r="AT281" s="112"/>
      <c r="AU281" s="112"/>
      <c r="AV281" s="112"/>
      <c r="AW281" s="112"/>
      <c r="AX281" s="112"/>
      <c r="AY281" s="112"/>
      <c r="AZ281" s="112"/>
      <c r="BA281" s="112"/>
      <c r="BB281" s="112"/>
      <c r="BC281" s="112"/>
      <c r="BD281" s="113"/>
      <c r="BE281" s="114"/>
      <c r="BF281" s="115"/>
      <c r="BG281" s="115"/>
      <c r="BH281" s="116" t="str">
        <f t="shared" si="13"/>
        <v/>
      </c>
      <c r="BI281" s="116" t="str">
        <f t="shared" si="14"/>
        <v/>
      </c>
      <c r="BJ281" s="116" t="str">
        <f>IF(AND($A281&lt;&gt;"",$D281=반별조회!$C$5),COUNTIFS($A$3:$A281,"&lt;&gt;",$D$3:$D281,반별조회!$C$5),"")</f>
        <v/>
      </c>
    </row>
    <row r="282" spans="1:62" ht="15" customHeight="1">
      <c r="A282" s="102"/>
      <c r="B282" s="102"/>
      <c r="C282" s="102"/>
      <c r="D282" s="101"/>
      <c r="E282" s="105"/>
      <c r="F282" s="105" t="str">
        <f t="shared" ca="1" si="12"/>
        <v/>
      </c>
      <c r="G282" s="105"/>
      <c r="H282" s="105"/>
      <c r="I282" s="105"/>
      <c r="J282" s="105"/>
      <c r="K282" s="105"/>
      <c r="L282" s="105"/>
      <c r="M282" s="105"/>
      <c r="N282" s="105"/>
      <c r="O282" s="105"/>
      <c r="P282" s="106"/>
      <c r="Q282" s="106"/>
      <c r="R282" s="106"/>
      <c r="S282" s="107"/>
      <c r="T282" s="106"/>
      <c r="U282" s="106"/>
      <c r="V282" s="108"/>
      <c r="W282" s="108"/>
      <c r="X282" s="108"/>
      <c r="Y282" s="108"/>
      <c r="Z282" s="109"/>
      <c r="AA282" s="109"/>
      <c r="AB282" s="109"/>
      <c r="AC282" s="109"/>
      <c r="AD282" s="110"/>
      <c r="AE282" s="110"/>
      <c r="AF282" s="110"/>
      <c r="AG282" s="110"/>
      <c r="AH282" s="110"/>
      <c r="AI282" s="110"/>
      <c r="AJ282" s="110"/>
      <c r="AK282" s="110"/>
      <c r="AL282" s="110"/>
      <c r="AM282" s="110"/>
      <c r="AN282" s="110"/>
      <c r="AO282" s="110"/>
      <c r="AP282" s="110"/>
      <c r="AQ282" s="111"/>
      <c r="AR282" s="110"/>
      <c r="AS282" s="111"/>
      <c r="AT282" s="112"/>
      <c r="AU282" s="112"/>
      <c r="AV282" s="112"/>
      <c r="AW282" s="112"/>
      <c r="AX282" s="112"/>
      <c r="AY282" s="112"/>
      <c r="AZ282" s="112"/>
      <c r="BA282" s="112"/>
      <c r="BB282" s="112"/>
      <c r="BC282" s="112"/>
      <c r="BD282" s="113"/>
      <c r="BE282" s="114"/>
      <c r="BF282" s="115"/>
      <c r="BG282" s="115"/>
      <c r="BH282" s="116" t="str">
        <f t="shared" si="13"/>
        <v/>
      </c>
      <c r="BI282" s="116" t="str">
        <f t="shared" si="14"/>
        <v/>
      </c>
      <c r="BJ282" s="116" t="str">
        <f>IF(AND($A282&lt;&gt;"",$D282=반별조회!$C$5),COUNTIFS($A$3:$A282,"&lt;&gt;",$D$3:$D282,반별조회!$C$5),"")</f>
        <v/>
      </c>
    </row>
    <row r="283" spans="1:62" ht="15" customHeight="1">
      <c r="A283" s="102"/>
      <c r="B283" s="102"/>
      <c r="C283" s="102"/>
      <c r="D283" s="101"/>
      <c r="E283" s="105"/>
      <c r="F283" s="105" t="str">
        <f t="shared" ca="1" si="12"/>
        <v/>
      </c>
      <c r="G283" s="105"/>
      <c r="H283" s="105"/>
      <c r="I283" s="105"/>
      <c r="J283" s="105"/>
      <c r="K283" s="105"/>
      <c r="L283" s="105"/>
      <c r="M283" s="105"/>
      <c r="N283" s="105"/>
      <c r="O283" s="105"/>
      <c r="P283" s="106"/>
      <c r="Q283" s="106"/>
      <c r="R283" s="106"/>
      <c r="S283" s="107"/>
      <c r="T283" s="106"/>
      <c r="U283" s="106"/>
      <c r="V283" s="108"/>
      <c r="W283" s="108"/>
      <c r="X283" s="108"/>
      <c r="Y283" s="108"/>
      <c r="Z283" s="109"/>
      <c r="AA283" s="109"/>
      <c r="AB283" s="109"/>
      <c r="AC283" s="109"/>
      <c r="AD283" s="110"/>
      <c r="AE283" s="110"/>
      <c r="AF283" s="110"/>
      <c r="AG283" s="110"/>
      <c r="AH283" s="110"/>
      <c r="AI283" s="110"/>
      <c r="AJ283" s="110"/>
      <c r="AK283" s="110"/>
      <c r="AL283" s="110"/>
      <c r="AM283" s="110"/>
      <c r="AN283" s="110"/>
      <c r="AO283" s="110"/>
      <c r="AP283" s="110"/>
      <c r="AQ283" s="111"/>
      <c r="AR283" s="110"/>
      <c r="AS283" s="111"/>
      <c r="AT283" s="112"/>
      <c r="AU283" s="112"/>
      <c r="AV283" s="112"/>
      <c r="AW283" s="112"/>
      <c r="AX283" s="112"/>
      <c r="AY283" s="112"/>
      <c r="AZ283" s="112"/>
      <c r="BA283" s="112"/>
      <c r="BB283" s="112"/>
      <c r="BC283" s="112"/>
      <c r="BD283" s="113"/>
      <c r="BE283" s="114"/>
      <c r="BF283" s="115"/>
      <c r="BG283" s="115"/>
      <c r="BH283" s="116" t="str">
        <f t="shared" si="13"/>
        <v/>
      </c>
      <c r="BI283" s="116" t="str">
        <f t="shared" si="14"/>
        <v/>
      </c>
      <c r="BJ283" s="116" t="str">
        <f>IF(AND($A283&lt;&gt;"",$D283=반별조회!$C$5),COUNTIFS($A$3:$A283,"&lt;&gt;",$D$3:$D283,반별조회!$C$5),"")</f>
        <v/>
      </c>
    </row>
    <row r="284" spans="1:62" ht="15" customHeight="1">
      <c r="A284" s="102"/>
      <c r="B284" s="102"/>
      <c r="C284" s="102"/>
      <c r="D284" s="101"/>
      <c r="E284" s="105"/>
      <c r="F284" s="105" t="str">
        <f t="shared" ca="1" si="12"/>
        <v/>
      </c>
      <c r="G284" s="105"/>
      <c r="H284" s="105"/>
      <c r="I284" s="105"/>
      <c r="J284" s="105"/>
      <c r="K284" s="105"/>
      <c r="L284" s="105"/>
      <c r="M284" s="105"/>
      <c r="N284" s="105"/>
      <c r="O284" s="105"/>
      <c r="P284" s="106"/>
      <c r="Q284" s="106"/>
      <c r="R284" s="106"/>
      <c r="S284" s="107"/>
      <c r="T284" s="106"/>
      <c r="U284" s="106"/>
      <c r="V284" s="108"/>
      <c r="W284" s="108"/>
      <c r="X284" s="108"/>
      <c r="Y284" s="108"/>
      <c r="Z284" s="109"/>
      <c r="AA284" s="109"/>
      <c r="AB284" s="109"/>
      <c r="AC284" s="109"/>
      <c r="AD284" s="110"/>
      <c r="AE284" s="110"/>
      <c r="AF284" s="110"/>
      <c r="AG284" s="110"/>
      <c r="AH284" s="110"/>
      <c r="AI284" s="110"/>
      <c r="AJ284" s="110"/>
      <c r="AK284" s="110"/>
      <c r="AL284" s="110"/>
      <c r="AM284" s="110"/>
      <c r="AN284" s="110"/>
      <c r="AO284" s="110"/>
      <c r="AP284" s="110"/>
      <c r="AQ284" s="111"/>
      <c r="AR284" s="110"/>
      <c r="AS284" s="111"/>
      <c r="AT284" s="112"/>
      <c r="AU284" s="112"/>
      <c r="AV284" s="112"/>
      <c r="AW284" s="112"/>
      <c r="AX284" s="112"/>
      <c r="AY284" s="112"/>
      <c r="AZ284" s="112"/>
      <c r="BA284" s="112"/>
      <c r="BB284" s="112"/>
      <c r="BC284" s="112"/>
      <c r="BD284" s="113"/>
      <c r="BE284" s="114"/>
      <c r="BF284" s="115"/>
      <c r="BG284" s="115"/>
      <c r="BH284" s="116" t="str">
        <f t="shared" si="13"/>
        <v/>
      </c>
      <c r="BI284" s="116" t="str">
        <f t="shared" si="14"/>
        <v/>
      </c>
      <c r="BJ284" s="116" t="str">
        <f>IF(AND($A284&lt;&gt;"",$D284=반별조회!$C$5),COUNTIFS($A$3:$A284,"&lt;&gt;",$D$3:$D284,반별조회!$C$5),"")</f>
        <v/>
      </c>
    </row>
    <row r="285" spans="1:62" ht="15" customHeight="1">
      <c r="A285" s="102"/>
      <c r="B285" s="102"/>
      <c r="C285" s="102"/>
      <c r="D285" s="101"/>
      <c r="E285" s="105"/>
      <c r="F285" s="105" t="str">
        <f t="shared" ca="1" si="12"/>
        <v/>
      </c>
      <c r="G285" s="105"/>
      <c r="H285" s="105"/>
      <c r="I285" s="105"/>
      <c r="J285" s="105"/>
      <c r="K285" s="105"/>
      <c r="L285" s="105"/>
      <c r="M285" s="105"/>
      <c r="N285" s="105"/>
      <c r="O285" s="105"/>
      <c r="P285" s="106"/>
      <c r="Q285" s="106"/>
      <c r="R285" s="106"/>
      <c r="S285" s="107"/>
      <c r="T285" s="106"/>
      <c r="U285" s="106"/>
      <c r="V285" s="108"/>
      <c r="W285" s="108"/>
      <c r="X285" s="108"/>
      <c r="Y285" s="108"/>
      <c r="Z285" s="109"/>
      <c r="AA285" s="109"/>
      <c r="AB285" s="109"/>
      <c r="AC285" s="109"/>
      <c r="AD285" s="110"/>
      <c r="AE285" s="110"/>
      <c r="AF285" s="110"/>
      <c r="AG285" s="110"/>
      <c r="AH285" s="110"/>
      <c r="AI285" s="110"/>
      <c r="AJ285" s="110"/>
      <c r="AK285" s="110"/>
      <c r="AL285" s="110"/>
      <c r="AM285" s="110"/>
      <c r="AN285" s="110"/>
      <c r="AO285" s="110"/>
      <c r="AP285" s="110"/>
      <c r="AQ285" s="111"/>
      <c r="AR285" s="110"/>
      <c r="AS285" s="111"/>
      <c r="AT285" s="112"/>
      <c r="AU285" s="112"/>
      <c r="AV285" s="112"/>
      <c r="AW285" s="112"/>
      <c r="AX285" s="112"/>
      <c r="AY285" s="112"/>
      <c r="AZ285" s="112"/>
      <c r="BA285" s="112"/>
      <c r="BB285" s="112"/>
      <c r="BC285" s="112"/>
      <c r="BD285" s="113"/>
      <c r="BE285" s="114"/>
      <c r="BF285" s="115"/>
      <c r="BG285" s="115"/>
      <c r="BH285" s="116" t="str">
        <f t="shared" si="13"/>
        <v/>
      </c>
      <c r="BI285" s="116" t="str">
        <f t="shared" si="14"/>
        <v/>
      </c>
      <c r="BJ285" s="116" t="str">
        <f>IF(AND($A285&lt;&gt;"",$D285=반별조회!$C$5),COUNTIFS($A$3:$A285,"&lt;&gt;",$D$3:$D285,반별조회!$C$5),"")</f>
        <v/>
      </c>
    </row>
    <row r="286" spans="1:62" ht="15" customHeight="1">
      <c r="A286" s="102"/>
      <c r="B286" s="102"/>
      <c r="C286" s="102"/>
      <c r="D286" s="101"/>
      <c r="E286" s="105"/>
      <c r="F286" s="105" t="str">
        <f t="shared" ca="1" si="12"/>
        <v/>
      </c>
      <c r="G286" s="105"/>
      <c r="H286" s="105"/>
      <c r="I286" s="105"/>
      <c r="J286" s="105"/>
      <c r="K286" s="105"/>
      <c r="L286" s="105"/>
      <c r="M286" s="105"/>
      <c r="N286" s="105"/>
      <c r="O286" s="105"/>
      <c r="P286" s="106"/>
      <c r="Q286" s="106"/>
      <c r="R286" s="106"/>
      <c r="S286" s="107"/>
      <c r="T286" s="106"/>
      <c r="U286" s="106"/>
      <c r="V286" s="108"/>
      <c r="W286" s="108"/>
      <c r="X286" s="108"/>
      <c r="Y286" s="108"/>
      <c r="Z286" s="109"/>
      <c r="AA286" s="109"/>
      <c r="AB286" s="109"/>
      <c r="AC286" s="109"/>
      <c r="AD286" s="110"/>
      <c r="AE286" s="110"/>
      <c r="AF286" s="110"/>
      <c r="AG286" s="110"/>
      <c r="AH286" s="110"/>
      <c r="AI286" s="110"/>
      <c r="AJ286" s="110"/>
      <c r="AK286" s="110"/>
      <c r="AL286" s="110"/>
      <c r="AM286" s="110"/>
      <c r="AN286" s="110"/>
      <c r="AO286" s="110"/>
      <c r="AP286" s="110"/>
      <c r="AQ286" s="111"/>
      <c r="AR286" s="110"/>
      <c r="AS286" s="111"/>
      <c r="AT286" s="112"/>
      <c r="AU286" s="112"/>
      <c r="AV286" s="112"/>
      <c r="AW286" s="112"/>
      <c r="AX286" s="112"/>
      <c r="AY286" s="112"/>
      <c r="AZ286" s="112"/>
      <c r="BA286" s="112"/>
      <c r="BB286" s="112"/>
      <c r="BC286" s="112"/>
      <c r="BD286" s="113"/>
      <c r="BE286" s="114"/>
      <c r="BF286" s="115"/>
      <c r="BG286" s="115"/>
      <c r="BH286" s="116" t="str">
        <f t="shared" si="13"/>
        <v/>
      </c>
      <c r="BI286" s="116" t="str">
        <f t="shared" si="14"/>
        <v/>
      </c>
      <c r="BJ286" s="116" t="str">
        <f>IF(AND($A286&lt;&gt;"",$D286=반별조회!$C$5),COUNTIFS($A$3:$A286,"&lt;&gt;",$D$3:$D286,반별조회!$C$5),"")</f>
        <v/>
      </c>
    </row>
    <row r="287" spans="1:62" ht="15" customHeight="1">
      <c r="A287" s="102"/>
      <c r="B287" s="102"/>
      <c r="C287" s="102"/>
      <c r="D287" s="101"/>
      <c r="E287" s="105"/>
      <c r="F287" s="105" t="str">
        <f t="shared" ca="1" si="12"/>
        <v/>
      </c>
      <c r="G287" s="105"/>
      <c r="H287" s="105"/>
      <c r="I287" s="105"/>
      <c r="J287" s="105"/>
      <c r="K287" s="105"/>
      <c r="L287" s="105"/>
      <c r="M287" s="105"/>
      <c r="N287" s="105"/>
      <c r="O287" s="105"/>
      <c r="P287" s="106"/>
      <c r="Q287" s="106"/>
      <c r="R287" s="106"/>
      <c r="S287" s="107"/>
      <c r="T287" s="106"/>
      <c r="U287" s="106"/>
      <c r="V287" s="108"/>
      <c r="W287" s="108"/>
      <c r="X287" s="108"/>
      <c r="Y287" s="108"/>
      <c r="Z287" s="109"/>
      <c r="AA287" s="109"/>
      <c r="AB287" s="109"/>
      <c r="AC287" s="109"/>
      <c r="AD287" s="110"/>
      <c r="AE287" s="110"/>
      <c r="AF287" s="110"/>
      <c r="AG287" s="110"/>
      <c r="AH287" s="110"/>
      <c r="AI287" s="110"/>
      <c r="AJ287" s="110"/>
      <c r="AK287" s="110"/>
      <c r="AL287" s="110"/>
      <c r="AM287" s="110"/>
      <c r="AN287" s="110"/>
      <c r="AO287" s="110"/>
      <c r="AP287" s="110"/>
      <c r="AQ287" s="111"/>
      <c r="AR287" s="110"/>
      <c r="AS287" s="111"/>
      <c r="AT287" s="112"/>
      <c r="AU287" s="112"/>
      <c r="AV287" s="112"/>
      <c r="AW287" s="112"/>
      <c r="AX287" s="112"/>
      <c r="AY287" s="112"/>
      <c r="AZ287" s="112"/>
      <c r="BA287" s="112"/>
      <c r="BB287" s="112"/>
      <c r="BC287" s="112"/>
      <c r="BD287" s="113"/>
      <c r="BE287" s="114"/>
      <c r="BF287" s="115"/>
      <c r="BG287" s="115"/>
      <c r="BH287" s="116" t="str">
        <f t="shared" si="13"/>
        <v/>
      </c>
      <c r="BI287" s="116" t="str">
        <f t="shared" si="14"/>
        <v/>
      </c>
      <c r="BJ287" s="116" t="str">
        <f>IF(AND($A287&lt;&gt;"",$D287=반별조회!$C$5),COUNTIFS($A$3:$A287,"&lt;&gt;",$D$3:$D287,반별조회!$C$5),"")</f>
        <v/>
      </c>
    </row>
    <row r="288" spans="1:62" ht="15" customHeight="1">
      <c r="A288" s="102"/>
      <c r="B288" s="102"/>
      <c r="C288" s="102"/>
      <c r="D288" s="101"/>
      <c r="E288" s="105"/>
      <c r="F288" s="105" t="str">
        <f t="shared" ca="1" si="12"/>
        <v/>
      </c>
      <c r="G288" s="105"/>
      <c r="H288" s="105"/>
      <c r="I288" s="105"/>
      <c r="J288" s="105"/>
      <c r="K288" s="105"/>
      <c r="L288" s="105"/>
      <c r="M288" s="105"/>
      <c r="N288" s="105"/>
      <c r="O288" s="105"/>
      <c r="P288" s="106"/>
      <c r="Q288" s="106"/>
      <c r="R288" s="106"/>
      <c r="S288" s="107"/>
      <c r="T288" s="106"/>
      <c r="U288" s="106"/>
      <c r="V288" s="108"/>
      <c r="W288" s="108"/>
      <c r="X288" s="108"/>
      <c r="Y288" s="108"/>
      <c r="Z288" s="109"/>
      <c r="AA288" s="109"/>
      <c r="AB288" s="109"/>
      <c r="AC288" s="109"/>
      <c r="AD288" s="110"/>
      <c r="AE288" s="110"/>
      <c r="AF288" s="110"/>
      <c r="AG288" s="110"/>
      <c r="AH288" s="110"/>
      <c r="AI288" s="110"/>
      <c r="AJ288" s="110"/>
      <c r="AK288" s="110"/>
      <c r="AL288" s="110"/>
      <c r="AM288" s="110"/>
      <c r="AN288" s="110"/>
      <c r="AO288" s="110"/>
      <c r="AP288" s="110"/>
      <c r="AQ288" s="111"/>
      <c r="AR288" s="110"/>
      <c r="AS288" s="111"/>
      <c r="AT288" s="112"/>
      <c r="AU288" s="112"/>
      <c r="AV288" s="112"/>
      <c r="AW288" s="112"/>
      <c r="AX288" s="112"/>
      <c r="AY288" s="112"/>
      <c r="AZ288" s="112"/>
      <c r="BA288" s="112"/>
      <c r="BB288" s="112"/>
      <c r="BC288" s="112"/>
      <c r="BD288" s="113"/>
      <c r="BE288" s="114"/>
      <c r="BF288" s="115"/>
      <c r="BG288" s="115"/>
      <c r="BH288" s="116" t="str">
        <f t="shared" si="13"/>
        <v/>
      </c>
      <c r="BI288" s="116" t="str">
        <f t="shared" si="14"/>
        <v/>
      </c>
      <c r="BJ288" s="116" t="str">
        <f>IF(AND($A288&lt;&gt;"",$D288=반별조회!$C$5),COUNTIFS($A$3:$A288,"&lt;&gt;",$D$3:$D288,반별조회!$C$5),"")</f>
        <v/>
      </c>
    </row>
    <row r="289" spans="1:62" ht="15" customHeight="1">
      <c r="A289" s="102"/>
      <c r="B289" s="102"/>
      <c r="C289" s="102"/>
      <c r="D289" s="101"/>
      <c r="E289" s="105"/>
      <c r="F289" s="105" t="str">
        <f t="shared" ca="1" si="12"/>
        <v/>
      </c>
      <c r="G289" s="105"/>
      <c r="H289" s="105"/>
      <c r="I289" s="105"/>
      <c r="J289" s="105"/>
      <c r="K289" s="105"/>
      <c r="L289" s="105"/>
      <c r="M289" s="105"/>
      <c r="N289" s="105"/>
      <c r="O289" s="105"/>
      <c r="P289" s="106"/>
      <c r="Q289" s="106"/>
      <c r="R289" s="106"/>
      <c r="S289" s="107"/>
      <c r="T289" s="106"/>
      <c r="U289" s="106"/>
      <c r="V289" s="108"/>
      <c r="W289" s="108"/>
      <c r="X289" s="108"/>
      <c r="Y289" s="108"/>
      <c r="Z289" s="109"/>
      <c r="AA289" s="109"/>
      <c r="AB289" s="109"/>
      <c r="AC289" s="109"/>
      <c r="AD289" s="110"/>
      <c r="AE289" s="110"/>
      <c r="AF289" s="110"/>
      <c r="AG289" s="110"/>
      <c r="AH289" s="110"/>
      <c r="AI289" s="110"/>
      <c r="AJ289" s="110"/>
      <c r="AK289" s="110"/>
      <c r="AL289" s="110"/>
      <c r="AM289" s="110"/>
      <c r="AN289" s="110"/>
      <c r="AO289" s="110"/>
      <c r="AP289" s="110"/>
      <c r="AQ289" s="111"/>
      <c r="AR289" s="110"/>
      <c r="AS289" s="111"/>
      <c r="AT289" s="112"/>
      <c r="AU289" s="112"/>
      <c r="AV289" s="112"/>
      <c r="AW289" s="112"/>
      <c r="AX289" s="112"/>
      <c r="AY289" s="112"/>
      <c r="AZ289" s="112"/>
      <c r="BA289" s="112"/>
      <c r="BB289" s="112"/>
      <c r="BC289" s="112"/>
      <c r="BD289" s="113"/>
      <c r="BE289" s="114"/>
      <c r="BF289" s="115"/>
      <c r="BG289" s="115"/>
      <c r="BH289" s="116" t="str">
        <f t="shared" si="13"/>
        <v/>
      </c>
      <c r="BI289" s="116" t="str">
        <f t="shared" si="14"/>
        <v/>
      </c>
      <c r="BJ289" s="116" t="str">
        <f>IF(AND($A289&lt;&gt;"",$D289=반별조회!$C$5),COUNTIFS($A$3:$A289,"&lt;&gt;",$D$3:$D289,반별조회!$C$5),"")</f>
        <v/>
      </c>
    </row>
    <row r="290" spans="1:62" ht="15" customHeight="1">
      <c r="A290" s="102"/>
      <c r="B290" s="102"/>
      <c r="C290" s="102"/>
      <c r="D290" s="101"/>
      <c r="E290" s="105"/>
      <c r="F290" s="105" t="str">
        <f t="shared" ca="1" si="12"/>
        <v/>
      </c>
      <c r="G290" s="105"/>
      <c r="H290" s="105"/>
      <c r="I290" s="105"/>
      <c r="J290" s="105"/>
      <c r="K290" s="105"/>
      <c r="L290" s="105"/>
      <c r="M290" s="105"/>
      <c r="N290" s="105"/>
      <c r="O290" s="105"/>
      <c r="P290" s="106"/>
      <c r="Q290" s="106"/>
      <c r="R290" s="106"/>
      <c r="S290" s="107"/>
      <c r="T290" s="106"/>
      <c r="U290" s="106"/>
      <c r="V290" s="108"/>
      <c r="W290" s="108"/>
      <c r="X290" s="108"/>
      <c r="Y290" s="108"/>
      <c r="Z290" s="109"/>
      <c r="AA290" s="109"/>
      <c r="AB290" s="109"/>
      <c r="AC290" s="109"/>
      <c r="AD290" s="110"/>
      <c r="AE290" s="110"/>
      <c r="AF290" s="110"/>
      <c r="AG290" s="110"/>
      <c r="AH290" s="110"/>
      <c r="AI290" s="110"/>
      <c r="AJ290" s="110"/>
      <c r="AK290" s="110"/>
      <c r="AL290" s="110"/>
      <c r="AM290" s="110"/>
      <c r="AN290" s="110"/>
      <c r="AO290" s="110"/>
      <c r="AP290" s="110"/>
      <c r="AQ290" s="111"/>
      <c r="AR290" s="110"/>
      <c r="AS290" s="111"/>
      <c r="AT290" s="112"/>
      <c r="AU290" s="112"/>
      <c r="AV290" s="112"/>
      <c r="AW290" s="112"/>
      <c r="AX290" s="112"/>
      <c r="AY290" s="112"/>
      <c r="AZ290" s="112"/>
      <c r="BA290" s="112"/>
      <c r="BB290" s="112"/>
      <c r="BC290" s="112"/>
      <c r="BD290" s="113"/>
      <c r="BE290" s="114"/>
      <c r="BF290" s="115"/>
      <c r="BG290" s="115"/>
      <c r="BH290" s="116" t="str">
        <f t="shared" si="13"/>
        <v/>
      </c>
      <c r="BI290" s="116" t="str">
        <f t="shared" si="14"/>
        <v/>
      </c>
      <c r="BJ290" s="116" t="str">
        <f>IF(AND($A290&lt;&gt;"",$D290=반별조회!$C$5),COUNTIFS($A$3:$A290,"&lt;&gt;",$D$3:$D290,반별조회!$C$5),"")</f>
        <v/>
      </c>
    </row>
    <row r="291" spans="1:62" ht="15" customHeight="1">
      <c r="A291" s="102"/>
      <c r="B291" s="102"/>
      <c r="C291" s="102"/>
      <c r="D291" s="101"/>
      <c r="E291" s="105"/>
      <c r="F291" s="105" t="str">
        <f t="shared" ca="1" si="12"/>
        <v/>
      </c>
      <c r="G291" s="105"/>
      <c r="H291" s="105"/>
      <c r="I291" s="105"/>
      <c r="J291" s="105"/>
      <c r="K291" s="105"/>
      <c r="L291" s="105"/>
      <c r="M291" s="105"/>
      <c r="N291" s="105"/>
      <c r="O291" s="105"/>
      <c r="P291" s="106"/>
      <c r="Q291" s="106"/>
      <c r="R291" s="106"/>
      <c r="S291" s="107"/>
      <c r="T291" s="106"/>
      <c r="U291" s="106"/>
      <c r="V291" s="108"/>
      <c r="W291" s="108"/>
      <c r="X291" s="108"/>
      <c r="Y291" s="108"/>
      <c r="Z291" s="109"/>
      <c r="AA291" s="109"/>
      <c r="AB291" s="109"/>
      <c r="AC291" s="109"/>
      <c r="AD291" s="110"/>
      <c r="AE291" s="110"/>
      <c r="AF291" s="110"/>
      <c r="AG291" s="110"/>
      <c r="AH291" s="110"/>
      <c r="AI291" s="110"/>
      <c r="AJ291" s="110"/>
      <c r="AK291" s="110"/>
      <c r="AL291" s="110"/>
      <c r="AM291" s="110"/>
      <c r="AN291" s="110"/>
      <c r="AO291" s="110"/>
      <c r="AP291" s="110"/>
      <c r="AQ291" s="111"/>
      <c r="AR291" s="110"/>
      <c r="AS291" s="111"/>
      <c r="AT291" s="112"/>
      <c r="AU291" s="112"/>
      <c r="AV291" s="112"/>
      <c r="AW291" s="112"/>
      <c r="AX291" s="112"/>
      <c r="AY291" s="112"/>
      <c r="AZ291" s="112"/>
      <c r="BA291" s="112"/>
      <c r="BB291" s="112"/>
      <c r="BC291" s="112"/>
      <c r="BD291" s="113"/>
      <c r="BE291" s="114"/>
      <c r="BF291" s="115"/>
      <c r="BG291" s="115"/>
      <c r="BH291" s="116" t="str">
        <f t="shared" si="13"/>
        <v/>
      </c>
      <c r="BI291" s="116" t="str">
        <f t="shared" si="14"/>
        <v/>
      </c>
      <c r="BJ291" s="116" t="str">
        <f>IF(AND($A291&lt;&gt;"",$D291=반별조회!$C$5),COUNTIFS($A$3:$A291,"&lt;&gt;",$D$3:$D291,반별조회!$C$5),"")</f>
        <v/>
      </c>
    </row>
    <row r="292" spans="1:62" ht="15" customHeight="1">
      <c r="A292" s="102"/>
      <c r="B292" s="102"/>
      <c r="C292" s="102"/>
      <c r="D292" s="101"/>
      <c r="E292" s="105"/>
      <c r="F292" s="105" t="str">
        <f t="shared" ca="1" si="12"/>
        <v/>
      </c>
      <c r="G292" s="105"/>
      <c r="H292" s="105"/>
      <c r="I292" s="105"/>
      <c r="J292" s="105"/>
      <c r="K292" s="105"/>
      <c r="L292" s="105"/>
      <c r="M292" s="105"/>
      <c r="N292" s="105"/>
      <c r="O292" s="105"/>
      <c r="P292" s="106"/>
      <c r="Q292" s="106"/>
      <c r="R292" s="106"/>
      <c r="S292" s="107"/>
      <c r="T292" s="106"/>
      <c r="U292" s="106"/>
      <c r="V292" s="108"/>
      <c r="W292" s="108"/>
      <c r="X292" s="108"/>
      <c r="Y292" s="108"/>
      <c r="Z292" s="109"/>
      <c r="AA292" s="109"/>
      <c r="AB292" s="109"/>
      <c r="AC292" s="109"/>
      <c r="AD292" s="110"/>
      <c r="AE292" s="110"/>
      <c r="AF292" s="110"/>
      <c r="AG292" s="110"/>
      <c r="AH292" s="110"/>
      <c r="AI292" s="110"/>
      <c r="AJ292" s="110"/>
      <c r="AK292" s="110"/>
      <c r="AL292" s="110"/>
      <c r="AM292" s="110"/>
      <c r="AN292" s="110"/>
      <c r="AO292" s="110"/>
      <c r="AP292" s="110"/>
      <c r="AQ292" s="111"/>
      <c r="AR292" s="110"/>
      <c r="AS292" s="111"/>
      <c r="AT292" s="112"/>
      <c r="AU292" s="112"/>
      <c r="AV292" s="112"/>
      <c r="AW292" s="112"/>
      <c r="AX292" s="112"/>
      <c r="AY292" s="112"/>
      <c r="AZ292" s="112"/>
      <c r="BA292" s="112"/>
      <c r="BB292" s="112"/>
      <c r="BC292" s="112"/>
      <c r="BD292" s="113"/>
      <c r="BE292" s="114"/>
      <c r="BF292" s="115"/>
      <c r="BG292" s="115"/>
      <c r="BH292" s="116" t="str">
        <f t="shared" si="13"/>
        <v/>
      </c>
      <c r="BI292" s="116" t="str">
        <f t="shared" si="14"/>
        <v/>
      </c>
      <c r="BJ292" s="116" t="str">
        <f>IF(AND($A292&lt;&gt;"",$D292=반별조회!$C$5),COUNTIFS($A$3:$A292,"&lt;&gt;",$D$3:$D292,반별조회!$C$5),"")</f>
        <v/>
      </c>
    </row>
    <row r="293" spans="1:62" ht="15" customHeight="1">
      <c r="A293" s="102"/>
      <c r="B293" s="102"/>
      <c r="C293" s="102"/>
      <c r="D293" s="101"/>
      <c r="E293" s="105"/>
      <c r="F293" s="105" t="str">
        <f t="shared" ca="1" si="12"/>
        <v/>
      </c>
      <c r="G293" s="105"/>
      <c r="H293" s="105"/>
      <c r="I293" s="105"/>
      <c r="J293" s="105"/>
      <c r="K293" s="105"/>
      <c r="L293" s="105"/>
      <c r="M293" s="105"/>
      <c r="N293" s="105"/>
      <c r="O293" s="105"/>
      <c r="P293" s="106"/>
      <c r="Q293" s="106"/>
      <c r="R293" s="106"/>
      <c r="S293" s="107"/>
      <c r="T293" s="106"/>
      <c r="U293" s="106"/>
      <c r="V293" s="108"/>
      <c r="W293" s="108"/>
      <c r="X293" s="108"/>
      <c r="Y293" s="108"/>
      <c r="Z293" s="109"/>
      <c r="AA293" s="109"/>
      <c r="AB293" s="109"/>
      <c r="AC293" s="109"/>
      <c r="AD293" s="110"/>
      <c r="AE293" s="110"/>
      <c r="AF293" s="110"/>
      <c r="AG293" s="110"/>
      <c r="AH293" s="110"/>
      <c r="AI293" s="110"/>
      <c r="AJ293" s="110"/>
      <c r="AK293" s="110"/>
      <c r="AL293" s="110"/>
      <c r="AM293" s="110"/>
      <c r="AN293" s="110"/>
      <c r="AO293" s="110"/>
      <c r="AP293" s="110"/>
      <c r="AQ293" s="111"/>
      <c r="AR293" s="110"/>
      <c r="AS293" s="111"/>
      <c r="AT293" s="112"/>
      <c r="AU293" s="112"/>
      <c r="AV293" s="112"/>
      <c r="AW293" s="112"/>
      <c r="AX293" s="112"/>
      <c r="AY293" s="112"/>
      <c r="AZ293" s="112"/>
      <c r="BA293" s="112"/>
      <c r="BB293" s="112"/>
      <c r="BC293" s="112"/>
      <c r="BD293" s="113"/>
      <c r="BE293" s="114"/>
      <c r="BF293" s="115"/>
      <c r="BG293" s="115"/>
      <c r="BH293" s="116" t="str">
        <f t="shared" si="13"/>
        <v/>
      </c>
      <c r="BI293" s="116" t="str">
        <f t="shared" si="14"/>
        <v/>
      </c>
      <c r="BJ293" s="116" t="str">
        <f>IF(AND($A293&lt;&gt;"",$D293=반별조회!$C$5),COUNTIFS($A$3:$A293,"&lt;&gt;",$D$3:$D293,반별조회!$C$5),"")</f>
        <v/>
      </c>
    </row>
    <row r="294" spans="1:62" ht="15" customHeight="1">
      <c r="A294" s="102"/>
      <c r="B294" s="102"/>
      <c r="C294" s="102"/>
      <c r="D294" s="101"/>
      <c r="E294" s="105"/>
      <c r="F294" s="105" t="str">
        <f t="shared" ca="1" si="12"/>
        <v/>
      </c>
      <c r="G294" s="105"/>
      <c r="H294" s="105"/>
      <c r="I294" s="105"/>
      <c r="J294" s="105"/>
      <c r="K294" s="105"/>
      <c r="L294" s="105"/>
      <c r="M294" s="105"/>
      <c r="N294" s="105"/>
      <c r="O294" s="105"/>
      <c r="P294" s="106"/>
      <c r="Q294" s="106"/>
      <c r="R294" s="106"/>
      <c r="S294" s="107"/>
      <c r="T294" s="106"/>
      <c r="U294" s="106"/>
      <c r="V294" s="108"/>
      <c r="W294" s="108"/>
      <c r="X294" s="108"/>
      <c r="Y294" s="108"/>
      <c r="Z294" s="109"/>
      <c r="AA294" s="109"/>
      <c r="AB294" s="109"/>
      <c r="AC294" s="109"/>
      <c r="AD294" s="110"/>
      <c r="AE294" s="110"/>
      <c r="AF294" s="110"/>
      <c r="AG294" s="110"/>
      <c r="AH294" s="110"/>
      <c r="AI294" s="110"/>
      <c r="AJ294" s="110"/>
      <c r="AK294" s="110"/>
      <c r="AL294" s="110"/>
      <c r="AM294" s="110"/>
      <c r="AN294" s="110"/>
      <c r="AO294" s="110"/>
      <c r="AP294" s="110"/>
      <c r="AQ294" s="111"/>
      <c r="AR294" s="110"/>
      <c r="AS294" s="111"/>
      <c r="AT294" s="112"/>
      <c r="AU294" s="112"/>
      <c r="AV294" s="112"/>
      <c r="AW294" s="112"/>
      <c r="AX294" s="112"/>
      <c r="AY294" s="112"/>
      <c r="AZ294" s="112"/>
      <c r="BA294" s="112"/>
      <c r="BB294" s="112"/>
      <c r="BC294" s="112"/>
      <c r="BD294" s="113"/>
      <c r="BE294" s="114"/>
      <c r="BF294" s="115"/>
      <c r="BG294" s="115"/>
      <c r="BH294" s="116" t="str">
        <f t="shared" si="13"/>
        <v/>
      </c>
      <c r="BI294" s="116" t="str">
        <f t="shared" si="14"/>
        <v/>
      </c>
      <c r="BJ294" s="116" t="str">
        <f>IF(AND($A294&lt;&gt;"",$D294=반별조회!$C$5),COUNTIFS($A$3:$A294,"&lt;&gt;",$D$3:$D294,반별조회!$C$5),"")</f>
        <v/>
      </c>
    </row>
    <row r="295" spans="1:62" ht="15" customHeight="1">
      <c r="A295" s="102"/>
      <c r="B295" s="102"/>
      <c r="C295" s="102"/>
      <c r="D295" s="101"/>
      <c r="E295" s="105"/>
      <c r="F295" s="105" t="str">
        <f t="shared" ca="1" si="12"/>
        <v/>
      </c>
      <c r="G295" s="105"/>
      <c r="H295" s="105"/>
      <c r="I295" s="105"/>
      <c r="J295" s="105"/>
      <c r="K295" s="105"/>
      <c r="L295" s="105"/>
      <c r="M295" s="105"/>
      <c r="N295" s="105"/>
      <c r="O295" s="105"/>
      <c r="P295" s="106"/>
      <c r="Q295" s="106"/>
      <c r="R295" s="106"/>
      <c r="S295" s="107"/>
      <c r="T295" s="106"/>
      <c r="U295" s="106"/>
      <c r="V295" s="108"/>
      <c r="W295" s="108"/>
      <c r="X295" s="108"/>
      <c r="Y295" s="108"/>
      <c r="Z295" s="109"/>
      <c r="AA295" s="109"/>
      <c r="AB295" s="109"/>
      <c r="AC295" s="109"/>
      <c r="AD295" s="110"/>
      <c r="AE295" s="110"/>
      <c r="AF295" s="110"/>
      <c r="AG295" s="110"/>
      <c r="AH295" s="110"/>
      <c r="AI295" s="110"/>
      <c r="AJ295" s="110"/>
      <c r="AK295" s="110"/>
      <c r="AL295" s="110"/>
      <c r="AM295" s="110"/>
      <c r="AN295" s="110"/>
      <c r="AO295" s="110"/>
      <c r="AP295" s="110"/>
      <c r="AQ295" s="111"/>
      <c r="AR295" s="110"/>
      <c r="AS295" s="111"/>
      <c r="AT295" s="112"/>
      <c r="AU295" s="112"/>
      <c r="AV295" s="112"/>
      <c r="AW295" s="112"/>
      <c r="AX295" s="112"/>
      <c r="AY295" s="112"/>
      <c r="AZ295" s="112"/>
      <c r="BA295" s="112"/>
      <c r="BB295" s="112"/>
      <c r="BC295" s="112"/>
      <c r="BD295" s="113"/>
      <c r="BE295" s="114"/>
      <c r="BF295" s="115"/>
      <c r="BG295" s="115"/>
      <c r="BH295" s="116" t="str">
        <f t="shared" si="13"/>
        <v/>
      </c>
      <c r="BI295" s="116" t="str">
        <f t="shared" si="14"/>
        <v/>
      </c>
      <c r="BJ295" s="116" t="str">
        <f>IF(AND($A295&lt;&gt;"",$D295=반별조회!$C$5),COUNTIFS($A$3:$A295,"&lt;&gt;",$D$3:$D295,반별조회!$C$5),"")</f>
        <v/>
      </c>
    </row>
    <row r="296" spans="1:62" ht="15" customHeight="1">
      <c r="A296" s="102"/>
      <c r="B296" s="102"/>
      <c r="C296" s="102"/>
      <c r="D296" s="101"/>
      <c r="E296" s="105"/>
      <c r="F296" s="105" t="str">
        <f t="shared" ca="1" si="12"/>
        <v/>
      </c>
      <c r="G296" s="105"/>
      <c r="H296" s="105"/>
      <c r="I296" s="105"/>
      <c r="J296" s="105"/>
      <c r="K296" s="105"/>
      <c r="L296" s="105"/>
      <c r="M296" s="105"/>
      <c r="N296" s="105"/>
      <c r="O296" s="105"/>
      <c r="P296" s="106"/>
      <c r="Q296" s="106"/>
      <c r="R296" s="106"/>
      <c r="S296" s="107"/>
      <c r="T296" s="106"/>
      <c r="U296" s="106"/>
      <c r="V296" s="108"/>
      <c r="W296" s="108"/>
      <c r="X296" s="108"/>
      <c r="Y296" s="108"/>
      <c r="Z296" s="109"/>
      <c r="AA296" s="109"/>
      <c r="AB296" s="109"/>
      <c r="AC296" s="109"/>
      <c r="AD296" s="110"/>
      <c r="AE296" s="110"/>
      <c r="AF296" s="110"/>
      <c r="AG296" s="110"/>
      <c r="AH296" s="110"/>
      <c r="AI296" s="110"/>
      <c r="AJ296" s="110"/>
      <c r="AK296" s="110"/>
      <c r="AL296" s="110"/>
      <c r="AM296" s="110"/>
      <c r="AN296" s="110"/>
      <c r="AO296" s="110"/>
      <c r="AP296" s="110"/>
      <c r="AQ296" s="111"/>
      <c r="AR296" s="110"/>
      <c r="AS296" s="111"/>
      <c r="AT296" s="112"/>
      <c r="AU296" s="112"/>
      <c r="AV296" s="112"/>
      <c r="AW296" s="112"/>
      <c r="AX296" s="112"/>
      <c r="AY296" s="112"/>
      <c r="AZ296" s="112"/>
      <c r="BA296" s="112"/>
      <c r="BB296" s="112"/>
      <c r="BC296" s="112"/>
      <c r="BD296" s="113"/>
      <c r="BE296" s="114"/>
      <c r="BF296" s="115"/>
      <c r="BG296" s="115"/>
      <c r="BH296" s="116" t="str">
        <f t="shared" si="13"/>
        <v/>
      </c>
      <c r="BI296" s="116" t="str">
        <f t="shared" si="14"/>
        <v/>
      </c>
      <c r="BJ296" s="116" t="str">
        <f>IF(AND($A296&lt;&gt;"",$D296=반별조회!$C$5),COUNTIFS($A$3:$A296,"&lt;&gt;",$D$3:$D296,반별조회!$C$5),"")</f>
        <v/>
      </c>
    </row>
    <row r="297" spans="1:62" ht="15" customHeight="1">
      <c r="A297" s="102"/>
      <c r="B297" s="102"/>
      <c r="C297" s="102"/>
      <c r="D297" s="101"/>
      <c r="E297" s="105"/>
      <c r="F297" s="105" t="str">
        <f t="shared" ca="1" si="12"/>
        <v/>
      </c>
      <c r="G297" s="105"/>
      <c r="H297" s="105"/>
      <c r="I297" s="105"/>
      <c r="J297" s="105"/>
      <c r="K297" s="105"/>
      <c r="L297" s="105"/>
      <c r="M297" s="105"/>
      <c r="N297" s="105"/>
      <c r="O297" s="105"/>
      <c r="P297" s="106"/>
      <c r="Q297" s="106"/>
      <c r="R297" s="106"/>
      <c r="S297" s="107"/>
      <c r="T297" s="106"/>
      <c r="U297" s="106"/>
      <c r="V297" s="108"/>
      <c r="W297" s="108"/>
      <c r="X297" s="108"/>
      <c r="Y297" s="108"/>
      <c r="Z297" s="109"/>
      <c r="AA297" s="109"/>
      <c r="AB297" s="109"/>
      <c r="AC297" s="109"/>
      <c r="AD297" s="110"/>
      <c r="AE297" s="110"/>
      <c r="AF297" s="110"/>
      <c r="AG297" s="110"/>
      <c r="AH297" s="110"/>
      <c r="AI297" s="110"/>
      <c r="AJ297" s="110"/>
      <c r="AK297" s="110"/>
      <c r="AL297" s="110"/>
      <c r="AM297" s="110"/>
      <c r="AN297" s="110"/>
      <c r="AO297" s="110"/>
      <c r="AP297" s="110"/>
      <c r="AQ297" s="111"/>
      <c r="AR297" s="110"/>
      <c r="AS297" s="111"/>
      <c r="AT297" s="112"/>
      <c r="AU297" s="112"/>
      <c r="AV297" s="112"/>
      <c r="AW297" s="112"/>
      <c r="AX297" s="112"/>
      <c r="AY297" s="112"/>
      <c r="AZ297" s="112"/>
      <c r="BA297" s="112"/>
      <c r="BB297" s="112"/>
      <c r="BC297" s="112"/>
      <c r="BD297" s="113"/>
      <c r="BE297" s="114"/>
      <c r="BF297" s="115"/>
      <c r="BG297" s="115"/>
      <c r="BH297" s="116" t="str">
        <f t="shared" si="13"/>
        <v/>
      </c>
      <c r="BI297" s="116" t="str">
        <f t="shared" si="14"/>
        <v/>
      </c>
      <c r="BJ297" s="116" t="str">
        <f>IF(AND($A297&lt;&gt;"",$D297=반별조회!$C$5),COUNTIFS($A$3:$A297,"&lt;&gt;",$D$3:$D297,반별조회!$C$5),"")</f>
        <v/>
      </c>
    </row>
    <row r="298" spans="1:62" ht="15" customHeight="1">
      <c r="A298" s="102"/>
      <c r="B298" s="102"/>
      <c r="C298" s="102"/>
      <c r="D298" s="101"/>
      <c r="E298" s="105"/>
      <c r="F298" s="105" t="str">
        <f t="shared" ca="1" si="12"/>
        <v/>
      </c>
      <c r="G298" s="105"/>
      <c r="H298" s="105"/>
      <c r="I298" s="105"/>
      <c r="J298" s="105"/>
      <c r="K298" s="105"/>
      <c r="L298" s="105"/>
      <c r="M298" s="105"/>
      <c r="N298" s="105"/>
      <c r="O298" s="105"/>
      <c r="P298" s="106"/>
      <c r="Q298" s="106"/>
      <c r="R298" s="106"/>
      <c r="S298" s="107"/>
      <c r="T298" s="106"/>
      <c r="U298" s="106"/>
      <c r="V298" s="108"/>
      <c r="W298" s="108"/>
      <c r="X298" s="108"/>
      <c r="Y298" s="108"/>
      <c r="Z298" s="109"/>
      <c r="AA298" s="109"/>
      <c r="AB298" s="109"/>
      <c r="AC298" s="109"/>
      <c r="AD298" s="110"/>
      <c r="AE298" s="110"/>
      <c r="AF298" s="110"/>
      <c r="AG298" s="110"/>
      <c r="AH298" s="110"/>
      <c r="AI298" s="110"/>
      <c r="AJ298" s="110"/>
      <c r="AK298" s="110"/>
      <c r="AL298" s="110"/>
      <c r="AM298" s="110"/>
      <c r="AN298" s="110"/>
      <c r="AO298" s="110"/>
      <c r="AP298" s="110"/>
      <c r="AQ298" s="111"/>
      <c r="AR298" s="110"/>
      <c r="AS298" s="111"/>
      <c r="AT298" s="112"/>
      <c r="AU298" s="112"/>
      <c r="AV298" s="112"/>
      <c r="AW298" s="112"/>
      <c r="AX298" s="112"/>
      <c r="AY298" s="112"/>
      <c r="AZ298" s="112"/>
      <c r="BA298" s="112"/>
      <c r="BB298" s="112"/>
      <c r="BC298" s="112"/>
      <c r="BD298" s="113"/>
      <c r="BE298" s="114"/>
      <c r="BF298" s="115"/>
      <c r="BG298" s="115"/>
      <c r="BH298" s="116" t="str">
        <f t="shared" si="13"/>
        <v/>
      </c>
      <c r="BI298" s="116" t="str">
        <f t="shared" si="14"/>
        <v/>
      </c>
      <c r="BJ298" s="116" t="str">
        <f>IF(AND($A298&lt;&gt;"",$D298=반별조회!$C$5),COUNTIFS($A$3:$A298,"&lt;&gt;",$D$3:$D298,반별조회!$C$5),"")</f>
        <v/>
      </c>
    </row>
    <row r="299" spans="1:62" ht="15" customHeight="1">
      <c r="A299" s="102"/>
      <c r="B299" s="102"/>
      <c r="C299" s="102"/>
      <c r="D299" s="101"/>
      <c r="E299" s="105"/>
      <c r="F299" s="105" t="str">
        <f t="shared" ca="1" si="12"/>
        <v/>
      </c>
      <c r="G299" s="105"/>
      <c r="H299" s="105"/>
      <c r="I299" s="105"/>
      <c r="J299" s="105"/>
      <c r="K299" s="105"/>
      <c r="L299" s="105"/>
      <c r="M299" s="105"/>
      <c r="N299" s="105"/>
      <c r="O299" s="105"/>
      <c r="P299" s="106"/>
      <c r="Q299" s="106"/>
      <c r="R299" s="106"/>
      <c r="S299" s="107"/>
      <c r="T299" s="106"/>
      <c r="U299" s="106"/>
      <c r="V299" s="108"/>
      <c r="W299" s="108"/>
      <c r="X299" s="108"/>
      <c r="Y299" s="108"/>
      <c r="Z299" s="109"/>
      <c r="AA299" s="109"/>
      <c r="AB299" s="109"/>
      <c r="AC299" s="109"/>
      <c r="AD299" s="110"/>
      <c r="AE299" s="110"/>
      <c r="AF299" s="110"/>
      <c r="AG299" s="110"/>
      <c r="AH299" s="110"/>
      <c r="AI299" s="110"/>
      <c r="AJ299" s="110"/>
      <c r="AK299" s="110"/>
      <c r="AL299" s="110"/>
      <c r="AM299" s="110"/>
      <c r="AN299" s="110"/>
      <c r="AO299" s="110"/>
      <c r="AP299" s="110"/>
      <c r="AQ299" s="111"/>
      <c r="AR299" s="110"/>
      <c r="AS299" s="111"/>
      <c r="AT299" s="112"/>
      <c r="AU299" s="112"/>
      <c r="AV299" s="112"/>
      <c r="AW299" s="112"/>
      <c r="AX299" s="112"/>
      <c r="AY299" s="112"/>
      <c r="AZ299" s="112"/>
      <c r="BA299" s="112"/>
      <c r="BB299" s="112"/>
      <c r="BC299" s="112"/>
      <c r="BD299" s="113"/>
      <c r="BE299" s="114"/>
      <c r="BF299" s="115"/>
      <c r="BG299" s="115"/>
      <c r="BH299" s="116" t="str">
        <f t="shared" si="13"/>
        <v/>
      </c>
      <c r="BI299" s="116" t="str">
        <f t="shared" si="14"/>
        <v/>
      </c>
      <c r="BJ299" s="116" t="str">
        <f>IF(AND($A299&lt;&gt;"",$D299=반별조회!$C$5),COUNTIFS($A$3:$A299,"&lt;&gt;",$D$3:$D299,반별조회!$C$5),"")</f>
        <v/>
      </c>
    </row>
    <row r="300" spans="1:62" ht="15" customHeight="1">
      <c r="A300" s="102"/>
      <c r="B300" s="102"/>
      <c r="C300" s="102"/>
      <c r="D300" s="101"/>
      <c r="E300" s="105"/>
      <c r="F300" s="105" t="str">
        <f t="shared" ca="1" si="12"/>
        <v/>
      </c>
      <c r="G300" s="105"/>
      <c r="H300" s="105"/>
      <c r="I300" s="105"/>
      <c r="J300" s="105"/>
      <c r="K300" s="105"/>
      <c r="L300" s="105"/>
      <c r="M300" s="105"/>
      <c r="N300" s="105"/>
      <c r="O300" s="105"/>
      <c r="P300" s="106"/>
      <c r="Q300" s="106"/>
      <c r="R300" s="106"/>
      <c r="S300" s="107"/>
      <c r="T300" s="106"/>
      <c r="U300" s="106"/>
      <c r="V300" s="108"/>
      <c r="W300" s="108"/>
      <c r="X300" s="108"/>
      <c r="Y300" s="108"/>
      <c r="Z300" s="109"/>
      <c r="AA300" s="109"/>
      <c r="AB300" s="109"/>
      <c r="AC300" s="109"/>
      <c r="AD300" s="110"/>
      <c r="AE300" s="110"/>
      <c r="AF300" s="110"/>
      <c r="AG300" s="110"/>
      <c r="AH300" s="110"/>
      <c r="AI300" s="110"/>
      <c r="AJ300" s="110"/>
      <c r="AK300" s="110"/>
      <c r="AL300" s="110"/>
      <c r="AM300" s="110"/>
      <c r="AN300" s="110"/>
      <c r="AO300" s="110"/>
      <c r="AP300" s="110"/>
      <c r="AQ300" s="111"/>
      <c r="AR300" s="110"/>
      <c r="AS300" s="111"/>
      <c r="AT300" s="112"/>
      <c r="AU300" s="112"/>
      <c r="AV300" s="112"/>
      <c r="AW300" s="112"/>
      <c r="AX300" s="112"/>
      <c r="AY300" s="112"/>
      <c r="AZ300" s="112"/>
      <c r="BA300" s="112"/>
      <c r="BB300" s="112"/>
      <c r="BC300" s="112"/>
      <c r="BD300" s="113"/>
      <c r="BE300" s="114"/>
      <c r="BF300" s="115"/>
      <c r="BG300" s="115"/>
      <c r="BH300" s="116" t="str">
        <f t="shared" si="13"/>
        <v/>
      </c>
      <c r="BI300" s="116" t="str">
        <f t="shared" si="14"/>
        <v/>
      </c>
      <c r="BJ300" s="116" t="str">
        <f>IF(AND($A300&lt;&gt;"",$D300=반별조회!$C$5),COUNTIFS($A$3:$A300,"&lt;&gt;",$D$3:$D300,반별조회!$C$5),"")</f>
        <v/>
      </c>
    </row>
    <row r="301" spans="1:62" ht="15" customHeight="1">
      <c r="A301" s="102"/>
      <c r="B301" s="102"/>
      <c r="C301" s="102"/>
      <c r="D301" s="101"/>
      <c r="E301" s="105"/>
      <c r="F301" s="105" t="str">
        <f t="shared" ca="1" si="12"/>
        <v/>
      </c>
      <c r="G301" s="105"/>
      <c r="H301" s="105"/>
      <c r="I301" s="105"/>
      <c r="J301" s="105"/>
      <c r="K301" s="105"/>
      <c r="L301" s="105"/>
      <c r="M301" s="105"/>
      <c r="N301" s="105"/>
      <c r="O301" s="105"/>
      <c r="P301" s="106"/>
      <c r="Q301" s="106"/>
      <c r="R301" s="106"/>
      <c r="S301" s="107"/>
      <c r="T301" s="106"/>
      <c r="U301" s="106"/>
      <c r="V301" s="108"/>
      <c r="W301" s="108"/>
      <c r="X301" s="108"/>
      <c r="Y301" s="108"/>
      <c r="Z301" s="109"/>
      <c r="AA301" s="109"/>
      <c r="AB301" s="109"/>
      <c r="AC301" s="109"/>
      <c r="AD301" s="110"/>
      <c r="AE301" s="110"/>
      <c r="AF301" s="110"/>
      <c r="AG301" s="110"/>
      <c r="AH301" s="110"/>
      <c r="AI301" s="110"/>
      <c r="AJ301" s="110"/>
      <c r="AK301" s="110"/>
      <c r="AL301" s="110"/>
      <c r="AM301" s="110"/>
      <c r="AN301" s="110"/>
      <c r="AO301" s="110"/>
      <c r="AP301" s="110"/>
      <c r="AQ301" s="111"/>
      <c r="AR301" s="110"/>
      <c r="AS301" s="111"/>
      <c r="AT301" s="112"/>
      <c r="AU301" s="112"/>
      <c r="AV301" s="112"/>
      <c r="AW301" s="112"/>
      <c r="AX301" s="112"/>
      <c r="AY301" s="112"/>
      <c r="AZ301" s="112"/>
      <c r="BA301" s="112"/>
      <c r="BB301" s="112"/>
      <c r="BC301" s="112"/>
      <c r="BD301" s="113"/>
      <c r="BE301" s="114"/>
      <c r="BF301" s="115"/>
      <c r="BG301" s="115"/>
      <c r="BH301" s="116" t="str">
        <f t="shared" si="13"/>
        <v/>
      </c>
      <c r="BI301" s="116" t="str">
        <f t="shared" si="14"/>
        <v/>
      </c>
      <c r="BJ301" s="116" t="str">
        <f>IF(AND($A301&lt;&gt;"",$D301=반별조회!$C$5),COUNTIFS($A$3:$A301,"&lt;&gt;",$D$3:$D301,반별조회!$C$5),"")</f>
        <v/>
      </c>
    </row>
    <row r="302" spans="1:62" ht="15" customHeight="1">
      <c r="A302" s="102"/>
      <c r="B302" s="102"/>
      <c r="C302" s="102"/>
      <c r="D302" s="101"/>
      <c r="E302" s="105"/>
      <c r="F302" s="105" t="str">
        <f t="shared" ca="1" si="12"/>
        <v/>
      </c>
      <c r="G302" s="105"/>
      <c r="H302" s="105"/>
      <c r="I302" s="105"/>
      <c r="J302" s="105"/>
      <c r="K302" s="105"/>
      <c r="L302" s="105"/>
      <c r="M302" s="105"/>
      <c r="N302" s="105"/>
      <c r="O302" s="105"/>
      <c r="P302" s="106"/>
      <c r="Q302" s="106"/>
      <c r="R302" s="106"/>
      <c r="S302" s="107"/>
      <c r="T302" s="106"/>
      <c r="U302" s="106"/>
      <c r="V302" s="108"/>
      <c r="W302" s="108"/>
      <c r="X302" s="108"/>
      <c r="Y302" s="108"/>
      <c r="Z302" s="109"/>
      <c r="AA302" s="109"/>
      <c r="AB302" s="109"/>
      <c r="AC302" s="109"/>
      <c r="AD302" s="110"/>
      <c r="AE302" s="110"/>
      <c r="AF302" s="110"/>
      <c r="AG302" s="110"/>
      <c r="AH302" s="110"/>
      <c r="AI302" s="110"/>
      <c r="AJ302" s="110"/>
      <c r="AK302" s="110"/>
      <c r="AL302" s="110"/>
      <c r="AM302" s="110"/>
      <c r="AN302" s="110"/>
      <c r="AO302" s="110"/>
      <c r="AP302" s="110"/>
      <c r="AQ302" s="111"/>
      <c r="AR302" s="110"/>
      <c r="AS302" s="111"/>
      <c r="AT302" s="112"/>
      <c r="AU302" s="112"/>
      <c r="AV302" s="112"/>
      <c r="AW302" s="112"/>
      <c r="AX302" s="112"/>
      <c r="AY302" s="112"/>
      <c r="AZ302" s="112"/>
      <c r="BA302" s="112"/>
      <c r="BB302" s="112"/>
      <c r="BC302" s="112"/>
      <c r="BD302" s="113"/>
      <c r="BE302" s="114"/>
      <c r="BF302" s="115"/>
      <c r="BG302" s="115"/>
      <c r="BH302" s="116" t="str">
        <f t="shared" si="13"/>
        <v/>
      </c>
      <c r="BI302" s="116" t="str">
        <f t="shared" si="14"/>
        <v/>
      </c>
      <c r="BJ302" s="116" t="str">
        <f>IF(AND($A302&lt;&gt;"",$D302=반별조회!$C$5),COUNTIFS($A$3:$A302,"&lt;&gt;",$D$3:$D302,반별조회!$C$5),"")</f>
        <v/>
      </c>
    </row>
    <row r="303" spans="1:62" ht="15" customHeight="1">
      <c r="A303" s="102"/>
      <c r="B303" s="102"/>
      <c r="C303" s="102"/>
      <c r="D303" s="101"/>
      <c r="E303" s="105"/>
      <c r="F303" s="105" t="str">
        <f t="shared" ca="1" si="12"/>
        <v/>
      </c>
      <c r="G303" s="105"/>
      <c r="H303" s="105"/>
      <c r="I303" s="105"/>
      <c r="J303" s="105"/>
      <c r="K303" s="105"/>
      <c r="L303" s="105"/>
      <c r="M303" s="105"/>
      <c r="N303" s="105"/>
      <c r="O303" s="105"/>
      <c r="P303" s="106"/>
      <c r="Q303" s="106"/>
      <c r="R303" s="106"/>
      <c r="S303" s="107"/>
      <c r="T303" s="106"/>
      <c r="U303" s="106"/>
      <c r="V303" s="108"/>
      <c r="W303" s="108"/>
      <c r="X303" s="108"/>
      <c r="Y303" s="108"/>
      <c r="Z303" s="109"/>
      <c r="AA303" s="109"/>
      <c r="AB303" s="109"/>
      <c r="AC303" s="109"/>
      <c r="AD303" s="110"/>
      <c r="AE303" s="110"/>
      <c r="AF303" s="110"/>
      <c r="AG303" s="110"/>
      <c r="AH303" s="110"/>
      <c r="AI303" s="110"/>
      <c r="AJ303" s="110"/>
      <c r="AK303" s="110"/>
      <c r="AL303" s="110"/>
      <c r="AM303" s="110"/>
      <c r="AN303" s="110"/>
      <c r="AO303" s="110"/>
      <c r="AP303" s="110"/>
      <c r="AQ303" s="111"/>
      <c r="AR303" s="110"/>
      <c r="AS303" s="111"/>
      <c r="AT303" s="112"/>
      <c r="AU303" s="112"/>
      <c r="AV303" s="112"/>
      <c r="AW303" s="112"/>
      <c r="AX303" s="112"/>
      <c r="AY303" s="112"/>
      <c r="AZ303" s="112"/>
      <c r="BA303" s="112"/>
      <c r="BB303" s="112"/>
      <c r="BC303" s="112"/>
      <c r="BD303" s="113"/>
      <c r="BE303" s="114"/>
      <c r="BF303" s="115"/>
      <c r="BG303" s="115"/>
      <c r="BH303" s="116" t="str">
        <f t="shared" si="13"/>
        <v/>
      </c>
      <c r="BI303" s="116" t="str">
        <f t="shared" si="14"/>
        <v/>
      </c>
      <c r="BJ303" s="116" t="str">
        <f>IF(AND($A303&lt;&gt;"",$D303=반별조회!$C$5),COUNTIFS($A$3:$A303,"&lt;&gt;",$D$3:$D303,반별조회!$C$5),"")</f>
        <v/>
      </c>
    </row>
    <row r="304" spans="1:62" ht="15" customHeight="1">
      <c r="A304" s="102"/>
      <c r="B304" s="102"/>
      <c r="C304" s="102"/>
      <c r="D304" s="101"/>
      <c r="E304" s="105"/>
      <c r="F304" s="105" t="str">
        <f t="shared" ca="1" si="12"/>
        <v/>
      </c>
      <c r="G304" s="105"/>
      <c r="H304" s="105"/>
      <c r="I304" s="105"/>
      <c r="J304" s="105"/>
      <c r="K304" s="105"/>
      <c r="L304" s="105"/>
      <c r="M304" s="105"/>
      <c r="N304" s="105"/>
      <c r="O304" s="105"/>
      <c r="P304" s="106"/>
      <c r="Q304" s="106"/>
      <c r="R304" s="106"/>
      <c r="S304" s="107"/>
      <c r="T304" s="106"/>
      <c r="U304" s="106"/>
      <c r="V304" s="108"/>
      <c r="W304" s="108"/>
      <c r="X304" s="108"/>
      <c r="Y304" s="108"/>
      <c r="Z304" s="109"/>
      <c r="AA304" s="109"/>
      <c r="AB304" s="109"/>
      <c r="AC304" s="109"/>
      <c r="AD304" s="110"/>
      <c r="AE304" s="110"/>
      <c r="AF304" s="110"/>
      <c r="AG304" s="110"/>
      <c r="AH304" s="110"/>
      <c r="AI304" s="110"/>
      <c r="AJ304" s="110"/>
      <c r="AK304" s="110"/>
      <c r="AL304" s="110"/>
      <c r="AM304" s="110"/>
      <c r="AN304" s="110"/>
      <c r="AO304" s="110"/>
      <c r="AP304" s="110"/>
      <c r="AQ304" s="111"/>
      <c r="AR304" s="110"/>
      <c r="AS304" s="111"/>
      <c r="AT304" s="112"/>
      <c r="AU304" s="112"/>
      <c r="AV304" s="112"/>
      <c r="AW304" s="112"/>
      <c r="AX304" s="112"/>
      <c r="AY304" s="112"/>
      <c r="AZ304" s="112"/>
      <c r="BA304" s="112"/>
      <c r="BB304" s="112"/>
      <c r="BC304" s="112"/>
      <c r="BD304" s="113"/>
      <c r="BE304" s="114"/>
      <c r="BF304" s="115"/>
      <c r="BG304" s="115"/>
      <c r="BH304" s="116" t="str">
        <f t="shared" si="13"/>
        <v/>
      </c>
      <c r="BI304" s="116" t="str">
        <f t="shared" si="14"/>
        <v/>
      </c>
      <c r="BJ304" s="116" t="str">
        <f>IF(AND($A304&lt;&gt;"",$D304=반별조회!$C$5),COUNTIFS($A$3:$A304,"&lt;&gt;",$D$3:$D304,반별조회!$C$5),"")</f>
        <v/>
      </c>
    </row>
    <row r="305" spans="1:62" ht="15" customHeight="1">
      <c r="A305" s="102"/>
      <c r="B305" s="102"/>
      <c r="C305" s="102"/>
      <c r="D305" s="101"/>
      <c r="E305" s="105"/>
      <c r="F305" s="105" t="str">
        <f t="shared" ca="1" si="12"/>
        <v/>
      </c>
      <c r="G305" s="105"/>
      <c r="H305" s="105"/>
      <c r="I305" s="105"/>
      <c r="J305" s="105"/>
      <c r="K305" s="105"/>
      <c r="L305" s="105"/>
      <c r="M305" s="105"/>
      <c r="N305" s="105"/>
      <c r="O305" s="105"/>
      <c r="P305" s="106"/>
      <c r="Q305" s="106"/>
      <c r="R305" s="106"/>
      <c r="S305" s="107"/>
      <c r="T305" s="106"/>
      <c r="U305" s="106"/>
      <c r="V305" s="108"/>
      <c r="W305" s="108"/>
      <c r="X305" s="108"/>
      <c r="Y305" s="108"/>
      <c r="Z305" s="109"/>
      <c r="AA305" s="109"/>
      <c r="AB305" s="109"/>
      <c r="AC305" s="109"/>
      <c r="AD305" s="110"/>
      <c r="AE305" s="110"/>
      <c r="AF305" s="110"/>
      <c r="AG305" s="110"/>
      <c r="AH305" s="110"/>
      <c r="AI305" s="110"/>
      <c r="AJ305" s="110"/>
      <c r="AK305" s="110"/>
      <c r="AL305" s="110"/>
      <c r="AM305" s="110"/>
      <c r="AN305" s="110"/>
      <c r="AO305" s="110"/>
      <c r="AP305" s="110"/>
      <c r="AQ305" s="111"/>
      <c r="AR305" s="110"/>
      <c r="AS305" s="111"/>
      <c r="AT305" s="112"/>
      <c r="AU305" s="112"/>
      <c r="AV305" s="112"/>
      <c r="AW305" s="112"/>
      <c r="AX305" s="112"/>
      <c r="AY305" s="112"/>
      <c r="AZ305" s="112"/>
      <c r="BA305" s="112"/>
      <c r="BB305" s="112"/>
      <c r="BC305" s="112"/>
      <c r="BD305" s="113"/>
      <c r="BE305" s="114"/>
      <c r="BF305" s="115"/>
      <c r="BG305" s="115"/>
      <c r="BH305" s="116" t="str">
        <f t="shared" si="13"/>
        <v/>
      </c>
      <c r="BI305" s="116" t="str">
        <f t="shared" si="14"/>
        <v/>
      </c>
      <c r="BJ305" s="116" t="str">
        <f>IF(AND($A305&lt;&gt;"",$D305=반별조회!$C$5),COUNTIFS($A$3:$A305,"&lt;&gt;",$D$3:$D305,반별조회!$C$5),"")</f>
        <v/>
      </c>
    </row>
    <row r="306" spans="1:62" ht="15" customHeight="1">
      <c r="A306" s="102"/>
      <c r="B306" s="102"/>
      <c r="C306" s="102"/>
      <c r="D306" s="101"/>
      <c r="E306" s="105"/>
      <c r="F306" s="105" t="str">
        <f t="shared" ca="1" si="12"/>
        <v/>
      </c>
      <c r="G306" s="105"/>
      <c r="H306" s="105"/>
      <c r="I306" s="105"/>
      <c r="J306" s="105"/>
      <c r="K306" s="105"/>
      <c r="L306" s="105"/>
      <c r="M306" s="105"/>
      <c r="N306" s="105"/>
      <c r="O306" s="105"/>
      <c r="P306" s="106"/>
      <c r="Q306" s="106"/>
      <c r="R306" s="106"/>
      <c r="S306" s="107"/>
      <c r="T306" s="106"/>
      <c r="U306" s="106"/>
      <c r="V306" s="108"/>
      <c r="W306" s="108"/>
      <c r="X306" s="108"/>
      <c r="Y306" s="108"/>
      <c r="Z306" s="109"/>
      <c r="AA306" s="109"/>
      <c r="AB306" s="109"/>
      <c r="AC306" s="109"/>
      <c r="AD306" s="110"/>
      <c r="AE306" s="110"/>
      <c r="AF306" s="110"/>
      <c r="AG306" s="110"/>
      <c r="AH306" s="110"/>
      <c r="AI306" s="110"/>
      <c r="AJ306" s="110"/>
      <c r="AK306" s="110"/>
      <c r="AL306" s="110"/>
      <c r="AM306" s="110"/>
      <c r="AN306" s="110"/>
      <c r="AO306" s="110"/>
      <c r="AP306" s="110"/>
      <c r="AQ306" s="111"/>
      <c r="AR306" s="110"/>
      <c r="AS306" s="111"/>
      <c r="AT306" s="112"/>
      <c r="AU306" s="112"/>
      <c r="AV306" s="112"/>
      <c r="AW306" s="112"/>
      <c r="AX306" s="112"/>
      <c r="AY306" s="112"/>
      <c r="AZ306" s="112"/>
      <c r="BA306" s="112"/>
      <c r="BB306" s="112"/>
      <c r="BC306" s="112"/>
      <c r="BD306" s="113"/>
      <c r="BE306" s="114"/>
      <c r="BF306" s="115"/>
      <c r="BG306" s="115"/>
      <c r="BH306" s="116" t="str">
        <f t="shared" si="13"/>
        <v/>
      </c>
      <c r="BI306" s="116" t="str">
        <f t="shared" si="14"/>
        <v/>
      </c>
      <c r="BJ306" s="116" t="str">
        <f>IF(AND($A306&lt;&gt;"",$D306=반별조회!$C$5),COUNTIFS($A$3:$A306,"&lt;&gt;",$D$3:$D306,반별조회!$C$5),"")</f>
        <v/>
      </c>
    </row>
    <row r="307" spans="1:62" ht="15" customHeight="1">
      <c r="A307" s="102"/>
      <c r="B307" s="102"/>
      <c r="C307" s="102"/>
      <c r="D307" s="101"/>
      <c r="E307" s="105"/>
      <c r="F307" s="105" t="str">
        <f t="shared" ca="1" si="12"/>
        <v/>
      </c>
      <c r="G307" s="105"/>
      <c r="H307" s="105"/>
      <c r="I307" s="105"/>
      <c r="J307" s="105"/>
      <c r="K307" s="105"/>
      <c r="L307" s="105"/>
      <c r="M307" s="105"/>
      <c r="N307" s="105"/>
      <c r="O307" s="105"/>
      <c r="P307" s="106"/>
      <c r="Q307" s="106"/>
      <c r="R307" s="106"/>
      <c r="S307" s="107"/>
      <c r="T307" s="106"/>
      <c r="U307" s="106"/>
      <c r="V307" s="108"/>
      <c r="W307" s="108"/>
      <c r="X307" s="108"/>
      <c r="Y307" s="108"/>
      <c r="Z307" s="109"/>
      <c r="AA307" s="109"/>
      <c r="AB307" s="109"/>
      <c r="AC307" s="109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1"/>
      <c r="AR307" s="110"/>
      <c r="AS307" s="111"/>
      <c r="AT307" s="112"/>
      <c r="AU307" s="112"/>
      <c r="AV307" s="112"/>
      <c r="AW307" s="112"/>
      <c r="AX307" s="112"/>
      <c r="AY307" s="112"/>
      <c r="AZ307" s="112"/>
      <c r="BA307" s="112"/>
      <c r="BB307" s="112"/>
      <c r="BC307" s="112"/>
      <c r="BD307" s="113"/>
      <c r="BE307" s="114"/>
      <c r="BF307" s="115"/>
      <c r="BG307" s="115"/>
      <c r="BH307" s="116" t="str">
        <f t="shared" si="13"/>
        <v/>
      </c>
      <c r="BI307" s="116" t="str">
        <f t="shared" si="14"/>
        <v/>
      </c>
      <c r="BJ307" s="116" t="str">
        <f>IF(AND($A307&lt;&gt;"",$D307=반별조회!$C$5),COUNTIFS($A$3:$A307,"&lt;&gt;",$D$3:$D307,반별조회!$C$5),"")</f>
        <v/>
      </c>
    </row>
    <row r="308" spans="1:62" ht="15" customHeight="1">
      <c r="A308" s="102"/>
      <c r="B308" s="102"/>
      <c r="C308" s="102"/>
      <c r="D308" s="101"/>
      <c r="E308" s="105"/>
      <c r="F308" s="105" t="str">
        <f t="shared" ca="1" si="12"/>
        <v/>
      </c>
      <c r="G308" s="105"/>
      <c r="H308" s="105"/>
      <c r="I308" s="105"/>
      <c r="J308" s="105"/>
      <c r="K308" s="105"/>
      <c r="L308" s="105"/>
      <c r="M308" s="105"/>
      <c r="N308" s="105"/>
      <c r="O308" s="105"/>
      <c r="P308" s="106"/>
      <c r="Q308" s="106"/>
      <c r="R308" s="106"/>
      <c r="S308" s="107"/>
      <c r="T308" s="106"/>
      <c r="U308" s="106"/>
      <c r="V308" s="108"/>
      <c r="W308" s="108"/>
      <c r="X308" s="108"/>
      <c r="Y308" s="108"/>
      <c r="Z308" s="109"/>
      <c r="AA308" s="109"/>
      <c r="AB308" s="109"/>
      <c r="AC308" s="109"/>
      <c r="AD308" s="110"/>
      <c r="AE308" s="110"/>
      <c r="AF308" s="110"/>
      <c r="AG308" s="110"/>
      <c r="AH308" s="110"/>
      <c r="AI308" s="110"/>
      <c r="AJ308" s="110"/>
      <c r="AK308" s="110"/>
      <c r="AL308" s="110"/>
      <c r="AM308" s="110"/>
      <c r="AN308" s="110"/>
      <c r="AO308" s="110"/>
      <c r="AP308" s="110"/>
      <c r="AQ308" s="111"/>
      <c r="AR308" s="110"/>
      <c r="AS308" s="111"/>
      <c r="AT308" s="112"/>
      <c r="AU308" s="112"/>
      <c r="AV308" s="112"/>
      <c r="AW308" s="112"/>
      <c r="AX308" s="112"/>
      <c r="AY308" s="112"/>
      <c r="AZ308" s="112"/>
      <c r="BA308" s="112"/>
      <c r="BB308" s="112"/>
      <c r="BC308" s="112"/>
      <c r="BD308" s="113"/>
      <c r="BE308" s="114"/>
      <c r="BF308" s="115"/>
      <c r="BG308" s="115"/>
      <c r="BH308" s="116" t="str">
        <f t="shared" si="13"/>
        <v/>
      </c>
      <c r="BI308" s="116" t="str">
        <f t="shared" si="14"/>
        <v/>
      </c>
      <c r="BJ308" s="116" t="str">
        <f>IF(AND($A308&lt;&gt;"",$D308=반별조회!$C$5),COUNTIFS($A$3:$A308,"&lt;&gt;",$D$3:$D308,반별조회!$C$5),"")</f>
        <v/>
      </c>
    </row>
    <row r="309" spans="1:62" ht="15" customHeight="1">
      <c r="A309" s="102"/>
      <c r="B309" s="102"/>
      <c r="C309" s="102"/>
      <c r="D309" s="101"/>
      <c r="E309" s="105"/>
      <c r="F309" s="105" t="str">
        <f t="shared" ca="1" si="12"/>
        <v/>
      </c>
      <c r="G309" s="105"/>
      <c r="H309" s="105"/>
      <c r="I309" s="105"/>
      <c r="J309" s="105"/>
      <c r="K309" s="105"/>
      <c r="L309" s="105"/>
      <c r="M309" s="105"/>
      <c r="N309" s="105"/>
      <c r="O309" s="105"/>
      <c r="P309" s="106"/>
      <c r="Q309" s="106"/>
      <c r="R309" s="106"/>
      <c r="S309" s="107"/>
      <c r="T309" s="106"/>
      <c r="U309" s="106"/>
      <c r="V309" s="108"/>
      <c r="W309" s="108"/>
      <c r="X309" s="108"/>
      <c r="Y309" s="108"/>
      <c r="Z309" s="109"/>
      <c r="AA309" s="109"/>
      <c r="AB309" s="109"/>
      <c r="AC309" s="109"/>
      <c r="AD309" s="110"/>
      <c r="AE309" s="110"/>
      <c r="AF309" s="110"/>
      <c r="AG309" s="110"/>
      <c r="AH309" s="110"/>
      <c r="AI309" s="110"/>
      <c r="AJ309" s="110"/>
      <c r="AK309" s="110"/>
      <c r="AL309" s="110"/>
      <c r="AM309" s="110"/>
      <c r="AN309" s="110"/>
      <c r="AO309" s="110"/>
      <c r="AP309" s="110"/>
      <c r="AQ309" s="111"/>
      <c r="AR309" s="110"/>
      <c r="AS309" s="111"/>
      <c r="AT309" s="112"/>
      <c r="AU309" s="112"/>
      <c r="AV309" s="112"/>
      <c r="AW309" s="112"/>
      <c r="AX309" s="112"/>
      <c r="AY309" s="112"/>
      <c r="AZ309" s="112"/>
      <c r="BA309" s="112"/>
      <c r="BB309" s="112"/>
      <c r="BC309" s="112"/>
      <c r="BD309" s="113"/>
      <c r="BE309" s="114"/>
      <c r="BF309" s="115"/>
      <c r="BG309" s="115"/>
      <c r="BH309" s="116" t="str">
        <f t="shared" si="13"/>
        <v/>
      </c>
      <c r="BI309" s="116" t="str">
        <f t="shared" si="14"/>
        <v/>
      </c>
      <c r="BJ309" s="116" t="str">
        <f>IF(AND($A309&lt;&gt;"",$D309=반별조회!$C$5),COUNTIFS($A$3:$A309,"&lt;&gt;",$D$3:$D309,반별조회!$C$5),"")</f>
        <v/>
      </c>
    </row>
    <row r="310" spans="1:62" ht="15" customHeight="1">
      <c r="A310" s="102"/>
      <c r="B310" s="102"/>
      <c r="C310" s="102"/>
      <c r="D310" s="101"/>
      <c r="E310" s="105"/>
      <c r="F310" s="105" t="str">
        <f t="shared" ca="1" si="12"/>
        <v/>
      </c>
      <c r="G310" s="105"/>
      <c r="H310" s="105"/>
      <c r="I310" s="105"/>
      <c r="J310" s="105"/>
      <c r="K310" s="105"/>
      <c r="L310" s="105"/>
      <c r="M310" s="105"/>
      <c r="N310" s="105"/>
      <c r="O310" s="105"/>
      <c r="P310" s="106"/>
      <c r="Q310" s="106"/>
      <c r="R310" s="106"/>
      <c r="S310" s="107"/>
      <c r="T310" s="106"/>
      <c r="U310" s="106"/>
      <c r="V310" s="108"/>
      <c r="W310" s="108"/>
      <c r="X310" s="108"/>
      <c r="Y310" s="108"/>
      <c r="Z310" s="109"/>
      <c r="AA310" s="109"/>
      <c r="AB310" s="109"/>
      <c r="AC310" s="109"/>
      <c r="AD310" s="110"/>
      <c r="AE310" s="110"/>
      <c r="AF310" s="110"/>
      <c r="AG310" s="110"/>
      <c r="AH310" s="110"/>
      <c r="AI310" s="110"/>
      <c r="AJ310" s="110"/>
      <c r="AK310" s="110"/>
      <c r="AL310" s="110"/>
      <c r="AM310" s="110"/>
      <c r="AN310" s="110"/>
      <c r="AO310" s="110"/>
      <c r="AP310" s="110"/>
      <c r="AQ310" s="111"/>
      <c r="AR310" s="110"/>
      <c r="AS310" s="111"/>
      <c r="AT310" s="112"/>
      <c r="AU310" s="112"/>
      <c r="AV310" s="112"/>
      <c r="AW310" s="112"/>
      <c r="AX310" s="112"/>
      <c r="AY310" s="112"/>
      <c r="AZ310" s="112"/>
      <c r="BA310" s="112"/>
      <c r="BB310" s="112"/>
      <c r="BC310" s="112"/>
      <c r="BD310" s="113"/>
      <c r="BE310" s="114"/>
      <c r="BF310" s="115"/>
      <c r="BG310" s="115"/>
      <c r="BH310" s="116" t="str">
        <f t="shared" si="13"/>
        <v/>
      </c>
      <c r="BI310" s="116" t="str">
        <f t="shared" si="14"/>
        <v/>
      </c>
      <c r="BJ310" s="116" t="str">
        <f>IF(AND($A310&lt;&gt;"",$D310=반별조회!$C$5),COUNTIFS($A$3:$A310,"&lt;&gt;",$D$3:$D310,반별조회!$C$5),"")</f>
        <v/>
      </c>
    </row>
    <row r="311" spans="1:62" ht="15" customHeight="1">
      <c r="A311" s="102"/>
      <c r="B311" s="102"/>
      <c r="C311" s="102"/>
      <c r="D311" s="101"/>
      <c r="E311" s="105"/>
      <c r="F311" s="105" t="str">
        <f t="shared" ca="1" si="12"/>
        <v/>
      </c>
      <c r="G311" s="105"/>
      <c r="H311" s="105"/>
      <c r="I311" s="105"/>
      <c r="J311" s="105"/>
      <c r="K311" s="105"/>
      <c r="L311" s="105"/>
      <c r="M311" s="105"/>
      <c r="N311" s="105"/>
      <c r="O311" s="105"/>
      <c r="P311" s="106"/>
      <c r="Q311" s="106"/>
      <c r="R311" s="106"/>
      <c r="S311" s="107"/>
      <c r="T311" s="106"/>
      <c r="U311" s="106"/>
      <c r="V311" s="108"/>
      <c r="W311" s="108"/>
      <c r="X311" s="108"/>
      <c r="Y311" s="108"/>
      <c r="Z311" s="109"/>
      <c r="AA311" s="109"/>
      <c r="AB311" s="109"/>
      <c r="AC311" s="109"/>
      <c r="AD311" s="110"/>
      <c r="AE311" s="110"/>
      <c r="AF311" s="110"/>
      <c r="AG311" s="110"/>
      <c r="AH311" s="110"/>
      <c r="AI311" s="110"/>
      <c r="AJ311" s="110"/>
      <c r="AK311" s="110"/>
      <c r="AL311" s="110"/>
      <c r="AM311" s="110"/>
      <c r="AN311" s="110"/>
      <c r="AO311" s="110"/>
      <c r="AP311" s="110"/>
      <c r="AQ311" s="111"/>
      <c r="AR311" s="110"/>
      <c r="AS311" s="111"/>
      <c r="AT311" s="112"/>
      <c r="AU311" s="112"/>
      <c r="AV311" s="112"/>
      <c r="AW311" s="112"/>
      <c r="AX311" s="112"/>
      <c r="AY311" s="112"/>
      <c r="AZ311" s="112"/>
      <c r="BA311" s="112"/>
      <c r="BB311" s="112"/>
      <c r="BC311" s="112"/>
      <c r="BD311" s="113"/>
      <c r="BE311" s="114"/>
      <c r="BF311" s="115"/>
      <c r="BG311" s="115"/>
      <c r="BH311" s="116" t="str">
        <f t="shared" si="13"/>
        <v/>
      </c>
      <c r="BI311" s="116" t="str">
        <f t="shared" si="14"/>
        <v/>
      </c>
      <c r="BJ311" s="116" t="str">
        <f>IF(AND($A311&lt;&gt;"",$D311=반별조회!$C$5),COUNTIFS($A$3:$A311,"&lt;&gt;",$D$3:$D311,반별조회!$C$5),"")</f>
        <v/>
      </c>
    </row>
    <row r="312" spans="1:62" ht="15" customHeight="1">
      <c r="A312" s="102"/>
      <c r="B312" s="102"/>
      <c r="C312" s="102"/>
      <c r="D312" s="101"/>
      <c r="E312" s="105"/>
      <c r="F312" s="105" t="str">
        <f t="shared" ca="1" si="12"/>
        <v/>
      </c>
      <c r="G312" s="105"/>
      <c r="H312" s="105"/>
      <c r="I312" s="105"/>
      <c r="J312" s="105"/>
      <c r="K312" s="105"/>
      <c r="L312" s="105"/>
      <c r="M312" s="105"/>
      <c r="N312" s="105"/>
      <c r="O312" s="105"/>
      <c r="P312" s="106"/>
      <c r="Q312" s="106"/>
      <c r="R312" s="106"/>
      <c r="S312" s="107"/>
      <c r="T312" s="106"/>
      <c r="U312" s="106"/>
      <c r="V312" s="108"/>
      <c r="W312" s="108"/>
      <c r="X312" s="108"/>
      <c r="Y312" s="108"/>
      <c r="Z312" s="109"/>
      <c r="AA312" s="109"/>
      <c r="AB312" s="109"/>
      <c r="AC312" s="109"/>
      <c r="AD312" s="110"/>
      <c r="AE312" s="110"/>
      <c r="AF312" s="110"/>
      <c r="AG312" s="110"/>
      <c r="AH312" s="110"/>
      <c r="AI312" s="110"/>
      <c r="AJ312" s="110"/>
      <c r="AK312" s="110"/>
      <c r="AL312" s="110"/>
      <c r="AM312" s="110"/>
      <c r="AN312" s="110"/>
      <c r="AO312" s="110"/>
      <c r="AP312" s="110"/>
      <c r="AQ312" s="111"/>
      <c r="AR312" s="110"/>
      <c r="AS312" s="111"/>
      <c r="AT312" s="112"/>
      <c r="AU312" s="112"/>
      <c r="AV312" s="112"/>
      <c r="AW312" s="112"/>
      <c r="AX312" s="112"/>
      <c r="AY312" s="112"/>
      <c r="AZ312" s="112"/>
      <c r="BA312" s="112"/>
      <c r="BB312" s="112"/>
      <c r="BC312" s="112"/>
      <c r="BD312" s="113"/>
      <c r="BE312" s="114"/>
      <c r="BF312" s="115"/>
      <c r="BG312" s="115"/>
      <c r="BH312" s="116" t="str">
        <f t="shared" si="13"/>
        <v/>
      </c>
      <c r="BI312" s="116" t="str">
        <f t="shared" si="14"/>
        <v/>
      </c>
      <c r="BJ312" s="116" t="str">
        <f>IF(AND($A312&lt;&gt;"",$D312=반별조회!$C$5),COUNTIFS($A$3:$A312,"&lt;&gt;",$D$3:$D312,반별조회!$C$5),"")</f>
        <v/>
      </c>
    </row>
    <row r="313" spans="1:62" ht="15" customHeight="1">
      <c r="A313" s="102"/>
      <c r="B313" s="102"/>
      <c r="C313" s="102"/>
      <c r="D313" s="101"/>
      <c r="E313" s="105"/>
      <c r="F313" s="105" t="str">
        <f t="shared" ca="1" si="12"/>
        <v/>
      </c>
      <c r="G313" s="105"/>
      <c r="H313" s="105"/>
      <c r="I313" s="105"/>
      <c r="J313" s="105"/>
      <c r="K313" s="105"/>
      <c r="L313" s="105"/>
      <c r="M313" s="105"/>
      <c r="N313" s="105"/>
      <c r="O313" s="105"/>
      <c r="P313" s="106"/>
      <c r="Q313" s="106"/>
      <c r="R313" s="106"/>
      <c r="S313" s="107"/>
      <c r="T313" s="106"/>
      <c r="U313" s="106"/>
      <c r="V313" s="108"/>
      <c r="W313" s="108"/>
      <c r="X313" s="108"/>
      <c r="Y313" s="108"/>
      <c r="Z313" s="109"/>
      <c r="AA313" s="109"/>
      <c r="AB313" s="109"/>
      <c r="AC313" s="109"/>
      <c r="AD313" s="110"/>
      <c r="AE313" s="110"/>
      <c r="AF313" s="110"/>
      <c r="AG313" s="110"/>
      <c r="AH313" s="110"/>
      <c r="AI313" s="110"/>
      <c r="AJ313" s="110"/>
      <c r="AK313" s="110"/>
      <c r="AL313" s="110"/>
      <c r="AM313" s="110"/>
      <c r="AN313" s="110"/>
      <c r="AO313" s="110"/>
      <c r="AP313" s="110"/>
      <c r="AQ313" s="111"/>
      <c r="AR313" s="110"/>
      <c r="AS313" s="111"/>
      <c r="AT313" s="112"/>
      <c r="AU313" s="112"/>
      <c r="AV313" s="112"/>
      <c r="AW313" s="112"/>
      <c r="AX313" s="112"/>
      <c r="AY313" s="112"/>
      <c r="AZ313" s="112"/>
      <c r="BA313" s="112"/>
      <c r="BB313" s="112"/>
      <c r="BC313" s="112"/>
      <c r="BD313" s="113"/>
      <c r="BE313" s="114"/>
      <c r="BF313" s="115"/>
      <c r="BG313" s="115"/>
      <c r="BH313" s="116" t="str">
        <f t="shared" si="13"/>
        <v/>
      </c>
      <c r="BI313" s="116" t="str">
        <f t="shared" si="14"/>
        <v/>
      </c>
      <c r="BJ313" s="116" t="str">
        <f>IF(AND($A313&lt;&gt;"",$D313=반별조회!$C$5),COUNTIFS($A$3:$A313,"&lt;&gt;",$D$3:$D313,반별조회!$C$5),"")</f>
        <v/>
      </c>
    </row>
    <row r="314" spans="1:62" ht="15" customHeight="1">
      <c r="A314" s="102"/>
      <c r="B314" s="102"/>
      <c r="C314" s="102"/>
      <c r="D314" s="101"/>
      <c r="E314" s="105"/>
      <c r="F314" s="105" t="str">
        <f t="shared" ca="1" si="12"/>
        <v/>
      </c>
      <c r="G314" s="105"/>
      <c r="H314" s="105"/>
      <c r="I314" s="105"/>
      <c r="J314" s="105"/>
      <c r="K314" s="105"/>
      <c r="L314" s="105"/>
      <c r="M314" s="105"/>
      <c r="N314" s="105"/>
      <c r="O314" s="105"/>
      <c r="P314" s="106"/>
      <c r="Q314" s="106"/>
      <c r="R314" s="106"/>
      <c r="S314" s="107"/>
      <c r="T314" s="106"/>
      <c r="U314" s="106"/>
      <c r="V314" s="108"/>
      <c r="W314" s="108"/>
      <c r="X314" s="108"/>
      <c r="Y314" s="108"/>
      <c r="Z314" s="109"/>
      <c r="AA314" s="109"/>
      <c r="AB314" s="109"/>
      <c r="AC314" s="109"/>
      <c r="AD314" s="110"/>
      <c r="AE314" s="110"/>
      <c r="AF314" s="110"/>
      <c r="AG314" s="110"/>
      <c r="AH314" s="110"/>
      <c r="AI314" s="110"/>
      <c r="AJ314" s="110"/>
      <c r="AK314" s="110"/>
      <c r="AL314" s="110"/>
      <c r="AM314" s="110"/>
      <c r="AN314" s="110"/>
      <c r="AO314" s="110"/>
      <c r="AP314" s="110"/>
      <c r="AQ314" s="111"/>
      <c r="AR314" s="110"/>
      <c r="AS314" s="111"/>
      <c r="AT314" s="112"/>
      <c r="AU314" s="112"/>
      <c r="AV314" s="112"/>
      <c r="AW314" s="112"/>
      <c r="AX314" s="112"/>
      <c r="AY314" s="112"/>
      <c r="AZ314" s="112"/>
      <c r="BA314" s="112"/>
      <c r="BB314" s="112"/>
      <c r="BC314" s="112"/>
      <c r="BD314" s="113"/>
      <c r="BE314" s="114"/>
      <c r="BF314" s="115"/>
      <c r="BG314" s="115"/>
      <c r="BH314" s="116" t="str">
        <f t="shared" si="13"/>
        <v/>
      </c>
      <c r="BI314" s="116" t="str">
        <f t="shared" si="14"/>
        <v/>
      </c>
      <c r="BJ314" s="116" t="str">
        <f>IF(AND($A314&lt;&gt;"",$D314=반별조회!$C$5),COUNTIFS($A$3:$A314,"&lt;&gt;",$D$3:$D314,반별조회!$C$5),"")</f>
        <v/>
      </c>
    </row>
    <row r="315" spans="1:62" ht="15" customHeight="1">
      <c r="A315" s="102"/>
      <c r="B315" s="102"/>
      <c r="C315" s="102"/>
      <c r="D315" s="101"/>
      <c r="E315" s="105"/>
      <c r="F315" s="105" t="str">
        <f t="shared" ca="1" si="12"/>
        <v/>
      </c>
      <c r="G315" s="105"/>
      <c r="H315" s="105"/>
      <c r="I315" s="105"/>
      <c r="J315" s="105"/>
      <c r="K315" s="105"/>
      <c r="L315" s="105"/>
      <c r="M315" s="105"/>
      <c r="N315" s="105"/>
      <c r="O315" s="105"/>
      <c r="P315" s="106"/>
      <c r="Q315" s="106"/>
      <c r="R315" s="106"/>
      <c r="S315" s="107"/>
      <c r="T315" s="106"/>
      <c r="U315" s="106"/>
      <c r="V315" s="108"/>
      <c r="W315" s="108"/>
      <c r="X315" s="108"/>
      <c r="Y315" s="108"/>
      <c r="Z315" s="109"/>
      <c r="AA315" s="109"/>
      <c r="AB315" s="109"/>
      <c r="AC315" s="109"/>
      <c r="AD315" s="110"/>
      <c r="AE315" s="110"/>
      <c r="AF315" s="110"/>
      <c r="AG315" s="110"/>
      <c r="AH315" s="110"/>
      <c r="AI315" s="110"/>
      <c r="AJ315" s="110"/>
      <c r="AK315" s="110"/>
      <c r="AL315" s="110"/>
      <c r="AM315" s="110"/>
      <c r="AN315" s="110"/>
      <c r="AO315" s="110"/>
      <c r="AP315" s="110"/>
      <c r="AQ315" s="111"/>
      <c r="AR315" s="110"/>
      <c r="AS315" s="111"/>
      <c r="AT315" s="112"/>
      <c r="AU315" s="112"/>
      <c r="AV315" s="112"/>
      <c r="AW315" s="112"/>
      <c r="AX315" s="112"/>
      <c r="AY315" s="112"/>
      <c r="AZ315" s="112"/>
      <c r="BA315" s="112"/>
      <c r="BB315" s="112"/>
      <c r="BC315" s="112"/>
      <c r="BD315" s="113"/>
      <c r="BE315" s="114"/>
      <c r="BF315" s="115"/>
      <c r="BG315" s="115"/>
      <c r="BH315" s="116" t="str">
        <f t="shared" si="13"/>
        <v/>
      </c>
      <c r="BI315" s="116" t="str">
        <f t="shared" si="14"/>
        <v/>
      </c>
      <c r="BJ315" s="116" t="str">
        <f>IF(AND($A315&lt;&gt;"",$D315=반별조회!$C$5),COUNTIFS($A$3:$A315,"&lt;&gt;",$D$3:$D315,반별조회!$C$5),"")</f>
        <v/>
      </c>
    </row>
    <row r="316" spans="1:62" ht="15" customHeight="1">
      <c r="A316" s="102"/>
      <c r="B316" s="102"/>
      <c r="C316" s="102"/>
      <c r="D316" s="101"/>
      <c r="E316" s="105"/>
      <c r="F316" s="105" t="str">
        <f t="shared" ca="1" si="12"/>
        <v/>
      </c>
      <c r="G316" s="105"/>
      <c r="H316" s="105"/>
      <c r="I316" s="105"/>
      <c r="J316" s="105"/>
      <c r="K316" s="105"/>
      <c r="L316" s="105"/>
      <c r="M316" s="105"/>
      <c r="N316" s="105"/>
      <c r="O316" s="105"/>
      <c r="P316" s="106"/>
      <c r="Q316" s="106"/>
      <c r="R316" s="106"/>
      <c r="S316" s="107"/>
      <c r="T316" s="106"/>
      <c r="U316" s="106"/>
      <c r="V316" s="108"/>
      <c r="W316" s="108"/>
      <c r="X316" s="108"/>
      <c r="Y316" s="108"/>
      <c r="Z316" s="109"/>
      <c r="AA316" s="109"/>
      <c r="AB316" s="109"/>
      <c r="AC316" s="109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1"/>
      <c r="AR316" s="110"/>
      <c r="AS316" s="111"/>
      <c r="AT316" s="112"/>
      <c r="AU316" s="112"/>
      <c r="AV316" s="112"/>
      <c r="AW316" s="112"/>
      <c r="AX316" s="112"/>
      <c r="AY316" s="112"/>
      <c r="AZ316" s="112"/>
      <c r="BA316" s="112"/>
      <c r="BB316" s="112"/>
      <c r="BC316" s="112"/>
      <c r="BD316" s="113"/>
      <c r="BE316" s="114"/>
      <c r="BF316" s="115"/>
      <c r="BG316" s="115"/>
      <c r="BH316" s="116" t="str">
        <f t="shared" si="13"/>
        <v/>
      </c>
      <c r="BI316" s="116" t="str">
        <f t="shared" si="14"/>
        <v/>
      </c>
      <c r="BJ316" s="116" t="str">
        <f>IF(AND($A316&lt;&gt;"",$D316=반별조회!$C$5),COUNTIFS($A$3:$A316,"&lt;&gt;",$D$3:$D316,반별조회!$C$5),"")</f>
        <v/>
      </c>
    </row>
    <row r="317" spans="1:62" ht="15" customHeight="1">
      <c r="A317" s="102"/>
      <c r="B317" s="102"/>
      <c r="C317" s="102"/>
      <c r="D317" s="101"/>
      <c r="E317" s="105"/>
      <c r="F317" s="105" t="str">
        <f t="shared" ca="1" si="12"/>
        <v/>
      </c>
      <c r="G317" s="105"/>
      <c r="H317" s="105"/>
      <c r="I317" s="105"/>
      <c r="J317" s="105"/>
      <c r="K317" s="105"/>
      <c r="L317" s="105"/>
      <c r="M317" s="105"/>
      <c r="N317" s="105"/>
      <c r="O317" s="105"/>
      <c r="P317" s="106"/>
      <c r="Q317" s="106"/>
      <c r="R317" s="106"/>
      <c r="S317" s="107"/>
      <c r="T317" s="106"/>
      <c r="U317" s="106"/>
      <c r="V317" s="108"/>
      <c r="W317" s="108"/>
      <c r="X317" s="108"/>
      <c r="Y317" s="108"/>
      <c r="Z317" s="109"/>
      <c r="AA317" s="109"/>
      <c r="AB317" s="109"/>
      <c r="AC317" s="109"/>
      <c r="AD317" s="110"/>
      <c r="AE317" s="110"/>
      <c r="AF317" s="110"/>
      <c r="AG317" s="110"/>
      <c r="AH317" s="110"/>
      <c r="AI317" s="110"/>
      <c r="AJ317" s="110"/>
      <c r="AK317" s="110"/>
      <c r="AL317" s="110"/>
      <c r="AM317" s="110"/>
      <c r="AN317" s="110"/>
      <c r="AO317" s="110"/>
      <c r="AP317" s="110"/>
      <c r="AQ317" s="111"/>
      <c r="AR317" s="110"/>
      <c r="AS317" s="111"/>
      <c r="AT317" s="112"/>
      <c r="AU317" s="112"/>
      <c r="AV317" s="112"/>
      <c r="AW317" s="112"/>
      <c r="AX317" s="112"/>
      <c r="AY317" s="112"/>
      <c r="AZ317" s="112"/>
      <c r="BA317" s="112"/>
      <c r="BB317" s="112"/>
      <c r="BC317" s="112"/>
      <c r="BD317" s="113"/>
      <c r="BE317" s="114"/>
      <c r="BF317" s="115"/>
      <c r="BG317" s="115"/>
      <c r="BH317" s="116" t="str">
        <f t="shared" si="13"/>
        <v/>
      </c>
      <c r="BI317" s="116" t="str">
        <f t="shared" si="14"/>
        <v/>
      </c>
      <c r="BJ317" s="116" t="str">
        <f>IF(AND($A317&lt;&gt;"",$D317=반별조회!$C$5),COUNTIFS($A$3:$A317,"&lt;&gt;",$D$3:$D317,반별조회!$C$5),"")</f>
        <v/>
      </c>
    </row>
    <row r="318" spans="1:62" ht="15" customHeight="1">
      <c r="A318" s="102"/>
      <c r="B318" s="102"/>
      <c r="C318" s="102"/>
      <c r="D318" s="101"/>
      <c r="E318" s="105"/>
      <c r="F318" s="105" t="str">
        <f t="shared" ca="1" si="12"/>
        <v/>
      </c>
      <c r="G318" s="105"/>
      <c r="H318" s="105"/>
      <c r="I318" s="105"/>
      <c r="J318" s="105"/>
      <c r="K318" s="105"/>
      <c r="L318" s="105"/>
      <c r="M318" s="105"/>
      <c r="N318" s="105"/>
      <c r="O318" s="105"/>
      <c r="P318" s="106"/>
      <c r="Q318" s="106"/>
      <c r="R318" s="106"/>
      <c r="S318" s="107"/>
      <c r="T318" s="106"/>
      <c r="U318" s="106"/>
      <c r="V318" s="108"/>
      <c r="W318" s="108"/>
      <c r="X318" s="108"/>
      <c r="Y318" s="108"/>
      <c r="Z318" s="109"/>
      <c r="AA318" s="109"/>
      <c r="AB318" s="109"/>
      <c r="AC318" s="109"/>
      <c r="AD318" s="110"/>
      <c r="AE318" s="110"/>
      <c r="AF318" s="110"/>
      <c r="AG318" s="110"/>
      <c r="AH318" s="110"/>
      <c r="AI318" s="110"/>
      <c r="AJ318" s="110"/>
      <c r="AK318" s="110"/>
      <c r="AL318" s="110"/>
      <c r="AM318" s="110"/>
      <c r="AN318" s="110"/>
      <c r="AO318" s="110"/>
      <c r="AP318" s="110"/>
      <c r="AQ318" s="111"/>
      <c r="AR318" s="110"/>
      <c r="AS318" s="111"/>
      <c r="AT318" s="112"/>
      <c r="AU318" s="112"/>
      <c r="AV318" s="112"/>
      <c r="AW318" s="112"/>
      <c r="AX318" s="112"/>
      <c r="AY318" s="112"/>
      <c r="AZ318" s="112"/>
      <c r="BA318" s="112"/>
      <c r="BB318" s="112"/>
      <c r="BC318" s="112"/>
      <c r="BD318" s="113"/>
      <c r="BE318" s="114"/>
      <c r="BF318" s="115"/>
      <c r="BG318" s="115"/>
      <c r="BH318" s="116" t="str">
        <f t="shared" si="13"/>
        <v/>
      </c>
      <c r="BI318" s="116" t="str">
        <f t="shared" si="14"/>
        <v/>
      </c>
      <c r="BJ318" s="116" t="str">
        <f>IF(AND($A318&lt;&gt;"",$D318=반별조회!$C$5),COUNTIFS($A$3:$A318,"&lt;&gt;",$D$3:$D318,반별조회!$C$5),"")</f>
        <v/>
      </c>
    </row>
    <row r="319" spans="1:62" ht="15" customHeight="1">
      <c r="A319" s="102"/>
      <c r="B319" s="102"/>
      <c r="C319" s="102"/>
      <c r="D319" s="101"/>
      <c r="E319" s="105"/>
      <c r="F319" s="105" t="str">
        <f t="shared" ca="1" si="12"/>
        <v/>
      </c>
      <c r="G319" s="105"/>
      <c r="H319" s="105"/>
      <c r="I319" s="105"/>
      <c r="J319" s="105"/>
      <c r="K319" s="105"/>
      <c r="L319" s="105"/>
      <c r="M319" s="105"/>
      <c r="N319" s="105"/>
      <c r="O319" s="105"/>
      <c r="P319" s="106"/>
      <c r="Q319" s="106"/>
      <c r="R319" s="106"/>
      <c r="S319" s="107"/>
      <c r="T319" s="106"/>
      <c r="U319" s="106"/>
      <c r="V319" s="108"/>
      <c r="W319" s="108"/>
      <c r="X319" s="108"/>
      <c r="Y319" s="108"/>
      <c r="Z319" s="109"/>
      <c r="AA319" s="109"/>
      <c r="AB319" s="109"/>
      <c r="AC319" s="109"/>
      <c r="AD319" s="110"/>
      <c r="AE319" s="110"/>
      <c r="AF319" s="110"/>
      <c r="AG319" s="110"/>
      <c r="AH319" s="110"/>
      <c r="AI319" s="110"/>
      <c r="AJ319" s="110"/>
      <c r="AK319" s="110"/>
      <c r="AL319" s="110"/>
      <c r="AM319" s="110"/>
      <c r="AN319" s="110"/>
      <c r="AO319" s="110"/>
      <c r="AP319" s="110"/>
      <c r="AQ319" s="111"/>
      <c r="AR319" s="110"/>
      <c r="AS319" s="111"/>
      <c r="AT319" s="112"/>
      <c r="AU319" s="112"/>
      <c r="AV319" s="112"/>
      <c r="AW319" s="112"/>
      <c r="AX319" s="112"/>
      <c r="AY319" s="112"/>
      <c r="AZ319" s="112"/>
      <c r="BA319" s="112"/>
      <c r="BB319" s="112"/>
      <c r="BC319" s="112"/>
      <c r="BD319" s="113"/>
      <c r="BE319" s="114"/>
      <c r="BF319" s="115"/>
      <c r="BG319" s="115"/>
      <c r="BH319" s="116" t="str">
        <f t="shared" si="13"/>
        <v/>
      </c>
      <c r="BI319" s="116" t="str">
        <f t="shared" si="14"/>
        <v/>
      </c>
      <c r="BJ319" s="116" t="str">
        <f>IF(AND($A319&lt;&gt;"",$D319=반별조회!$C$5),COUNTIFS($A$3:$A319,"&lt;&gt;",$D$3:$D319,반별조회!$C$5),"")</f>
        <v/>
      </c>
    </row>
    <row r="320" spans="1:62" ht="15" customHeight="1">
      <c r="A320" s="102"/>
      <c r="B320" s="102"/>
      <c r="C320" s="102"/>
      <c r="D320" s="101"/>
      <c r="E320" s="105"/>
      <c r="F320" s="105" t="str">
        <f t="shared" ca="1" si="12"/>
        <v/>
      </c>
      <c r="G320" s="105"/>
      <c r="H320" s="105"/>
      <c r="I320" s="105"/>
      <c r="J320" s="105"/>
      <c r="K320" s="105"/>
      <c r="L320" s="105"/>
      <c r="M320" s="105"/>
      <c r="N320" s="105"/>
      <c r="O320" s="105"/>
      <c r="P320" s="106"/>
      <c r="Q320" s="106"/>
      <c r="R320" s="106"/>
      <c r="S320" s="107"/>
      <c r="T320" s="106"/>
      <c r="U320" s="106"/>
      <c r="V320" s="108"/>
      <c r="W320" s="108"/>
      <c r="X320" s="108"/>
      <c r="Y320" s="108"/>
      <c r="Z320" s="109"/>
      <c r="AA320" s="109"/>
      <c r="AB320" s="109"/>
      <c r="AC320" s="109"/>
      <c r="AD320" s="110"/>
      <c r="AE320" s="110"/>
      <c r="AF320" s="110"/>
      <c r="AG320" s="110"/>
      <c r="AH320" s="110"/>
      <c r="AI320" s="110"/>
      <c r="AJ320" s="110"/>
      <c r="AK320" s="110"/>
      <c r="AL320" s="110"/>
      <c r="AM320" s="110"/>
      <c r="AN320" s="110"/>
      <c r="AO320" s="110"/>
      <c r="AP320" s="110"/>
      <c r="AQ320" s="111"/>
      <c r="AR320" s="110"/>
      <c r="AS320" s="111"/>
      <c r="AT320" s="112"/>
      <c r="AU320" s="112"/>
      <c r="AV320" s="112"/>
      <c r="AW320" s="112"/>
      <c r="AX320" s="112"/>
      <c r="AY320" s="112"/>
      <c r="AZ320" s="112"/>
      <c r="BA320" s="112"/>
      <c r="BB320" s="112"/>
      <c r="BC320" s="112"/>
      <c r="BD320" s="113"/>
      <c r="BE320" s="114"/>
      <c r="BF320" s="115"/>
      <c r="BG320" s="115"/>
      <c r="BH320" s="116" t="str">
        <f t="shared" si="13"/>
        <v/>
      </c>
      <c r="BI320" s="116" t="str">
        <f t="shared" si="14"/>
        <v/>
      </c>
      <c r="BJ320" s="116" t="str">
        <f>IF(AND($A320&lt;&gt;"",$D320=반별조회!$C$5),COUNTIFS($A$3:$A320,"&lt;&gt;",$D$3:$D320,반별조회!$C$5),"")</f>
        <v/>
      </c>
    </row>
    <row r="321" spans="1:62" ht="15" customHeight="1">
      <c r="A321" s="102"/>
      <c r="B321" s="102"/>
      <c r="C321" s="102"/>
      <c r="D321" s="101"/>
      <c r="E321" s="105"/>
      <c r="F321" s="105" t="str">
        <f t="shared" ca="1" si="12"/>
        <v/>
      </c>
      <c r="G321" s="105"/>
      <c r="H321" s="105"/>
      <c r="I321" s="105"/>
      <c r="J321" s="105"/>
      <c r="K321" s="105"/>
      <c r="L321" s="105"/>
      <c r="M321" s="105"/>
      <c r="N321" s="105"/>
      <c r="O321" s="105"/>
      <c r="P321" s="106"/>
      <c r="Q321" s="106"/>
      <c r="R321" s="106"/>
      <c r="S321" s="107"/>
      <c r="T321" s="106"/>
      <c r="U321" s="106"/>
      <c r="V321" s="108"/>
      <c r="W321" s="108"/>
      <c r="X321" s="108"/>
      <c r="Y321" s="108"/>
      <c r="Z321" s="109"/>
      <c r="AA321" s="109"/>
      <c r="AB321" s="109"/>
      <c r="AC321" s="109"/>
      <c r="AD321" s="110"/>
      <c r="AE321" s="110"/>
      <c r="AF321" s="110"/>
      <c r="AG321" s="110"/>
      <c r="AH321" s="110"/>
      <c r="AI321" s="110"/>
      <c r="AJ321" s="110"/>
      <c r="AK321" s="110"/>
      <c r="AL321" s="110"/>
      <c r="AM321" s="110"/>
      <c r="AN321" s="110"/>
      <c r="AO321" s="110"/>
      <c r="AP321" s="110"/>
      <c r="AQ321" s="111"/>
      <c r="AR321" s="110"/>
      <c r="AS321" s="111"/>
      <c r="AT321" s="112"/>
      <c r="AU321" s="112"/>
      <c r="AV321" s="112"/>
      <c r="AW321" s="112"/>
      <c r="AX321" s="112"/>
      <c r="AY321" s="112"/>
      <c r="AZ321" s="112"/>
      <c r="BA321" s="112"/>
      <c r="BB321" s="112"/>
      <c r="BC321" s="112"/>
      <c r="BD321" s="113"/>
      <c r="BE321" s="114"/>
      <c r="BF321" s="115"/>
      <c r="BG321" s="115"/>
      <c r="BH321" s="116" t="str">
        <f t="shared" si="13"/>
        <v/>
      </c>
      <c r="BI321" s="116" t="str">
        <f t="shared" si="14"/>
        <v/>
      </c>
      <c r="BJ321" s="116" t="str">
        <f>IF(AND($A321&lt;&gt;"",$D321=반별조회!$C$5),COUNTIFS($A$3:$A321,"&lt;&gt;",$D$3:$D321,반별조회!$C$5),"")</f>
        <v/>
      </c>
    </row>
    <row r="322" spans="1:62" ht="15" customHeight="1">
      <c r="A322" s="102"/>
      <c r="B322" s="102"/>
      <c r="C322" s="102"/>
      <c r="D322" s="101"/>
      <c r="E322" s="105"/>
      <c r="F322" s="105" t="str">
        <f t="shared" ca="1" si="12"/>
        <v/>
      </c>
      <c r="G322" s="105"/>
      <c r="H322" s="105"/>
      <c r="I322" s="105"/>
      <c r="J322" s="105"/>
      <c r="K322" s="105"/>
      <c r="L322" s="105"/>
      <c r="M322" s="105"/>
      <c r="N322" s="105"/>
      <c r="O322" s="105"/>
      <c r="P322" s="106"/>
      <c r="Q322" s="106"/>
      <c r="R322" s="106"/>
      <c r="S322" s="107"/>
      <c r="T322" s="106"/>
      <c r="U322" s="106"/>
      <c r="V322" s="108"/>
      <c r="W322" s="108"/>
      <c r="X322" s="108"/>
      <c r="Y322" s="108"/>
      <c r="Z322" s="109"/>
      <c r="AA322" s="109"/>
      <c r="AB322" s="109"/>
      <c r="AC322" s="109"/>
      <c r="AD322" s="110"/>
      <c r="AE322" s="110"/>
      <c r="AF322" s="110"/>
      <c r="AG322" s="110"/>
      <c r="AH322" s="110"/>
      <c r="AI322" s="110"/>
      <c r="AJ322" s="110"/>
      <c r="AK322" s="110"/>
      <c r="AL322" s="110"/>
      <c r="AM322" s="110"/>
      <c r="AN322" s="110"/>
      <c r="AO322" s="110"/>
      <c r="AP322" s="110"/>
      <c r="AQ322" s="111"/>
      <c r="AR322" s="110"/>
      <c r="AS322" s="111"/>
      <c r="AT322" s="112"/>
      <c r="AU322" s="112"/>
      <c r="AV322" s="112"/>
      <c r="AW322" s="112"/>
      <c r="AX322" s="112"/>
      <c r="AY322" s="112"/>
      <c r="AZ322" s="112"/>
      <c r="BA322" s="112"/>
      <c r="BB322" s="112"/>
      <c r="BC322" s="112"/>
      <c r="BD322" s="113"/>
      <c r="BE322" s="114"/>
      <c r="BF322" s="115"/>
      <c r="BG322" s="115"/>
      <c r="BH322" s="116" t="str">
        <f t="shared" si="13"/>
        <v/>
      </c>
      <c r="BI322" s="116" t="str">
        <f t="shared" si="14"/>
        <v/>
      </c>
      <c r="BJ322" s="116" t="str">
        <f>IF(AND($A322&lt;&gt;"",$D322=반별조회!$C$5),COUNTIFS($A$3:$A322,"&lt;&gt;",$D$3:$D322,반별조회!$C$5),"")</f>
        <v/>
      </c>
    </row>
    <row r="323" spans="1:62" ht="15" customHeight="1">
      <c r="A323" s="102"/>
      <c r="B323" s="102"/>
      <c r="C323" s="102"/>
      <c r="D323" s="101"/>
      <c r="E323" s="105"/>
      <c r="F323" s="105" t="str">
        <f t="shared" ref="F323:F386" ca="1" si="15">IF($E323="","",INT((TODAY()-$E323)/365.25))</f>
        <v/>
      </c>
      <c r="G323" s="105"/>
      <c r="H323" s="105"/>
      <c r="I323" s="105"/>
      <c r="J323" s="105"/>
      <c r="K323" s="105"/>
      <c r="L323" s="105"/>
      <c r="M323" s="105"/>
      <c r="N323" s="105"/>
      <c r="O323" s="105"/>
      <c r="P323" s="106"/>
      <c r="Q323" s="106"/>
      <c r="R323" s="106"/>
      <c r="S323" s="107"/>
      <c r="T323" s="106"/>
      <c r="U323" s="106"/>
      <c r="V323" s="108"/>
      <c r="W323" s="108"/>
      <c r="X323" s="108"/>
      <c r="Y323" s="108"/>
      <c r="Z323" s="109"/>
      <c r="AA323" s="109"/>
      <c r="AB323" s="109"/>
      <c r="AC323" s="109"/>
      <c r="AD323" s="110"/>
      <c r="AE323" s="110"/>
      <c r="AF323" s="110"/>
      <c r="AG323" s="110"/>
      <c r="AH323" s="110"/>
      <c r="AI323" s="110"/>
      <c r="AJ323" s="110"/>
      <c r="AK323" s="110"/>
      <c r="AL323" s="110"/>
      <c r="AM323" s="110"/>
      <c r="AN323" s="110"/>
      <c r="AO323" s="110"/>
      <c r="AP323" s="110"/>
      <c r="AQ323" s="111"/>
      <c r="AR323" s="110"/>
      <c r="AS323" s="111"/>
      <c r="AT323" s="112"/>
      <c r="AU323" s="112"/>
      <c r="AV323" s="112"/>
      <c r="AW323" s="112"/>
      <c r="AX323" s="112"/>
      <c r="AY323" s="112"/>
      <c r="AZ323" s="112"/>
      <c r="BA323" s="112"/>
      <c r="BB323" s="112"/>
      <c r="BC323" s="112"/>
      <c r="BD323" s="113"/>
      <c r="BE323" s="114"/>
      <c r="BF323" s="115"/>
      <c r="BG323" s="115"/>
      <c r="BH323" s="116" t="str">
        <f t="shared" ref="BH323:BH386" si="16">IF($A323="","","SYNK-"&amp;TEXT(ROW()-2,"000"))</f>
        <v/>
      </c>
      <c r="BI323" s="116" t="str">
        <f t="shared" ref="BI323:BI386" si="17">IF(A323="","",TRIM(IF(AA323="거절","⚠비자거절 ","")&amp;IF(AS323="설득필요","⚠가족설득필요 ","")&amp;IF(AND(W323="5~6급",OR(S323="완전초보",S323="기초")),"⚠목표-수준괴리 ","")&amp;IF(AND(AQ323="빠듯함",AS323="설득필요"),"⚠재정리스크 ","")))</f>
        <v/>
      </c>
      <c r="BJ323" s="116" t="str">
        <f>IF(AND($A323&lt;&gt;"",$D323=반별조회!$C$5),COUNTIFS($A$3:$A323,"&lt;&gt;",$D$3:$D323,반별조회!$C$5),"")</f>
        <v/>
      </c>
    </row>
    <row r="324" spans="1:62" ht="15" customHeight="1">
      <c r="A324" s="102"/>
      <c r="B324" s="102"/>
      <c r="C324" s="102"/>
      <c r="D324" s="101"/>
      <c r="E324" s="105"/>
      <c r="F324" s="105" t="str">
        <f t="shared" ca="1" si="15"/>
        <v/>
      </c>
      <c r="G324" s="105"/>
      <c r="H324" s="105"/>
      <c r="I324" s="105"/>
      <c r="J324" s="105"/>
      <c r="K324" s="105"/>
      <c r="L324" s="105"/>
      <c r="M324" s="105"/>
      <c r="N324" s="105"/>
      <c r="O324" s="105"/>
      <c r="P324" s="106"/>
      <c r="Q324" s="106"/>
      <c r="R324" s="106"/>
      <c r="S324" s="107"/>
      <c r="T324" s="106"/>
      <c r="U324" s="106"/>
      <c r="V324" s="108"/>
      <c r="W324" s="108"/>
      <c r="X324" s="108"/>
      <c r="Y324" s="108"/>
      <c r="Z324" s="109"/>
      <c r="AA324" s="109"/>
      <c r="AB324" s="109"/>
      <c r="AC324" s="109"/>
      <c r="AD324" s="110"/>
      <c r="AE324" s="110"/>
      <c r="AF324" s="110"/>
      <c r="AG324" s="110"/>
      <c r="AH324" s="110"/>
      <c r="AI324" s="110"/>
      <c r="AJ324" s="110"/>
      <c r="AK324" s="110"/>
      <c r="AL324" s="110"/>
      <c r="AM324" s="110"/>
      <c r="AN324" s="110"/>
      <c r="AO324" s="110"/>
      <c r="AP324" s="110"/>
      <c r="AQ324" s="111"/>
      <c r="AR324" s="110"/>
      <c r="AS324" s="111"/>
      <c r="AT324" s="112"/>
      <c r="AU324" s="112"/>
      <c r="AV324" s="112"/>
      <c r="AW324" s="112"/>
      <c r="AX324" s="112"/>
      <c r="AY324" s="112"/>
      <c r="AZ324" s="112"/>
      <c r="BA324" s="112"/>
      <c r="BB324" s="112"/>
      <c r="BC324" s="112"/>
      <c r="BD324" s="113"/>
      <c r="BE324" s="114"/>
      <c r="BF324" s="115"/>
      <c r="BG324" s="115"/>
      <c r="BH324" s="116" t="str">
        <f t="shared" si="16"/>
        <v/>
      </c>
      <c r="BI324" s="116" t="str">
        <f t="shared" si="17"/>
        <v/>
      </c>
      <c r="BJ324" s="116" t="str">
        <f>IF(AND($A324&lt;&gt;"",$D324=반별조회!$C$5),COUNTIFS($A$3:$A324,"&lt;&gt;",$D$3:$D324,반별조회!$C$5),"")</f>
        <v/>
      </c>
    </row>
    <row r="325" spans="1:62" ht="15" customHeight="1">
      <c r="A325" s="102"/>
      <c r="B325" s="102"/>
      <c r="C325" s="102"/>
      <c r="D325" s="101"/>
      <c r="E325" s="105"/>
      <c r="F325" s="105" t="str">
        <f t="shared" ca="1" si="15"/>
        <v/>
      </c>
      <c r="G325" s="105"/>
      <c r="H325" s="105"/>
      <c r="I325" s="105"/>
      <c r="J325" s="105"/>
      <c r="K325" s="105"/>
      <c r="L325" s="105"/>
      <c r="M325" s="105"/>
      <c r="N325" s="105"/>
      <c r="O325" s="105"/>
      <c r="P325" s="106"/>
      <c r="Q325" s="106"/>
      <c r="R325" s="106"/>
      <c r="S325" s="107"/>
      <c r="T325" s="106"/>
      <c r="U325" s="106"/>
      <c r="V325" s="108"/>
      <c r="W325" s="108"/>
      <c r="X325" s="108"/>
      <c r="Y325" s="108"/>
      <c r="Z325" s="109"/>
      <c r="AA325" s="109"/>
      <c r="AB325" s="109"/>
      <c r="AC325" s="109"/>
      <c r="AD325" s="110"/>
      <c r="AE325" s="110"/>
      <c r="AF325" s="110"/>
      <c r="AG325" s="110"/>
      <c r="AH325" s="110"/>
      <c r="AI325" s="110"/>
      <c r="AJ325" s="110"/>
      <c r="AK325" s="110"/>
      <c r="AL325" s="110"/>
      <c r="AM325" s="110"/>
      <c r="AN325" s="110"/>
      <c r="AO325" s="110"/>
      <c r="AP325" s="110"/>
      <c r="AQ325" s="111"/>
      <c r="AR325" s="110"/>
      <c r="AS325" s="111"/>
      <c r="AT325" s="112"/>
      <c r="AU325" s="112"/>
      <c r="AV325" s="112"/>
      <c r="AW325" s="112"/>
      <c r="AX325" s="112"/>
      <c r="AY325" s="112"/>
      <c r="AZ325" s="112"/>
      <c r="BA325" s="112"/>
      <c r="BB325" s="112"/>
      <c r="BC325" s="112"/>
      <c r="BD325" s="113"/>
      <c r="BE325" s="114"/>
      <c r="BF325" s="115"/>
      <c r="BG325" s="115"/>
      <c r="BH325" s="116" t="str">
        <f t="shared" si="16"/>
        <v/>
      </c>
      <c r="BI325" s="116" t="str">
        <f t="shared" si="17"/>
        <v/>
      </c>
      <c r="BJ325" s="116" t="str">
        <f>IF(AND($A325&lt;&gt;"",$D325=반별조회!$C$5),COUNTIFS($A$3:$A325,"&lt;&gt;",$D$3:$D325,반별조회!$C$5),"")</f>
        <v/>
      </c>
    </row>
    <row r="326" spans="1:62" ht="15" customHeight="1">
      <c r="A326" s="102"/>
      <c r="B326" s="102"/>
      <c r="C326" s="102"/>
      <c r="D326" s="101"/>
      <c r="E326" s="105"/>
      <c r="F326" s="105" t="str">
        <f t="shared" ca="1" si="15"/>
        <v/>
      </c>
      <c r="G326" s="105"/>
      <c r="H326" s="105"/>
      <c r="I326" s="105"/>
      <c r="J326" s="105"/>
      <c r="K326" s="105"/>
      <c r="L326" s="105"/>
      <c r="M326" s="105"/>
      <c r="N326" s="105"/>
      <c r="O326" s="105"/>
      <c r="P326" s="106"/>
      <c r="Q326" s="106"/>
      <c r="R326" s="106"/>
      <c r="S326" s="107"/>
      <c r="T326" s="106"/>
      <c r="U326" s="106"/>
      <c r="V326" s="108"/>
      <c r="W326" s="108"/>
      <c r="X326" s="108"/>
      <c r="Y326" s="108"/>
      <c r="Z326" s="109"/>
      <c r="AA326" s="109"/>
      <c r="AB326" s="109"/>
      <c r="AC326" s="109"/>
      <c r="AD326" s="110"/>
      <c r="AE326" s="110"/>
      <c r="AF326" s="110"/>
      <c r="AG326" s="110"/>
      <c r="AH326" s="110"/>
      <c r="AI326" s="110"/>
      <c r="AJ326" s="110"/>
      <c r="AK326" s="110"/>
      <c r="AL326" s="110"/>
      <c r="AM326" s="110"/>
      <c r="AN326" s="110"/>
      <c r="AO326" s="110"/>
      <c r="AP326" s="110"/>
      <c r="AQ326" s="111"/>
      <c r="AR326" s="110"/>
      <c r="AS326" s="111"/>
      <c r="AT326" s="112"/>
      <c r="AU326" s="112"/>
      <c r="AV326" s="112"/>
      <c r="AW326" s="112"/>
      <c r="AX326" s="112"/>
      <c r="AY326" s="112"/>
      <c r="AZ326" s="112"/>
      <c r="BA326" s="112"/>
      <c r="BB326" s="112"/>
      <c r="BC326" s="112"/>
      <c r="BD326" s="113"/>
      <c r="BE326" s="114"/>
      <c r="BF326" s="115"/>
      <c r="BG326" s="115"/>
      <c r="BH326" s="116" t="str">
        <f t="shared" si="16"/>
        <v/>
      </c>
      <c r="BI326" s="116" t="str">
        <f t="shared" si="17"/>
        <v/>
      </c>
      <c r="BJ326" s="116" t="str">
        <f>IF(AND($A326&lt;&gt;"",$D326=반별조회!$C$5),COUNTIFS($A$3:$A326,"&lt;&gt;",$D$3:$D326,반별조회!$C$5),"")</f>
        <v/>
      </c>
    </row>
    <row r="327" spans="1:62" ht="15" customHeight="1">
      <c r="A327" s="102"/>
      <c r="B327" s="102"/>
      <c r="C327" s="102"/>
      <c r="D327" s="101"/>
      <c r="E327" s="105"/>
      <c r="F327" s="105" t="str">
        <f t="shared" ca="1" si="15"/>
        <v/>
      </c>
      <c r="G327" s="105"/>
      <c r="H327" s="105"/>
      <c r="I327" s="105"/>
      <c r="J327" s="105"/>
      <c r="K327" s="105"/>
      <c r="L327" s="105"/>
      <c r="M327" s="105"/>
      <c r="N327" s="105"/>
      <c r="O327" s="105"/>
      <c r="P327" s="106"/>
      <c r="Q327" s="106"/>
      <c r="R327" s="106"/>
      <c r="S327" s="107"/>
      <c r="T327" s="106"/>
      <c r="U327" s="106"/>
      <c r="V327" s="108"/>
      <c r="W327" s="108"/>
      <c r="X327" s="108"/>
      <c r="Y327" s="108"/>
      <c r="Z327" s="109"/>
      <c r="AA327" s="109"/>
      <c r="AB327" s="109"/>
      <c r="AC327" s="109"/>
      <c r="AD327" s="110"/>
      <c r="AE327" s="110"/>
      <c r="AF327" s="110"/>
      <c r="AG327" s="110"/>
      <c r="AH327" s="110"/>
      <c r="AI327" s="110"/>
      <c r="AJ327" s="110"/>
      <c r="AK327" s="110"/>
      <c r="AL327" s="110"/>
      <c r="AM327" s="110"/>
      <c r="AN327" s="110"/>
      <c r="AO327" s="110"/>
      <c r="AP327" s="110"/>
      <c r="AQ327" s="111"/>
      <c r="AR327" s="110"/>
      <c r="AS327" s="111"/>
      <c r="AT327" s="112"/>
      <c r="AU327" s="112"/>
      <c r="AV327" s="112"/>
      <c r="AW327" s="112"/>
      <c r="AX327" s="112"/>
      <c r="AY327" s="112"/>
      <c r="AZ327" s="112"/>
      <c r="BA327" s="112"/>
      <c r="BB327" s="112"/>
      <c r="BC327" s="112"/>
      <c r="BD327" s="113"/>
      <c r="BE327" s="114"/>
      <c r="BF327" s="115"/>
      <c r="BG327" s="115"/>
      <c r="BH327" s="116" t="str">
        <f t="shared" si="16"/>
        <v/>
      </c>
      <c r="BI327" s="116" t="str">
        <f t="shared" si="17"/>
        <v/>
      </c>
      <c r="BJ327" s="116" t="str">
        <f>IF(AND($A327&lt;&gt;"",$D327=반별조회!$C$5),COUNTIFS($A$3:$A327,"&lt;&gt;",$D$3:$D327,반별조회!$C$5),"")</f>
        <v/>
      </c>
    </row>
    <row r="328" spans="1:62" ht="15" customHeight="1">
      <c r="A328" s="102"/>
      <c r="B328" s="102"/>
      <c r="C328" s="102"/>
      <c r="D328" s="101"/>
      <c r="E328" s="105"/>
      <c r="F328" s="105" t="str">
        <f t="shared" ca="1" si="15"/>
        <v/>
      </c>
      <c r="G328" s="105"/>
      <c r="H328" s="105"/>
      <c r="I328" s="105"/>
      <c r="J328" s="105"/>
      <c r="K328" s="105"/>
      <c r="L328" s="105"/>
      <c r="M328" s="105"/>
      <c r="N328" s="105"/>
      <c r="O328" s="105"/>
      <c r="P328" s="106"/>
      <c r="Q328" s="106"/>
      <c r="R328" s="106"/>
      <c r="S328" s="107"/>
      <c r="T328" s="106"/>
      <c r="U328" s="106"/>
      <c r="V328" s="108"/>
      <c r="W328" s="108"/>
      <c r="X328" s="108"/>
      <c r="Y328" s="108"/>
      <c r="Z328" s="109"/>
      <c r="AA328" s="109"/>
      <c r="AB328" s="109"/>
      <c r="AC328" s="109"/>
      <c r="AD328" s="110"/>
      <c r="AE328" s="110"/>
      <c r="AF328" s="110"/>
      <c r="AG328" s="110"/>
      <c r="AH328" s="110"/>
      <c r="AI328" s="110"/>
      <c r="AJ328" s="110"/>
      <c r="AK328" s="110"/>
      <c r="AL328" s="110"/>
      <c r="AM328" s="110"/>
      <c r="AN328" s="110"/>
      <c r="AO328" s="110"/>
      <c r="AP328" s="110"/>
      <c r="AQ328" s="111"/>
      <c r="AR328" s="110"/>
      <c r="AS328" s="111"/>
      <c r="AT328" s="112"/>
      <c r="AU328" s="112"/>
      <c r="AV328" s="112"/>
      <c r="AW328" s="112"/>
      <c r="AX328" s="112"/>
      <c r="AY328" s="112"/>
      <c r="AZ328" s="112"/>
      <c r="BA328" s="112"/>
      <c r="BB328" s="112"/>
      <c r="BC328" s="112"/>
      <c r="BD328" s="113"/>
      <c r="BE328" s="114"/>
      <c r="BF328" s="115"/>
      <c r="BG328" s="115"/>
      <c r="BH328" s="116" t="str">
        <f t="shared" si="16"/>
        <v/>
      </c>
      <c r="BI328" s="116" t="str">
        <f t="shared" si="17"/>
        <v/>
      </c>
      <c r="BJ328" s="116" t="str">
        <f>IF(AND($A328&lt;&gt;"",$D328=반별조회!$C$5),COUNTIFS($A$3:$A328,"&lt;&gt;",$D$3:$D328,반별조회!$C$5),"")</f>
        <v/>
      </c>
    </row>
    <row r="329" spans="1:62" ht="15" customHeight="1">
      <c r="A329" s="102"/>
      <c r="B329" s="102"/>
      <c r="C329" s="102"/>
      <c r="D329" s="101"/>
      <c r="E329" s="105"/>
      <c r="F329" s="105" t="str">
        <f t="shared" ca="1" si="15"/>
        <v/>
      </c>
      <c r="G329" s="105"/>
      <c r="H329" s="105"/>
      <c r="I329" s="105"/>
      <c r="J329" s="105"/>
      <c r="K329" s="105"/>
      <c r="L329" s="105"/>
      <c r="M329" s="105"/>
      <c r="N329" s="105"/>
      <c r="O329" s="105"/>
      <c r="P329" s="106"/>
      <c r="Q329" s="106"/>
      <c r="R329" s="106"/>
      <c r="S329" s="107"/>
      <c r="T329" s="106"/>
      <c r="U329" s="106"/>
      <c r="V329" s="108"/>
      <c r="W329" s="108"/>
      <c r="X329" s="108"/>
      <c r="Y329" s="108"/>
      <c r="Z329" s="109"/>
      <c r="AA329" s="109"/>
      <c r="AB329" s="109"/>
      <c r="AC329" s="109"/>
      <c r="AD329" s="110"/>
      <c r="AE329" s="110"/>
      <c r="AF329" s="110"/>
      <c r="AG329" s="110"/>
      <c r="AH329" s="110"/>
      <c r="AI329" s="110"/>
      <c r="AJ329" s="110"/>
      <c r="AK329" s="110"/>
      <c r="AL329" s="110"/>
      <c r="AM329" s="110"/>
      <c r="AN329" s="110"/>
      <c r="AO329" s="110"/>
      <c r="AP329" s="110"/>
      <c r="AQ329" s="111"/>
      <c r="AR329" s="110"/>
      <c r="AS329" s="111"/>
      <c r="AT329" s="112"/>
      <c r="AU329" s="112"/>
      <c r="AV329" s="112"/>
      <c r="AW329" s="112"/>
      <c r="AX329" s="112"/>
      <c r="AY329" s="112"/>
      <c r="AZ329" s="112"/>
      <c r="BA329" s="112"/>
      <c r="BB329" s="112"/>
      <c r="BC329" s="112"/>
      <c r="BD329" s="113"/>
      <c r="BE329" s="114"/>
      <c r="BF329" s="115"/>
      <c r="BG329" s="115"/>
      <c r="BH329" s="116" t="str">
        <f t="shared" si="16"/>
        <v/>
      </c>
      <c r="BI329" s="116" t="str">
        <f t="shared" si="17"/>
        <v/>
      </c>
      <c r="BJ329" s="116" t="str">
        <f>IF(AND($A329&lt;&gt;"",$D329=반별조회!$C$5),COUNTIFS($A$3:$A329,"&lt;&gt;",$D$3:$D329,반별조회!$C$5),"")</f>
        <v/>
      </c>
    </row>
    <row r="330" spans="1:62" ht="15" customHeight="1">
      <c r="A330" s="102"/>
      <c r="B330" s="102"/>
      <c r="C330" s="102"/>
      <c r="D330" s="101"/>
      <c r="E330" s="105"/>
      <c r="F330" s="105" t="str">
        <f t="shared" ca="1" si="15"/>
        <v/>
      </c>
      <c r="G330" s="105"/>
      <c r="H330" s="105"/>
      <c r="I330" s="105"/>
      <c r="J330" s="105"/>
      <c r="K330" s="105"/>
      <c r="L330" s="105"/>
      <c r="M330" s="105"/>
      <c r="N330" s="105"/>
      <c r="O330" s="105"/>
      <c r="P330" s="106"/>
      <c r="Q330" s="106"/>
      <c r="R330" s="106"/>
      <c r="S330" s="107"/>
      <c r="T330" s="106"/>
      <c r="U330" s="106"/>
      <c r="V330" s="108"/>
      <c r="W330" s="108"/>
      <c r="X330" s="108"/>
      <c r="Y330" s="108"/>
      <c r="Z330" s="109"/>
      <c r="AA330" s="109"/>
      <c r="AB330" s="109"/>
      <c r="AC330" s="109"/>
      <c r="AD330" s="110"/>
      <c r="AE330" s="110"/>
      <c r="AF330" s="110"/>
      <c r="AG330" s="110"/>
      <c r="AH330" s="110"/>
      <c r="AI330" s="110"/>
      <c r="AJ330" s="110"/>
      <c r="AK330" s="110"/>
      <c r="AL330" s="110"/>
      <c r="AM330" s="110"/>
      <c r="AN330" s="110"/>
      <c r="AO330" s="110"/>
      <c r="AP330" s="110"/>
      <c r="AQ330" s="111"/>
      <c r="AR330" s="110"/>
      <c r="AS330" s="111"/>
      <c r="AT330" s="112"/>
      <c r="AU330" s="112"/>
      <c r="AV330" s="112"/>
      <c r="AW330" s="112"/>
      <c r="AX330" s="112"/>
      <c r="AY330" s="112"/>
      <c r="AZ330" s="112"/>
      <c r="BA330" s="112"/>
      <c r="BB330" s="112"/>
      <c r="BC330" s="112"/>
      <c r="BD330" s="113"/>
      <c r="BE330" s="114"/>
      <c r="BF330" s="115"/>
      <c r="BG330" s="115"/>
      <c r="BH330" s="116" t="str">
        <f t="shared" si="16"/>
        <v/>
      </c>
      <c r="BI330" s="116" t="str">
        <f t="shared" si="17"/>
        <v/>
      </c>
      <c r="BJ330" s="116" t="str">
        <f>IF(AND($A330&lt;&gt;"",$D330=반별조회!$C$5),COUNTIFS($A$3:$A330,"&lt;&gt;",$D$3:$D330,반별조회!$C$5),"")</f>
        <v/>
      </c>
    </row>
    <row r="331" spans="1:62" ht="15" customHeight="1">
      <c r="A331" s="102"/>
      <c r="B331" s="102"/>
      <c r="C331" s="102"/>
      <c r="D331" s="101"/>
      <c r="E331" s="105"/>
      <c r="F331" s="105" t="str">
        <f t="shared" ca="1" si="15"/>
        <v/>
      </c>
      <c r="G331" s="105"/>
      <c r="H331" s="105"/>
      <c r="I331" s="105"/>
      <c r="J331" s="105"/>
      <c r="K331" s="105"/>
      <c r="L331" s="105"/>
      <c r="M331" s="105"/>
      <c r="N331" s="105"/>
      <c r="O331" s="105"/>
      <c r="P331" s="106"/>
      <c r="Q331" s="106"/>
      <c r="R331" s="106"/>
      <c r="S331" s="107"/>
      <c r="T331" s="106"/>
      <c r="U331" s="106"/>
      <c r="V331" s="108"/>
      <c r="W331" s="108"/>
      <c r="X331" s="108"/>
      <c r="Y331" s="108"/>
      <c r="Z331" s="109"/>
      <c r="AA331" s="109"/>
      <c r="AB331" s="109"/>
      <c r="AC331" s="109"/>
      <c r="AD331" s="110"/>
      <c r="AE331" s="110"/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1"/>
      <c r="AR331" s="110"/>
      <c r="AS331" s="111"/>
      <c r="AT331" s="112"/>
      <c r="AU331" s="112"/>
      <c r="AV331" s="112"/>
      <c r="AW331" s="112"/>
      <c r="AX331" s="112"/>
      <c r="AY331" s="112"/>
      <c r="AZ331" s="112"/>
      <c r="BA331" s="112"/>
      <c r="BB331" s="112"/>
      <c r="BC331" s="112"/>
      <c r="BD331" s="113"/>
      <c r="BE331" s="114"/>
      <c r="BF331" s="115"/>
      <c r="BG331" s="115"/>
      <c r="BH331" s="116" t="str">
        <f t="shared" si="16"/>
        <v/>
      </c>
      <c r="BI331" s="116" t="str">
        <f t="shared" si="17"/>
        <v/>
      </c>
      <c r="BJ331" s="116" t="str">
        <f>IF(AND($A331&lt;&gt;"",$D331=반별조회!$C$5),COUNTIFS($A$3:$A331,"&lt;&gt;",$D$3:$D331,반별조회!$C$5),"")</f>
        <v/>
      </c>
    </row>
    <row r="332" spans="1:62" ht="15" customHeight="1">
      <c r="A332" s="102"/>
      <c r="B332" s="102"/>
      <c r="C332" s="102"/>
      <c r="D332" s="101"/>
      <c r="E332" s="105"/>
      <c r="F332" s="105" t="str">
        <f t="shared" ca="1" si="15"/>
        <v/>
      </c>
      <c r="G332" s="105"/>
      <c r="H332" s="105"/>
      <c r="I332" s="105"/>
      <c r="J332" s="105"/>
      <c r="K332" s="105"/>
      <c r="L332" s="105"/>
      <c r="M332" s="105"/>
      <c r="N332" s="105"/>
      <c r="O332" s="105"/>
      <c r="P332" s="106"/>
      <c r="Q332" s="106"/>
      <c r="R332" s="106"/>
      <c r="S332" s="107"/>
      <c r="T332" s="106"/>
      <c r="U332" s="106"/>
      <c r="V332" s="108"/>
      <c r="W332" s="108"/>
      <c r="X332" s="108"/>
      <c r="Y332" s="108"/>
      <c r="Z332" s="109"/>
      <c r="AA332" s="109"/>
      <c r="AB332" s="109"/>
      <c r="AC332" s="109"/>
      <c r="AD332" s="110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1"/>
      <c r="AR332" s="110"/>
      <c r="AS332" s="111"/>
      <c r="AT332" s="112"/>
      <c r="AU332" s="112"/>
      <c r="AV332" s="112"/>
      <c r="AW332" s="112"/>
      <c r="AX332" s="112"/>
      <c r="AY332" s="112"/>
      <c r="AZ332" s="112"/>
      <c r="BA332" s="112"/>
      <c r="BB332" s="112"/>
      <c r="BC332" s="112"/>
      <c r="BD332" s="113"/>
      <c r="BE332" s="114"/>
      <c r="BF332" s="115"/>
      <c r="BG332" s="115"/>
      <c r="BH332" s="116" t="str">
        <f t="shared" si="16"/>
        <v/>
      </c>
      <c r="BI332" s="116" t="str">
        <f t="shared" si="17"/>
        <v/>
      </c>
      <c r="BJ332" s="116" t="str">
        <f>IF(AND($A332&lt;&gt;"",$D332=반별조회!$C$5),COUNTIFS($A$3:$A332,"&lt;&gt;",$D$3:$D332,반별조회!$C$5),"")</f>
        <v/>
      </c>
    </row>
    <row r="333" spans="1:62" ht="15" customHeight="1">
      <c r="A333" s="102"/>
      <c r="B333" s="102"/>
      <c r="C333" s="102"/>
      <c r="D333" s="101"/>
      <c r="E333" s="105"/>
      <c r="F333" s="105" t="str">
        <f t="shared" ca="1" si="15"/>
        <v/>
      </c>
      <c r="G333" s="105"/>
      <c r="H333" s="105"/>
      <c r="I333" s="105"/>
      <c r="J333" s="105"/>
      <c r="K333" s="105"/>
      <c r="L333" s="105"/>
      <c r="M333" s="105"/>
      <c r="N333" s="105"/>
      <c r="O333" s="105"/>
      <c r="P333" s="106"/>
      <c r="Q333" s="106"/>
      <c r="R333" s="106"/>
      <c r="S333" s="107"/>
      <c r="T333" s="106"/>
      <c r="U333" s="106"/>
      <c r="V333" s="108"/>
      <c r="W333" s="108"/>
      <c r="X333" s="108"/>
      <c r="Y333" s="108"/>
      <c r="Z333" s="109"/>
      <c r="AA333" s="109"/>
      <c r="AB333" s="109"/>
      <c r="AC333" s="109"/>
      <c r="AD333" s="110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1"/>
      <c r="AR333" s="110"/>
      <c r="AS333" s="111"/>
      <c r="AT333" s="112"/>
      <c r="AU333" s="112"/>
      <c r="AV333" s="112"/>
      <c r="AW333" s="112"/>
      <c r="AX333" s="112"/>
      <c r="AY333" s="112"/>
      <c r="AZ333" s="112"/>
      <c r="BA333" s="112"/>
      <c r="BB333" s="112"/>
      <c r="BC333" s="112"/>
      <c r="BD333" s="113"/>
      <c r="BE333" s="114"/>
      <c r="BF333" s="115"/>
      <c r="BG333" s="115"/>
      <c r="BH333" s="116" t="str">
        <f t="shared" si="16"/>
        <v/>
      </c>
      <c r="BI333" s="116" t="str">
        <f t="shared" si="17"/>
        <v/>
      </c>
      <c r="BJ333" s="116" t="str">
        <f>IF(AND($A333&lt;&gt;"",$D333=반별조회!$C$5),COUNTIFS($A$3:$A333,"&lt;&gt;",$D$3:$D333,반별조회!$C$5),"")</f>
        <v/>
      </c>
    </row>
    <row r="334" spans="1:62" ht="15" customHeight="1">
      <c r="A334" s="102"/>
      <c r="B334" s="102"/>
      <c r="C334" s="102"/>
      <c r="D334" s="101"/>
      <c r="E334" s="105"/>
      <c r="F334" s="105" t="str">
        <f t="shared" ca="1" si="15"/>
        <v/>
      </c>
      <c r="G334" s="105"/>
      <c r="H334" s="105"/>
      <c r="I334" s="105"/>
      <c r="J334" s="105"/>
      <c r="K334" s="105"/>
      <c r="L334" s="105"/>
      <c r="M334" s="105"/>
      <c r="N334" s="105"/>
      <c r="O334" s="105"/>
      <c r="P334" s="106"/>
      <c r="Q334" s="106"/>
      <c r="R334" s="106"/>
      <c r="S334" s="107"/>
      <c r="T334" s="106"/>
      <c r="U334" s="106"/>
      <c r="V334" s="108"/>
      <c r="W334" s="108"/>
      <c r="X334" s="108"/>
      <c r="Y334" s="108"/>
      <c r="Z334" s="109"/>
      <c r="AA334" s="109"/>
      <c r="AB334" s="109"/>
      <c r="AC334" s="109"/>
      <c r="AD334" s="110"/>
      <c r="AE334" s="110"/>
      <c r="AF334" s="110"/>
      <c r="AG334" s="110"/>
      <c r="AH334" s="110"/>
      <c r="AI334" s="110"/>
      <c r="AJ334" s="110"/>
      <c r="AK334" s="110"/>
      <c r="AL334" s="110"/>
      <c r="AM334" s="110"/>
      <c r="AN334" s="110"/>
      <c r="AO334" s="110"/>
      <c r="AP334" s="110"/>
      <c r="AQ334" s="111"/>
      <c r="AR334" s="110"/>
      <c r="AS334" s="111"/>
      <c r="AT334" s="112"/>
      <c r="AU334" s="112"/>
      <c r="AV334" s="112"/>
      <c r="AW334" s="112"/>
      <c r="AX334" s="112"/>
      <c r="AY334" s="112"/>
      <c r="AZ334" s="112"/>
      <c r="BA334" s="112"/>
      <c r="BB334" s="112"/>
      <c r="BC334" s="112"/>
      <c r="BD334" s="113"/>
      <c r="BE334" s="114"/>
      <c r="BF334" s="115"/>
      <c r="BG334" s="115"/>
      <c r="BH334" s="116" t="str">
        <f t="shared" si="16"/>
        <v/>
      </c>
      <c r="BI334" s="116" t="str">
        <f t="shared" si="17"/>
        <v/>
      </c>
      <c r="BJ334" s="116" t="str">
        <f>IF(AND($A334&lt;&gt;"",$D334=반별조회!$C$5),COUNTIFS($A$3:$A334,"&lt;&gt;",$D$3:$D334,반별조회!$C$5),"")</f>
        <v/>
      </c>
    </row>
    <row r="335" spans="1:62" ht="15" customHeight="1">
      <c r="A335" s="102"/>
      <c r="B335" s="102"/>
      <c r="C335" s="102"/>
      <c r="D335" s="101"/>
      <c r="E335" s="105"/>
      <c r="F335" s="105" t="str">
        <f t="shared" ca="1" si="15"/>
        <v/>
      </c>
      <c r="G335" s="105"/>
      <c r="H335" s="105"/>
      <c r="I335" s="105"/>
      <c r="J335" s="105"/>
      <c r="K335" s="105"/>
      <c r="L335" s="105"/>
      <c r="M335" s="105"/>
      <c r="N335" s="105"/>
      <c r="O335" s="105"/>
      <c r="P335" s="106"/>
      <c r="Q335" s="106"/>
      <c r="R335" s="106"/>
      <c r="S335" s="107"/>
      <c r="T335" s="106"/>
      <c r="U335" s="106"/>
      <c r="V335" s="108"/>
      <c r="W335" s="108"/>
      <c r="X335" s="108"/>
      <c r="Y335" s="108"/>
      <c r="Z335" s="109"/>
      <c r="AA335" s="109"/>
      <c r="AB335" s="109"/>
      <c r="AC335" s="109"/>
      <c r="AD335" s="110"/>
      <c r="AE335" s="110"/>
      <c r="AF335" s="110"/>
      <c r="AG335" s="110"/>
      <c r="AH335" s="110"/>
      <c r="AI335" s="110"/>
      <c r="AJ335" s="110"/>
      <c r="AK335" s="110"/>
      <c r="AL335" s="110"/>
      <c r="AM335" s="110"/>
      <c r="AN335" s="110"/>
      <c r="AO335" s="110"/>
      <c r="AP335" s="110"/>
      <c r="AQ335" s="111"/>
      <c r="AR335" s="110"/>
      <c r="AS335" s="111"/>
      <c r="AT335" s="112"/>
      <c r="AU335" s="112"/>
      <c r="AV335" s="112"/>
      <c r="AW335" s="112"/>
      <c r="AX335" s="112"/>
      <c r="AY335" s="112"/>
      <c r="AZ335" s="112"/>
      <c r="BA335" s="112"/>
      <c r="BB335" s="112"/>
      <c r="BC335" s="112"/>
      <c r="BD335" s="113"/>
      <c r="BE335" s="114"/>
      <c r="BF335" s="115"/>
      <c r="BG335" s="115"/>
      <c r="BH335" s="116" t="str">
        <f t="shared" si="16"/>
        <v/>
      </c>
      <c r="BI335" s="116" t="str">
        <f t="shared" si="17"/>
        <v/>
      </c>
      <c r="BJ335" s="116" t="str">
        <f>IF(AND($A335&lt;&gt;"",$D335=반별조회!$C$5),COUNTIFS($A$3:$A335,"&lt;&gt;",$D$3:$D335,반별조회!$C$5),"")</f>
        <v/>
      </c>
    </row>
    <row r="336" spans="1:62" ht="15" customHeight="1">
      <c r="A336" s="102"/>
      <c r="B336" s="102"/>
      <c r="C336" s="102"/>
      <c r="D336" s="101"/>
      <c r="E336" s="105"/>
      <c r="F336" s="105" t="str">
        <f t="shared" ca="1" si="15"/>
        <v/>
      </c>
      <c r="G336" s="105"/>
      <c r="H336" s="105"/>
      <c r="I336" s="105"/>
      <c r="J336" s="105"/>
      <c r="K336" s="105"/>
      <c r="L336" s="105"/>
      <c r="M336" s="105"/>
      <c r="N336" s="105"/>
      <c r="O336" s="105"/>
      <c r="P336" s="106"/>
      <c r="Q336" s="106"/>
      <c r="R336" s="106"/>
      <c r="S336" s="107"/>
      <c r="T336" s="106"/>
      <c r="U336" s="106"/>
      <c r="V336" s="108"/>
      <c r="W336" s="108"/>
      <c r="X336" s="108"/>
      <c r="Y336" s="108"/>
      <c r="Z336" s="109"/>
      <c r="AA336" s="109"/>
      <c r="AB336" s="109"/>
      <c r="AC336" s="109"/>
      <c r="AD336" s="110"/>
      <c r="AE336" s="110"/>
      <c r="AF336" s="110"/>
      <c r="AG336" s="110"/>
      <c r="AH336" s="110"/>
      <c r="AI336" s="110"/>
      <c r="AJ336" s="110"/>
      <c r="AK336" s="110"/>
      <c r="AL336" s="110"/>
      <c r="AM336" s="110"/>
      <c r="AN336" s="110"/>
      <c r="AO336" s="110"/>
      <c r="AP336" s="110"/>
      <c r="AQ336" s="111"/>
      <c r="AR336" s="110"/>
      <c r="AS336" s="111"/>
      <c r="AT336" s="112"/>
      <c r="AU336" s="112"/>
      <c r="AV336" s="112"/>
      <c r="AW336" s="112"/>
      <c r="AX336" s="112"/>
      <c r="AY336" s="112"/>
      <c r="AZ336" s="112"/>
      <c r="BA336" s="112"/>
      <c r="BB336" s="112"/>
      <c r="BC336" s="112"/>
      <c r="BD336" s="113"/>
      <c r="BE336" s="114"/>
      <c r="BF336" s="115"/>
      <c r="BG336" s="115"/>
      <c r="BH336" s="116" t="str">
        <f t="shared" si="16"/>
        <v/>
      </c>
      <c r="BI336" s="116" t="str">
        <f t="shared" si="17"/>
        <v/>
      </c>
      <c r="BJ336" s="116" t="str">
        <f>IF(AND($A336&lt;&gt;"",$D336=반별조회!$C$5),COUNTIFS($A$3:$A336,"&lt;&gt;",$D$3:$D336,반별조회!$C$5),"")</f>
        <v/>
      </c>
    </row>
    <row r="337" spans="1:62" ht="15" customHeight="1">
      <c r="A337" s="102"/>
      <c r="B337" s="102"/>
      <c r="C337" s="102"/>
      <c r="D337" s="101"/>
      <c r="E337" s="105"/>
      <c r="F337" s="105" t="str">
        <f t="shared" ca="1" si="15"/>
        <v/>
      </c>
      <c r="G337" s="105"/>
      <c r="H337" s="105"/>
      <c r="I337" s="105"/>
      <c r="J337" s="105"/>
      <c r="K337" s="105"/>
      <c r="L337" s="105"/>
      <c r="M337" s="105"/>
      <c r="N337" s="105"/>
      <c r="O337" s="105"/>
      <c r="P337" s="106"/>
      <c r="Q337" s="106"/>
      <c r="R337" s="106"/>
      <c r="S337" s="107"/>
      <c r="T337" s="106"/>
      <c r="U337" s="106"/>
      <c r="V337" s="108"/>
      <c r="W337" s="108"/>
      <c r="X337" s="108"/>
      <c r="Y337" s="108"/>
      <c r="Z337" s="109"/>
      <c r="AA337" s="109"/>
      <c r="AB337" s="109"/>
      <c r="AC337" s="109"/>
      <c r="AD337" s="110"/>
      <c r="AE337" s="110"/>
      <c r="AF337" s="110"/>
      <c r="AG337" s="110"/>
      <c r="AH337" s="110"/>
      <c r="AI337" s="110"/>
      <c r="AJ337" s="110"/>
      <c r="AK337" s="110"/>
      <c r="AL337" s="110"/>
      <c r="AM337" s="110"/>
      <c r="AN337" s="110"/>
      <c r="AO337" s="110"/>
      <c r="AP337" s="110"/>
      <c r="AQ337" s="111"/>
      <c r="AR337" s="110"/>
      <c r="AS337" s="111"/>
      <c r="AT337" s="112"/>
      <c r="AU337" s="112"/>
      <c r="AV337" s="112"/>
      <c r="AW337" s="112"/>
      <c r="AX337" s="112"/>
      <c r="AY337" s="112"/>
      <c r="AZ337" s="112"/>
      <c r="BA337" s="112"/>
      <c r="BB337" s="112"/>
      <c r="BC337" s="112"/>
      <c r="BD337" s="113"/>
      <c r="BE337" s="114"/>
      <c r="BF337" s="115"/>
      <c r="BG337" s="115"/>
      <c r="BH337" s="116" t="str">
        <f t="shared" si="16"/>
        <v/>
      </c>
      <c r="BI337" s="116" t="str">
        <f t="shared" si="17"/>
        <v/>
      </c>
      <c r="BJ337" s="116" t="str">
        <f>IF(AND($A337&lt;&gt;"",$D337=반별조회!$C$5),COUNTIFS($A$3:$A337,"&lt;&gt;",$D$3:$D337,반별조회!$C$5),"")</f>
        <v/>
      </c>
    </row>
    <row r="338" spans="1:62" ht="15" customHeight="1">
      <c r="A338" s="102"/>
      <c r="B338" s="102"/>
      <c r="C338" s="102"/>
      <c r="D338" s="101"/>
      <c r="E338" s="105"/>
      <c r="F338" s="105" t="str">
        <f t="shared" ca="1" si="15"/>
        <v/>
      </c>
      <c r="G338" s="105"/>
      <c r="H338" s="105"/>
      <c r="I338" s="105"/>
      <c r="J338" s="105"/>
      <c r="K338" s="105"/>
      <c r="L338" s="105"/>
      <c r="M338" s="105"/>
      <c r="N338" s="105"/>
      <c r="O338" s="105"/>
      <c r="P338" s="106"/>
      <c r="Q338" s="106"/>
      <c r="R338" s="106"/>
      <c r="S338" s="107"/>
      <c r="T338" s="106"/>
      <c r="U338" s="106"/>
      <c r="V338" s="108"/>
      <c r="W338" s="108"/>
      <c r="X338" s="108"/>
      <c r="Y338" s="108"/>
      <c r="Z338" s="109"/>
      <c r="AA338" s="109"/>
      <c r="AB338" s="109"/>
      <c r="AC338" s="109"/>
      <c r="AD338" s="110"/>
      <c r="AE338" s="110"/>
      <c r="AF338" s="110"/>
      <c r="AG338" s="110"/>
      <c r="AH338" s="110"/>
      <c r="AI338" s="110"/>
      <c r="AJ338" s="110"/>
      <c r="AK338" s="110"/>
      <c r="AL338" s="110"/>
      <c r="AM338" s="110"/>
      <c r="AN338" s="110"/>
      <c r="AO338" s="110"/>
      <c r="AP338" s="110"/>
      <c r="AQ338" s="111"/>
      <c r="AR338" s="110"/>
      <c r="AS338" s="111"/>
      <c r="AT338" s="112"/>
      <c r="AU338" s="112"/>
      <c r="AV338" s="112"/>
      <c r="AW338" s="112"/>
      <c r="AX338" s="112"/>
      <c r="AY338" s="112"/>
      <c r="AZ338" s="112"/>
      <c r="BA338" s="112"/>
      <c r="BB338" s="112"/>
      <c r="BC338" s="112"/>
      <c r="BD338" s="113"/>
      <c r="BE338" s="114"/>
      <c r="BF338" s="115"/>
      <c r="BG338" s="115"/>
      <c r="BH338" s="116" t="str">
        <f t="shared" si="16"/>
        <v/>
      </c>
      <c r="BI338" s="116" t="str">
        <f t="shared" si="17"/>
        <v/>
      </c>
      <c r="BJ338" s="116" t="str">
        <f>IF(AND($A338&lt;&gt;"",$D338=반별조회!$C$5),COUNTIFS($A$3:$A338,"&lt;&gt;",$D$3:$D338,반별조회!$C$5),"")</f>
        <v/>
      </c>
    </row>
    <row r="339" spans="1:62" ht="15" customHeight="1">
      <c r="A339" s="102"/>
      <c r="B339" s="102"/>
      <c r="C339" s="102"/>
      <c r="D339" s="101"/>
      <c r="E339" s="105"/>
      <c r="F339" s="105" t="str">
        <f t="shared" ca="1" si="15"/>
        <v/>
      </c>
      <c r="G339" s="105"/>
      <c r="H339" s="105"/>
      <c r="I339" s="105"/>
      <c r="J339" s="105"/>
      <c r="K339" s="105"/>
      <c r="L339" s="105"/>
      <c r="M339" s="105"/>
      <c r="N339" s="105"/>
      <c r="O339" s="105"/>
      <c r="P339" s="106"/>
      <c r="Q339" s="106"/>
      <c r="R339" s="106"/>
      <c r="S339" s="107"/>
      <c r="T339" s="106"/>
      <c r="U339" s="106"/>
      <c r="V339" s="108"/>
      <c r="W339" s="108"/>
      <c r="X339" s="108"/>
      <c r="Y339" s="108"/>
      <c r="Z339" s="109"/>
      <c r="AA339" s="109"/>
      <c r="AB339" s="109"/>
      <c r="AC339" s="109"/>
      <c r="AD339" s="110"/>
      <c r="AE339" s="110"/>
      <c r="AF339" s="110"/>
      <c r="AG339" s="110"/>
      <c r="AH339" s="110"/>
      <c r="AI339" s="110"/>
      <c r="AJ339" s="110"/>
      <c r="AK339" s="110"/>
      <c r="AL339" s="110"/>
      <c r="AM339" s="110"/>
      <c r="AN339" s="110"/>
      <c r="AO339" s="110"/>
      <c r="AP339" s="110"/>
      <c r="AQ339" s="111"/>
      <c r="AR339" s="110"/>
      <c r="AS339" s="111"/>
      <c r="AT339" s="112"/>
      <c r="AU339" s="112"/>
      <c r="AV339" s="112"/>
      <c r="AW339" s="112"/>
      <c r="AX339" s="112"/>
      <c r="AY339" s="112"/>
      <c r="AZ339" s="112"/>
      <c r="BA339" s="112"/>
      <c r="BB339" s="112"/>
      <c r="BC339" s="112"/>
      <c r="BD339" s="113"/>
      <c r="BE339" s="114"/>
      <c r="BF339" s="115"/>
      <c r="BG339" s="115"/>
      <c r="BH339" s="116" t="str">
        <f t="shared" si="16"/>
        <v/>
      </c>
      <c r="BI339" s="116" t="str">
        <f t="shared" si="17"/>
        <v/>
      </c>
      <c r="BJ339" s="116" t="str">
        <f>IF(AND($A339&lt;&gt;"",$D339=반별조회!$C$5),COUNTIFS($A$3:$A339,"&lt;&gt;",$D$3:$D339,반별조회!$C$5),"")</f>
        <v/>
      </c>
    </row>
    <row r="340" spans="1:62" ht="15" customHeight="1">
      <c r="A340" s="102"/>
      <c r="B340" s="102"/>
      <c r="C340" s="102"/>
      <c r="D340" s="101"/>
      <c r="E340" s="105"/>
      <c r="F340" s="105" t="str">
        <f t="shared" ca="1" si="15"/>
        <v/>
      </c>
      <c r="G340" s="105"/>
      <c r="H340" s="105"/>
      <c r="I340" s="105"/>
      <c r="J340" s="105"/>
      <c r="K340" s="105"/>
      <c r="L340" s="105"/>
      <c r="M340" s="105"/>
      <c r="N340" s="105"/>
      <c r="O340" s="105"/>
      <c r="P340" s="106"/>
      <c r="Q340" s="106"/>
      <c r="R340" s="106"/>
      <c r="S340" s="107"/>
      <c r="T340" s="106"/>
      <c r="U340" s="106"/>
      <c r="V340" s="108"/>
      <c r="W340" s="108"/>
      <c r="X340" s="108"/>
      <c r="Y340" s="108"/>
      <c r="Z340" s="109"/>
      <c r="AA340" s="109"/>
      <c r="AB340" s="109"/>
      <c r="AC340" s="109"/>
      <c r="AD340" s="110"/>
      <c r="AE340" s="110"/>
      <c r="AF340" s="110"/>
      <c r="AG340" s="110"/>
      <c r="AH340" s="110"/>
      <c r="AI340" s="110"/>
      <c r="AJ340" s="110"/>
      <c r="AK340" s="110"/>
      <c r="AL340" s="110"/>
      <c r="AM340" s="110"/>
      <c r="AN340" s="110"/>
      <c r="AO340" s="110"/>
      <c r="AP340" s="110"/>
      <c r="AQ340" s="111"/>
      <c r="AR340" s="110"/>
      <c r="AS340" s="111"/>
      <c r="AT340" s="112"/>
      <c r="AU340" s="112"/>
      <c r="AV340" s="112"/>
      <c r="AW340" s="112"/>
      <c r="AX340" s="112"/>
      <c r="AY340" s="112"/>
      <c r="AZ340" s="112"/>
      <c r="BA340" s="112"/>
      <c r="BB340" s="112"/>
      <c r="BC340" s="112"/>
      <c r="BD340" s="113"/>
      <c r="BE340" s="114"/>
      <c r="BF340" s="115"/>
      <c r="BG340" s="115"/>
      <c r="BH340" s="116" t="str">
        <f t="shared" si="16"/>
        <v/>
      </c>
      <c r="BI340" s="116" t="str">
        <f t="shared" si="17"/>
        <v/>
      </c>
      <c r="BJ340" s="116" t="str">
        <f>IF(AND($A340&lt;&gt;"",$D340=반별조회!$C$5),COUNTIFS($A$3:$A340,"&lt;&gt;",$D$3:$D340,반별조회!$C$5),"")</f>
        <v/>
      </c>
    </row>
    <row r="341" spans="1:62" ht="15" customHeight="1">
      <c r="A341" s="102"/>
      <c r="B341" s="102"/>
      <c r="C341" s="102"/>
      <c r="D341" s="101"/>
      <c r="E341" s="105"/>
      <c r="F341" s="105" t="str">
        <f t="shared" ca="1" si="15"/>
        <v/>
      </c>
      <c r="G341" s="105"/>
      <c r="H341" s="105"/>
      <c r="I341" s="105"/>
      <c r="J341" s="105"/>
      <c r="K341" s="105"/>
      <c r="L341" s="105"/>
      <c r="M341" s="105"/>
      <c r="N341" s="105"/>
      <c r="O341" s="105"/>
      <c r="P341" s="106"/>
      <c r="Q341" s="106"/>
      <c r="R341" s="106"/>
      <c r="S341" s="107"/>
      <c r="T341" s="106"/>
      <c r="U341" s="106"/>
      <c r="V341" s="108"/>
      <c r="W341" s="108"/>
      <c r="X341" s="108"/>
      <c r="Y341" s="108"/>
      <c r="Z341" s="109"/>
      <c r="AA341" s="109"/>
      <c r="AB341" s="109"/>
      <c r="AC341" s="109"/>
      <c r="AD341" s="110"/>
      <c r="AE341" s="110"/>
      <c r="AF341" s="110"/>
      <c r="AG341" s="110"/>
      <c r="AH341" s="110"/>
      <c r="AI341" s="110"/>
      <c r="AJ341" s="110"/>
      <c r="AK341" s="110"/>
      <c r="AL341" s="110"/>
      <c r="AM341" s="110"/>
      <c r="AN341" s="110"/>
      <c r="AO341" s="110"/>
      <c r="AP341" s="110"/>
      <c r="AQ341" s="111"/>
      <c r="AR341" s="110"/>
      <c r="AS341" s="111"/>
      <c r="AT341" s="112"/>
      <c r="AU341" s="112"/>
      <c r="AV341" s="112"/>
      <c r="AW341" s="112"/>
      <c r="AX341" s="112"/>
      <c r="AY341" s="112"/>
      <c r="AZ341" s="112"/>
      <c r="BA341" s="112"/>
      <c r="BB341" s="112"/>
      <c r="BC341" s="112"/>
      <c r="BD341" s="113"/>
      <c r="BE341" s="114"/>
      <c r="BF341" s="115"/>
      <c r="BG341" s="115"/>
      <c r="BH341" s="116" t="str">
        <f t="shared" si="16"/>
        <v/>
      </c>
      <c r="BI341" s="116" t="str">
        <f t="shared" si="17"/>
        <v/>
      </c>
      <c r="BJ341" s="116" t="str">
        <f>IF(AND($A341&lt;&gt;"",$D341=반별조회!$C$5),COUNTIFS($A$3:$A341,"&lt;&gt;",$D$3:$D341,반별조회!$C$5),"")</f>
        <v/>
      </c>
    </row>
    <row r="342" spans="1:62" ht="15" customHeight="1">
      <c r="A342" s="102"/>
      <c r="B342" s="102"/>
      <c r="C342" s="102"/>
      <c r="D342" s="101"/>
      <c r="E342" s="105"/>
      <c r="F342" s="105" t="str">
        <f t="shared" ca="1" si="15"/>
        <v/>
      </c>
      <c r="G342" s="105"/>
      <c r="H342" s="105"/>
      <c r="I342" s="105"/>
      <c r="J342" s="105"/>
      <c r="K342" s="105"/>
      <c r="L342" s="105"/>
      <c r="M342" s="105"/>
      <c r="N342" s="105"/>
      <c r="O342" s="105"/>
      <c r="P342" s="106"/>
      <c r="Q342" s="106"/>
      <c r="R342" s="106"/>
      <c r="S342" s="107"/>
      <c r="T342" s="106"/>
      <c r="U342" s="106"/>
      <c r="V342" s="108"/>
      <c r="W342" s="108"/>
      <c r="X342" s="108"/>
      <c r="Y342" s="108"/>
      <c r="Z342" s="109"/>
      <c r="AA342" s="109"/>
      <c r="AB342" s="109"/>
      <c r="AC342" s="109"/>
      <c r="AD342" s="110"/>
      <c r="AE342" s="110"/>
      <c r="AF342" s="110"/>
      <c r="AG342" s="110"/>
      <c r="AH342" s="110"/>
      <c r="AI342" s="110"/>
      <c r="AJ342" s="110"/>
      <c r="AK342" s="110"/>
      <c r="AL342" s="110"/>
      <c r="AM342" s="110"/>
      <c r="AN342" s="110"/>
      <c r="AO342" s="110"/>
      <c r="AP342" s="110"/>
      <c r="AQ342" s="111"/>
      <c r="AR342" s="110"/>
      <c r="AS342" s="111"/>
      <c r="AT342" s="112"/>
      <c r="AU342" s="112"/>
      <c r="AV342" s="112"/>
      <c r="AW342" s="112"/>
      <c r="AX342" s="112"/>
      <c r="AY342" s="112"/>
      <c r="AZ342" s="112"/>
      <c r="BA342" s="112"/>
      <c r="BB342" s="112"/>
      <c r="BC342" s="112"/>
      <c r="BD342" s="113"/>
      <c r="BE342" s="114"/>
      <c r="BF342" s="115"/>
      <c r="BG342" s="115"/>
      <c r="BH342" s="116" t="str">
        <f t="shared" si="16"/>
        <v/>
      </c>
      <c r="BI342" s="116" t="str">
        <f t="shared" si="17"/>
        <v/>
      </c>
      <c r="BJ342" s="116" t="str">
        <f>IF(AND($A342&lt;&gt;"",$D342=반별조회!$C$5),COUNTIFS($A$3:$A342,"&lt;&gt;",$D$3:$D342,반별조회!$C$5),"")</f>
        <v/>
      </c>
    </row>
    <row r="343" spans="1:62" ht="15" customHeight="1">
      <c r="A343" s="102"/>
      <c r="B343" s="102"/>
      <c r="C343" s="102"/>
      <c r="D343" s="101"/>
      <c r="E343" s="105"/>
      <c r="F343" s="105" t="str">
        <f t="shared" ca="1" si="15"/>
        <v/>
      </c>
      <c r="G343" s="105"/>
      <c r="H343" s="105"/>
      <c r="I343" s="105"/>
      <c r="J343" s="105"/>
      <c r="K343" s="105"/>
      <c r="L343" s="105"/>
      <c r="M343" s="105"/>
      <c r="N343" s="105"/>
      <c r="O343" s="105"/>
      <c r="P343" s="106"/>
      <c r="Q343" s="106"/>
      <c r="R343" s="106"/>
      <c r="S343" s="107"/>
      <c r="T343" s="106"/>
      <c r="U343" s="106"/>
      <c r="V343" s="108"/>
      <c r="W343" s="108"/>
      <c r="X343" s="108"/>
      <c r="Y343" s="108"/>
      <c r="Z343" s="109"/>
      <c r="AA343" s="109"/>
      <c r="AB343" s="109"/>
      <c r="AC343" s="109"/>
      <c r="AD343" s="110"/>
      <c r="AE343" s="110"/>
      <c r="AF343" s="110"/>
      <c r="AG343" s="110"/>
      <c r="AH343" s="110"/>
      <c r="AI343" s="110"/>
      <c r="AJ343" s="110"/>
      <c r="AK343" s="110"/>
      <c r="AL343" s="110"/>
      <c r="AM343" s="110"/>
      <c r="AN343" s="110"/>
      <c r="AO343" s="110"/>
      <c r="AP343" s="110"/>
      <c r="AQ343" s="111"/>
      <c r="AR343" s="110"/>
      <c r="AS343" s="111"/>
      <c r="AT343" s="112"/>
      <c r="AU343" s="112"/>
      <c r="AV343" s="112"/>
      <c r="AW343" s="112"/>
      <c r="AX343" s="112"/>
      <c r="AY343" s="112"/>
      <c r="AZ343" s="112"/>
      <c r="BA343" s="112"/>
      <c r="BB343" s="112"/>
      <c r="BC343" s="112"/>
      <c r="BD343" s="113"/>
      <c r="BE343" s="114"/>
      <c r="BF343" s="115"/>
      <c r="BG343" s="115"/>
      <c r="BH343" s="116" t="str">
        <f t="shared" si="16"/>
        <v/>
      </c>
      <c r="BI343" s="116" t="str">
        <f t="shared" si="17"/>
        <v/>
      </c>
      <c r="BJ343" s="116" t="str">
        <f>IF(AND($A343&lt;&gt;"",$D343=반별조회!$C$5),COUNTIFS($A$3:$A343,"&lt;&gt;",$D$3:$D343,반별조회!$C$5),"")</f>
        <v/>
      </c>
    </row>
    <row r="344" spans="1:62" ht="15" customHeight="1">
      <c r="A344" s="102"/>
      <c r="B344" s="102"/>
      <c r="C344" s="102"/>
      <c r="D344" s="101"/>
      <c r="E344" s="105"/>
      <c r="F344" s="105" t="str">
        <f t="shared" ca="1" si="15"/>
        <v/>
      </c>
      <c r="G344" s="105"/>
      <c r="H344" s="105"/>
      <c r="I344" s="105"/>
      <c r="J344" s="105"/>
      <c r="K344" s="105"/>
      <c r="L344" s="105"/>
      <c r="M344" s="105"/>
      <c r="N344" s="105"/>
      <c r="O344" s="105"/>
      <c r="P344" s="106"/>
      <c r="Q344" s="106"/>
      <c r="R344" s="106"/>
      <c r="S344" s="107"/>
      <c r="T344" s="106"/>
      <c r="U344" s="106"/>
      <c r="V344" s="108"/>
      <c r="W344" s="108"/>
      <c r="X344" s="108"/>
      <c r="Y344" s="108"/>
      <c r="Z344" s="109"/>
      <c r="AA344" s="109"/>
      <c r="AB344" s="109"/>
      <c r="AC344" s="109"/>
      <c r="AD344" s="110"/>
      <c r="AE344" s="110"/>
      <c r="AF344" s="110"/>
      <c r="AG344" s="110"/>
      <c r="AH344" s="110"/>
      <c r="AI344" s="110"/>
      <c r="AJ344" s="110"/>
      <c r="AK344" s="110"/>
      <c r="AL344" s="110"/>
      <c r="AM344" s="110"/>
      <c r="AN344" s="110"/>
      <c r="AO344" s="110"/>
      <c r="AP344" s="110"/>
      <c r="AQ344" s="111"/>
      <c r="AR344" s="110"/>
      <c r="AS344" s="111"/>
      <c r="AT344" s="112"/>
      <c r="AU344" s="112"/>
      <c r="AV344" s="112"/>
      <c r="AW344" s="112"/>
      <c r="AX344" s="112"/>
      <c r="AY344" s="112"/>
      <c r="AZ344" s="112"/>
      <c r="BA344" s="112"/>
      <c r="BB344" s="112"/>
      <c r="BC344" s="112"/>
      <c r="BD344" s="113"/>
      <c r="BE344" s="114"/>
      <c r="BF344" s="115"/>
      <c r="BG344" s="115"/>
      <c r="BH344" s="116" t="str">
        <f t="shared" si="16"/>
        <v/>
      </c>
      <c r="BI344" s="116" t="str">
        <f t="shared" si="17"/>
        <v/>
      </c>
      <c r="BJ344" s="116" t="str">
        <f>IF(AND($A344&lt;&gt;"",$D344=반별조회!$C$5),COUNTIFS($A$3:$A344,"&lt;&gt;",$D$3:$D344,반별조회!$C$5),"")</f>
        <v/>
      </c>
    </row>
    <row r="345" spans="1:62" ht="15" customHeight="1">
      <c r="A345" s="102"/>
      <c r="B345" s="102"/>
      <c r="C345" s="102"/>
      <c r="D345" s="101"/>
      <c r="E345" s="105"/>
      <c r="F345" s="105" t="str">
        <f t="shared" ca="1" si="15"/>
        <v/>
      </c>
      <c r="G345" s="105"/>
      <c r="H345" s="105"/>
      <c r="I345" s="105"/>
      <c r="J345" s="105"/>
      <c r="K345" s="105"/>
      <c r="L345" s="105"/>
      <c r="M345" s="105"/>
      <c r="N345" s="105"/>
      <c r="O345" s="105"/>
      <c r="P345" s="106"/>
      <c r="Q345" s="106"/>
      <c r="R345" s="106"/>
      <c r="S345" s="107"/>
      <c r="T345" s="106"/>
      <c r="U345" s="106"/>
      <c r="V345" s="108"/>
      <c r="W345" s="108"/>
      <c r="X345" s="108"/>
      <c r="Y345" s="108"/>
      <c r="Z345" s="109"/>
      <c r="AA345" s="109"/>
      <c r="AB345" s="109"/>
      <c r="AC345" s="109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1"/>
      <c r="AR345" s="110"/>
      <c r="AS345" s="111"/>
      <c r="AT345" s="112"/>
      <c r="AU345" s="112"/>
      <c r="AV345" s="112"/>
      <c r="AW345" s="112"/>
      <c r="AX345" s="112"/>
      <c r="AY345" s="112"/>
      <c r="AZ345" s="112"/>
      <c r="BA345" s="112"/>
      <c r="BB345" s="112"/>
      <c r="BC345" s="112"/>
      <c r="BD345" s="113"/>
      <c r="BE345" s="114"/>
      <c r="BF345" s="115"/>
      <c r="BG345" s="115"/>
      <c r="BH345" s="116" t="str">
        <f t="shared" si="16"/>
        <v/>
      </c>
      <c r="BI345" s="116" t="str">
        <f t="shared" si="17"/>
        <v/>
      </c>
      <c r="BJ345" s="116" t="str">
        <f>IF(AND($A345&lt;&gt;"",$D345=반별조회!$C$5),COUNTIFS($A$3:$A345,"&lt;&gt;",$D$3:$D345,반별조회!$C$5),"")</f>
        <v/>
      </c>
    </row>
    <row r="346" spans="1:62" ht="15" customHeight="1">
      <c r="A346" s="102"/>
      <c r="B346" s="102"/>
      <c r="C346" s="102"/>
      <c r="D346" s="101"/>
      <c r="E346" s="105"/>
      <c r="F346" s="105" t="str">
        <f t="shared" ca="1" si="15"/>
        <v/>
      </c>
      <c r="G346" s="105"/>
      <c r="H346" s="105"/>
      <c r="I346" s="105"/>
      <c r="J346" s="105"/>
      <c r="K346" s="105"/>
      <c r="L346" s="105"/>
      <c r="M346" s="105"/>
      <c r="N346" s="105"/>
      <c r="O346" s="105"/>
      <c r="P346" s="106"/>
      <c r="Q346" s="106"/>
      <c r="R346" s="106"/>
      <c r="S346" s="107"/>
      <c r="T346" s="106"/>
      <c r="U346" s="106"/>
      <c r="V346" s="108"/>
      <c r="W346" s="108"/>
      <c r="X346" s="108"/>
      <c r="Y346" s="108"/>
      <c r="Z346" s="109"/>
      <c r="AA346" s="109"/>
      <c r="AB346" s="109"/>
      <c r="AC346" s="109"/>
      <c r="AD346" s="110"/>
      <c r="AE346" s="110"/>
      <c r="AF346" s="110"/>
      <c r="AG346" s="110"/>
      <c r="AH346" s="110"/>
      <c r="AI346" s="110"/>
      <c r="AJ346" s="110"/>
      <c r="AK346" s="110"/>
      <c r="AL346" s="110"/>
      <c r="AM346" s="110"/>
      <c r="AN346" s="110"/>
      <c r="AO346" s="110"/>
      <c r="AP346" s="110"/>
      <c r="AQ346" s="111"/>
      <c r="AR346" s="110"/>
      <c r="AS346" s="111"/>
      <c r="AT346" s="112"/>
      <c r="AU346" s="112"/>
      <c r="AV346" s="112"/>
      <c r="AW346" s="112"/>
      <c r="AX346" s="112"/>
      <c r="AY346" s="112"/>
      <c r="AZ346" s="112"/>
      <c r="BA346" s="112"/>
      <c r="BB346" s="112"/>
      <c r="BC346" s="112"/>
      <c r="BD346" s="113"/>
      <c r="BE346" s="114"/>
      <c r="BF346" s="115"/>
      <c r="BG346" s="115"/>
      <c r="BH346" s="116" t="str">
        <f t="shared" si="16"/>
        <v/>
      </c>
      <c r="BI346" s="116" t="str">
        <f t="shared" si="17"/>
        <v/>
      </c>
      <c r="BJ346" s="116" t="str">
        <f>IF(AND($A346&lt;&gt;"",$D346=반별조회!$C$5),COUNTIFS($A$3:$A346,"&lt;&gt;",$D$3:$D346,반별조회!$C$5),"")</f>
        <v/>
      </c>
    </row>
    <row r="347" spans="1:62" ht="15" customHeight="1">
      <c r="A347" s="102"/>
      <c r="B347" s="102"/>
      <c r="C347" s="102"/>
      <c r="D347" s="101"/>
      <c r="E347" s="105"/>
      <c r="F347" s="105" t="str">
        <f t="shared" ca="1" si="15"/>
        <v/>
      </c>
      <c r="G347" s="105"/>
      <c r="H347" s="105"/>
      <c r="I347" s="105"/>
      <c r="J347" s="105"/>
      <c r="K347" s="105"/>
      <c r="L347" s="105"/>
      <c r="M347" s="105"/>
      <c r="N347" s="105"/>
      <c r="O347" s="105"/>
      <c r="P347" s="106"/>
      <c r="Q347" s="106"/>
      <c r="R347" s="106"/>
      <c r="S347" s="107"/>
      <c r="T347" s="106"/>
      <c r="U347" s="106"/>
      <c r="V347" s="108"/>
      <c r="W347" s="108"/>
      <c r="X347" s="108"/>
      <c r="Y347" s="108"/>
      <c r="Z347" s="109"/>
      <c r="AA347" s="109"/>
      <c r="AB347" s="109"/>
      <c r="AC347" s="109"/>
      <c r="AD347" s="110"/>
      <c r="AE347" s="110"/>
      <c r="AF347" s="110"/>
      <c r="AG347" s="110"/>
      <c r="AH347" s="110"/>
      <c r="AI347" s="110"/>
      <c r="AJ347" s="110"/>
      <c r="AK347" s="110"/>
      <c r="AL347" s="110"/>
      <c r="AM347" s="110"/>
      <c r="AN347" s="110"/>
      <c r="AO347" s="110"/>
      <c r="AP347" s="110"/>
      <c r="AQ347" s="111"/>
      <c r="AR347" s="110"/>
      <c r="AS347" s="111"/>
      <c r="AT347" s="112"/>
      <c r="AU347" s="112"/>
      <c r="AV347" s="112"/>
      <c r="AW347" s="112"/>
      <c r="AX347" s="112"/>
      <c r="AY347" s="112"/>
      <c r="AZ347" s="112"/>
      <c r="BA347" s="112"/>
      <c r="BB347" s="112"/>
      <c r="BC347" s="112"/>
      <c r="BD347" s="113"/>
      <c r="BE347" s="114"/>
      <c r="BF347" s="115"/>
      <c r="BG347" s="115"/>
      <c r="BH347" s="116" t="str">
        <f t="shared" si="16"/>
        <v/>
      </c>
      <c r="BI347" s="116" t="str">
        <f t="shared" si="17"/>
        <v/>
      </c>
      <c r="BJ347" s="116" t="str">
        <f>IF(AND($A347&lt;&gt;"",$D347=반별조회!$C$5),COUNTIFS($A$3:$A347,"&lt;&gt;",$D$3:$D347,반별조회!$C$5),"")</f>
        <v/>
      </c>
    </row>
    <row r="348" spans="1:62" ht="15" customHeight="1">
      <c r="A348" s="102"/>
      <c r="B348" s="102"/>
      <c r="C348" s="102"/>
      <c r="D348" s="101"/>
      <c r="E348" s="105"/>
      <c r="F348" s="105" t="str">
        <f t="shared" ca="1" si="15"/>
        <v/>
      </c>
      <c r="G348" s="105"/>
      <c r="H348" s="105"/>
      <c r="I348" s="105"/>
      <c r="J348" s="105"/>
      <c r="K348" s="105"/>
      <c r="L348" s="105"/>
      <c r="M348" s="105"/>
      <c r="N348" s="105"/>
      <c r="O348" s="105"/>
      <c r="P348" s="106"/>
      <c r="Q348" s="106"/>
      <c r="R348" s="106"/>
      <c r="S348" s="107"/>
      <c r="T348" s="106"/>
      <c r="U348" s="106"/>
      <c r="V348" s="108"/>
      <c r="W348" s="108"/>
      <c r="X348" s="108"/>
      <c r="Y348" s="108"/>
      <c r="Z348" s="109"/>
      <c r="AA348" s="109"/>
      <c r="AB348" s="109"/>
      <c r="AC348" s="109"/>
      <c r="AD348" s="110"/>
      <c r="AE348" s="110"/>
      <c r="AF348" s="110"/>
      <c r="AG348" s="110"/>
      <c r="AH348" s="110"/>
      <c r="AI348" s="110"/>
      <c r="AJ348" s="110"/>
      <c r="AK348" s="110"/>
      <c r="AL348" s="110"/>
      <c r="AM348" s="110"/>
      <c r="AN348" s="110"/>
      <c r="AO348" s="110"/>
      <c r="AP348" s="110"/>
      <c r="AQ348" s="111"/>
      <c r="AR348" s="110"/>
      <c r="AS348" s="111"/>
      <c r="AT348" s="112"/>
      <c r="AU348" s="112"/>
      <c r="AV348" s="112"/>
      <c r="AW348" s="112"/>
      <c r="AX348" s="112"/>
      <c r="AY348" s="112"/>
      <c r="AZ348" s="112"/>
      <c r="BA348" s="112"/>
      <c r="BB348" s="112"/>
      <c r="BC348" s="112"/>
      <c r="BD348" s="113"/>
      <c r="BE348" s="114"/>
      <c r="BF348" s="115"/>
      <c r="BG348" s="115"/>
      <c r="BH348" s="116" t="str">
        <f t="shared" si="16"/>
        <v/>
      </c>
      <c r="BI348" s="116" t="str">
        <f t="shared" si="17"/>
        <v/>
      </c>
      <c r="BJ348" s="116" t="str">
        <f>IF(AND($A348&lt;&gt;"",$D348=반별조회!$C$5),COUNTIFS($A$3:$A348,"&lt;&gt;",$D$3:$D348,반별조회!$C$5),"")</f>
        <v/>
      </c>
    </row>
    <row r="349" spans="1:62" ht="15" customHeight="1">
      <c r="A349" s="102"/>
      <c r="B349" s="102"/>
      <c r="C349" s="102"/>
      <c r="D349" s="101"/>
      <c r="E349" s="105"/>
      <c r="F349" s="105" t="str">
        <f t="shared" ca="1" si="15"/>
        <v/>
      </c>
      <c r="G349" s="105"/>
      <c r="H349" s="105"/>
      <c r="I349" s="105"/>
      <c r="J349" s="105"/>
      <c r="K349" s="105"/>
      <c r="L349" s="105"/>
      <c r="M349" s="105"/>
      <c r="N349" s="105"/>
      <c r="O349" s="105"/>
      <c r="P349" s="106"/>
      <c r="Q349" s="106"/>
      <c r="R349" s="106"/>
      <c r="S349" s="107"/>
      <c r="T349" s="106"/>
      <c r="U349" s="106"/>
      <c r="V349" s="108"/>
      <c r="W349" s="108"/>
      <c r="X349" s="108"/>
      <c r="Y349" s="108"/>
      <c r="Z349" s="109"/>
      <c r="AA349" s="109"/>
      <c r="AB349" s="109"/>
      <c r="AC349" s="109"/>
      <c r="AD349" s="110"/>
      <c r="AE349" s="110"/>
      <c r="AF349" s="110"/>
      <c r="AG349" s="110"/>
      <c r="AH349" s="110"/>
      <c r="AI349" s="110"/>
      <c r="AJ349" s="110"/>
      <c r="AK349" s="110"/>
      <c r="AL349" s="110"/>
      <c r="AM349" s="110"/>
      <c r="AN349" s="110"/>
      <c r="AO349" s="110"/>
      <c r="AP349" s="110"/>
      <c r="AQ349" s="111"/>
      <c r="AR349" s="110"/>
      <c r="AS349" s="111"/>
      <c r="AT349" s="112"/>
      <c r="AU349" s="112"/>
      <c r="AV349" s="112"/>
      <c r="AW349" s="112"/>
      <c r="AX349" s="112"/>
      <c r="AY349" s="112"/>
      <c r="AZ349" s="112"/>
      <c r="BA349" s="112"/>
      <c r="BB349" s="112"/>
      <c r="BC349" s="112"/>
      <c r="BD349" s="113"/>
      <c r="BE349" s="114"/>
      <c r="BF349" s="115"/>
      <c r="BG349" s="115"/>
      <c r="BH349" s="116" t="str">
        <f t="shared" si="16"/>
        <v/>
      </c>
      <c r="BI349" s="116" t="str">
        <f t="shared" si="17"/>
        <v/>
      </c>
      <c r="BJ349" s="116" t="str">
        <f>IF(AND($A349&lt;&gt;"",$D349=반별조회!$C$5),COUNTIFS($A$3:$A349,"&lt;&gt;",$D$3:$D349,반별조회!$C$5),"")</f>
        <v/>
      </c>
    </row>
    <row r="350" spans="1:62" ht="15" customHeight="1">
      <c r="A350" s="102"/>
      <c r="B350" s="102"/>
      <c r="C350" s="102"/>
      <c r="D350" s="101"/>
      <c r="E350" s="105"/>
      <c r="F350" s="105" t="str">
        <f t="shared" ca="1" si="15"/>
        <v/>
      </c>
      <c r="G350" s="105"/>
      <c r="H350" s="105"/>
      <c r="I350" s="105"/>
      <c r="J350" s="105"/>
      <c r="K350" s="105"/>
      <c r="L350" s="105"/>
      <c r="M350" s="105"/>
      <c r="N350" s="105"/>
      <c r="O350" s="105"/>
      <c r="P350" s="106"/>
      <c r="Q350" s="106"/>
      <c r="R350" s="106"/>
      <c r="S350" s="107"/>
      <c r="T350" s="106"/>
      <c r="U350" s="106"/>
      <c r="V350" s="108"/>
      <c r="W350" s="108"/>
      <c r="X350" s="108"/>
      <c r="Y350" s="108"/>
      <c r="Z350" s="109"/>
      <c r="AA350" s="109"/>
      <c r="AB350" s="109"/>
      <c r="AC350" s="109"/>
      <c r="AD350" s="110"/>
      <c r="AE350" s="110"/>
      <c r="AF350" s="110"/>
      <c r="AG350" s="110"/>
      <c r="AH350" s="110"/>
      <c r="AI350" s="110"/>
      <c r="AJ350" s="110"/>
      <c r="AK350" s="110"/>
      <c r="AL350" s="110"/>
      <c r="AM350" s="110"/>
      <c r="AN350" s="110"/>
      <c r="AO350" s="110"/>
      <c r="AP350" s="110"/>
      <c r="AQ350" s="111"/>
      <c r="AR350" s="110"/>
      <c r="AS350" s="111"/>
      <c r="AT350" s="112"/>
      <c r="AU350" s="112"/>
      <c r="AV350" s="112"/>
      <c r="AW350" s="112"/>
      <c r="AX350" s="112"/>
      <c r="AY350" s="112"/>
      <c r="AZ350" s="112"/>
      <c r="BA350" s="112"/>
      <c r="BB350" s="112"/>
      <c r="BC350" s="112"/>
      <c r="BD350" s="113"/>
      <c r="BE350" s="114"/>
      <c r="BF350" s="115"/>
      <c r="BG350" s="115"/>
      <c r="BH350" s="116" t="str">
        <f t="shared" si="16"/>
        <v/>
      </c>
      <c r="BI350" s="116" t="str">
        <f t="shared" si="17"/>
        <v/>
      </c>
      <c r="BJ350" s="116" t="str">
        <f>IF(AND($A350&lt;&gt;"",$D350=반별조회!$C$5),COUNTIFS($A$3:$A350,"&lt;&gt;",$D$3:$D350,반별조회!$C$5),"")</f>
        <v/>
      </c>
    </row>
    <row r="351" spans="1:62" ht="15" customHeight="1">
      <c r="A351" s="102"/>
      <c r="B351" s="102"/>
      <c r="C351" s="102"/>
      <c r="D351" s="101"/>
      <c r="E351" s="105"/>
      <c r="F351" s="105" t="str">
        <f t="shared" ca="1" si="15"/>
        <v/>
      </c>
      <c r="G351" s="105"/>
      <c r="H351" s="105"/>
      <c r="I351" s="105"/>
      <c r="J351" s="105"/>
      <c r="K351" s="105"/>
      <c r="L351" s="105"/>
      <c r="M351" s="105"/>
      <c r="N351" s="105"/>
      <c r="O351" s="105"/>
      <c r="P351" s="106"/>
      <c r="Q351" s="106"/>
      <c r="R351" s="106"/>
      <c r="S351" s="107"/>
      <c r="T351" s="106"/>
      <c r="U351" s="106"/>
      <c r="V351" s="108"/>
      <c r="W351" s="108"/>
      <c r="X351" s="108"/>
      <c r="Y351" s="108"/>
      <c r="Z351" s="109"/>
      <c r="AA351" s="109"/>
      <c r="AB351" s="109"/>
      <c r="AC351" s="109"/>
      <c r="AD351" s="110"/>
      <c r="AE351" s="110"/>
      <c r="AF351" s="110"/>
      <c r="AG351" s="110"/>
      <c r="AH351" s="110"/>
      <c r="AI351" s="110"/>
      <c r="AJ351" s="110"/>
      <c r="AK351" s="110"/>
      <c r="AL351" s="110"/>
      <c r="AM351" s="110"/>
      <c r="AN351" s="110"/>
      <c r="AO351" s="110"/>
      <c r="AP351" s="110"/>
      <c r="AQ351" s="111"/>
      <c r="AR351" s="110"/>
      <c r="AS351" s="111"/>
      <c r="AT351" s="112"/>
      <c r="AU351" s="112"/>
      <c r="AV351" s="112"/>
      <c r="AW351" s="112"/>
      <c r="AX351" s="112"/>
      <c r="AY351" s="112"/>
      <c r="AZ351" s="112"/>
      <c r="BA351" s="112"/>
      <c r="BB351" s="112"/>
      <c r="BC351" s="112"/>
      <c r="BD351" s="113"/>
      <c r="BE351" s="114"/>
      <c r="BF351" s="115"/>
      <c r="BG351" s="115"/>
      <c r="BH351" s="116" t="str">
        <f t="shared" si="16"/>
        <v/>
      </c>
      <c r="BI351" s="116" t="str">
        <f t="shared" si="17"/>
        <v/>
      </c>
      <c r="BJ351" s="116" t="str">
        <f>IF(AND($A351&lt;&gt;"",$D351=반별조회!$C$5),COUNTIFS($A$3:$A351,"&lt;&gt;",$D$3:$D351,반별조회!$C$5),"")</f>
        <v/>
      </c>
    </row>
    <row r="352" spans="1:62" ht="15" customHeight="1">
      <c r="A352" s="102"/>
      <c r="B352" s="102"/>
      <c r="C352" s="102"/>
      <c r="D352" s="101"/>
      <c r="E352" s="105"/>
      <c r="F352" s="105" t="str">
        <f t="shared" ca="1" si="15"/>
        <v/>
      </c>
      <c r="G352" s="105"/>
      <c r="H352" s="105"/>
      <c r="I352" s="105"/>
      <c r="J352" s="105"/>
      <c r="K352" s="105"/>
      <c r="L352" s="105"/>
      <c r="M352" s="105"/>
      <c r="N352" s="105"/>
      <c r="O352" s="105"/>
      <c r="P352" s="106"/>
      <c r="Q352" s="106"/>
      <c r="R352" s="106"/>
      <c r="S352" s="107"/>
      <c r="T352" s="106"/>
      <c r="U352" s="106"/>
      <c r="V352" s="108"/>
      <c r="W352" s="108"/>
      <c r="X352" s="108"/>
      <c r="Y352" s="108"/>
      <c r="Z352" s="109"/>
      <c r="AA352" s="109"/>
      <c r="AB352" s="109"/>
      <c r="AC352" s="109"/>
      <c r="AD352" s="110"/>
      <c r="AE352" s="110"/>
      <c r="AF352" s="110"/>
      <c r="AG352" s="110"/>
      <c r="AH352" s="110"/>
      <c r="AI352" s="110"/>
      <c r="AJ352" s="110"/>
      <c r="AK352" s="110"/>
      <c r="AL352" s="110"/>
      <c r="AM352" s="110"/>
      <c r="AN352" s="110"/>
      <c r="AO352" s="110"/>
      <c r="AP352" s="110"/>
      <c r="AQ352" s="111"/>
      <c r="AR352" s="110"/>
      <c r="AS352" s="111"/>
      <c r="AT352" s="112"/>
      <c r="AU352" s="112"/>
      <c r="AV352" s="112"/>
      <c r="AW352" s="112"/>
      <c r="AX352" s="112"/>
      <c r="AY352" s="112"/>
      <c r="AZ352" s="112"/>
      <c r="BA352" s="112"/>
      <c r="BB352" s="112"/>
      <c r="BC352" s="112"/>
      <c r="BD352" s="113"/>
      <c r="BE352" s="114"/>
      <c r="BF352" s="115"/>
      <c r="BG352" s="115"/>
      <c r="BH352" s="116" t="str">
        <f t="shared" si="16"/>
        <v/>
      </c>
      <c r="BI352" s="116" t="str">
        <f t="shared" si="17"/>
        <v/>
      </c>
      <c r="BJ352" s="116" t="str">
        <f>IF(AND($A352&lt;&gt;"",$D352=반별조회!$C$5),COUNTIFS($A$3:$A352,"&lt;&gt;",$D$3:$D352,반별조회!$C$5),"")</f>
        <v/>
      </c>
    </row>
    <row r="353" spans="1:62" ht="15" customHeight="1">
      <c r="A353" s="102"/>
      <c r="B353" s="102"/>
      <c r="C353" s="102"/>
      <c r="D353" s="101"/>
      <c r="E353" s="105"/>
      <c r="F353" s="105" t="str">
        <f t="shared" ca="1" si="15"/>
        <v/>
      </c>
      <c r="G353" s="105"/>
      <c r="H353" s="105"/>
      <c r="I353" s="105"/>
      <c r="J353" s="105"/>
      <c r="K353" s="105"/>
      <c r="L353" s="105"/>
      <c r="M353" s="105"/>
      <c r="N353" s="105"/>
      <c r="O353" s="105"/>
      <c r="P353" s="106"/>
      <c r="Q353" s="106"/>
      <c r="R353" s="106"/>
      <c r="S353" s="107"/>
      <c r="T353" s="106"/>
      <c r="U353" s="106"/>
      <c r="V353" s="108"/>
      <c r="W353" s="108"/>
      <c r="X353" s="108"/>
      <c r="Y353" s="108"/>
      <c r="Z353" s="109"/>
      <c r="AA353" s="109"/>
      <c r="AB353" s="109"/>
      <c r="AC353" s="109"/>
      <c r="AD353" s="110"/>
      <c r="AE353" s="110"/>
      <c r="AF353" s="110"/>
      <c r="AG353" s="110"/>
      <c r="AH353" s="110"/>
      <c r="AI353" s="110"/>
      <c r="AJ353" s="110"/>
      <c r="AK353" s="110"/>
      <c r="AL353" s="110"/>
      <c r="AM353" s="110"/>
      <c r="AN353" s="110"/>
      <c r="AO353" s="110"/>
      <c r="AP353" s="110"/>
      <c r="AQ353" s="111"/>
      <c r="AR353" s="110"/>
      <c r="AS353" s="111"/>
      <c r="AT353" s="112"/>
      <c r="AU353" s="112"/>
      <c r="AV353" s="112"/>
      <c r="AW353" s="112"/>
      <c r="AX353" s="112"/>
      <c r="AY353" s="112"/>
      <c r="AZ353" s="112"/>
      <c r="BA353" s="112"/>
      <c r="BB353" s="112"/>
      <c r="BC353" s="112"/>
      <c r="BD353" s="113"/>
      <c r="BE353" s="114"/>
      <c r="BF353" s="115"/>
      <c r="BG353" s="115"/>
      <c r="BH353" s="116" t="str">
        <f t="shared" si="16"/>
        <v/>
      </c>
      <c r="BI353" s="116" t="str">
        <f t="shared" si="17"/>
        <v/>
      </c>
      <c r="BJ353" s="116" t="str">
        <f>IF(AND($A353&lt;&gt;"",$D353=반별조회!$C$5),COUNTIFS($A$3:$A353,"&lt;&gt;",$D$3:$D353,반별조회!$C$5),"")</f>
        <v/>
      </c>
    </row>
    <row r="354" spans="1:62" ht="15" customHeight="1">
      <c r="A354" s="102"/>
      <c r="B354" s="102"/>
      <c r="C354" s="102"/>
      <c r="D354" s="101"/>
      <c r="E354" s="105"/>
      <c r="F354" s="105" t="str">
        <f t="shared" ca="1" si="15"/>
        <v/>
      </c>
      <c r="G354" s="105"/>
      <c r="H354" s="105"/>
      <c r="I354" s="105"/>
      <c r="J354" s="105"/>
      <c r="K354" s="105"/>
      <c r="L354" s="105"/>
      <c r="M354" s="105"/>
      <c r="N354" s="105"/>
      <c r="O354" s="105"/>
      <c r="P354" s="106"/>
      <c r="Q354" s="106"/>
      <c r="R354" s="106"/>
      <c r="S354" s="107"/>
      <c r="T354" s="106"/>
      <c r="U354" s="106"/>
      <c r="V354" s="108"/>
      <c r="W354" s="108"/>
      <c r="X354" s="108"/>
      <c r="Y354" s="108"/>
      <c r="Z354" s="109"/>
      <c r="AA354" s="109"/>
      <c r="AB354" s="109"/>
      <c r="AC354" s="109"/>
      <c r="AD354" s="110"/>
      <c r="AE354" s="110"/>
      <c r="AF354" s="110"/>
      <c r="AG354" s="110"/>
      <c r="AH354" s="110"/>
      <c r="AI354" s="110"/>
      <c r="AJ354" s="110"/>
      <c r="AK354" s="110"/>
      <c r="AL354" s="110"/>
      <c r="AM354" s="110"/>
      <c r="AN354" s="110"/>
      <c r="AO354" s="110"/>
      <c r="AP354" s="110"/>
      <c r="AQ354" s="111"/>
      <c r="AR354" s="110"/>
      <c r="AS354" s="111"/>
      <c r="AT354" s="112"/>
      <c r="AU354" s="112"/>
      <c r="AV354" s="112"/>
      <c r="AW354" s="112"/>
      <c r="AX354" s="112"/>
      <c r="AY354" s="112"/>
      <c r="AZ354" s="112"/>
      <c r="BA354" s="112"/>
      <c r="BB354" s="112"/>
      <c r="BC354" s="112"/>
      <c r="BD354" s="113"/>
      <c r="BE354" s="114"/>
      <c r="BF354" s="115"/>
      <c r="BG354" s="115"/>
      <c r="BH354" s="116" t="str">
        <f t="shared" si="16"/>
        <v/>
      </c>
      <c r="BI354" s="116" t="str">
        <f t="shared" si="17"/>
        <v/>
      </c>
      <c r="BJ354" s="116" t="str">
        <f>IF(AND($A354&lt;&gt;"",$D354=반별조회!$C$5),COUNTIFS($A$3:$A354,"&lt;&gt;",$D$3:$D354,반별조회!$C$5),"")</f>
        <v/>
      </c>
    </row>
    <row r="355" spans="1:62" ht="15" customHeight="1">
      <c r="A355" s="102"/>
      <c r="B355" s="102"/>
      <c r="C355" s="102"/>
      <c r="D355" s="101"/>
      <c r="E355" s="105"/>
      <c r="F355" s="105" t="str">
        <f t="shared" ca="1" si="15"/>
        <v/>
      </c>
      <c r="G355" s="105"/>
      <c r="H355" s="105"/>
      <c r="I355" s="105"/>
      <c r="J355" s="105"/>
      <c r="K355" s="105"/>
      <c r="L355" s="105"/>
      <c r="M355" s="105"/>
      <c r="N355" s="105"/>
      <c r="O355" s="105"/>
      <c r="P355" s="106"/>
      <c r="Q355" s="106"/>
      <c r="R355" s="106"/>
      <c r="S355" s="107"/>
      <c r="T355" s="106"/>
      <c r="U355" s="106"/>
      <c r="V355" s="108"/>
      <c r="W355" s="108"/>
      <c r="X355" s="108"/>
      <c r="Y355" s="108"/>
      <c r="Z355" s="109"/>
      <c r="AA355" s="109"/>
      <c r="AB355" s="109"/>
      <c r="AC355" s="109"/>
      <c r="AD355" s="110"/>
      <c r="AE355" s="110"/>
      <c r="AF355" s="110"/>
      <c r="AG355" s="110"/>
      <c r="AH355" s="110"/>
      <c r="AI355" s="110"/>
      <c r="AJ355" s="110"/>
      <c r="AK355" s="110"/>
      <c r="AL355" s="110"/>
      <c r="AM355" s="110"/>
      <c r="AN355" s="110"/>
      <c r="AO355" s="110"/>
      <c r="AP355" s="110"/>
      <c r="AQ355" s="111"/>
      <c r="AR355" s="110"/>
      <c r="AS355" s="111"/>
      <c r="AT355" s="112"/>
      <c r="AU355" s="112"/>
      <c r="AV355" s="112"/>
      <c r="AW355" s="112"/>
      <c r="AX355" s="112"/>
      <c r="AY355" s="112"/>
      <c r="AZ355" s="112"/>
      <c r="BA355" s="112"/>
      <c r="BB355" s="112"/>
      <c r="BC355" s="112"/>
      <c r="BD355" s="113"/>
      <c r="BE355" s="114"/>
      <c r="BF355" s="115"/>
      <c r="BG355" s="115"/>
      <c r="BH355" s="116" t="str">
        <f t="shared" si="16"/>
        <v/>
      </c>
      <c r="BI355" s="116" t="str">
        <f t="shared" si="17"/>
        <v/>
      </c>
      <c r="BJ355" s="116" t="str">
        <f>IF(AND($A355&lt;&gt;"",$D355=반별조회!$C$5),COUNTIFS($A$3:$A355,"&lt;&gt;",$D$3:$D355,반별조회!$C$5),"")</f>
        <v/>
      </c>
    </row>
    <row r="356" spans="1:62" ht="15" customHeight="1">
      <c r="A356" s="102"/>
      <c r="B356" s="102"/>
      <c r="C356" s="102"/>
      <c r="D356" s="101"/>
      <c r="E356" s="105"/>
      <c r="F356" s="105" t="str">
        <f t="shared" ca="1" si="15"/>
        <v/>
      </c>
      <c r="G356" s="105"/>
      <c r="H356" s="105"/>
      <c r="I356" s="105"/>
      <c r="J356" s="105"/>
      <c r="K356" s="105"/>
      <c r="L356" s="105"/>
      <c r="M356" s="105"/>
      <c r="N356" s="105"/>
      <c r="O356" s="105"/>
      <c r="P356" s="106"/>
      <c r="Q356" s="106"/>
      <c r="R356" s="106"/>
      <c r="S356" s="107"/>
      <c r="T356" s="106"/>
      <c r="U356" s="106"/>
      <c r="V356" s="108"/>
      <c r="W356" s="108"/>
      <c r="X356" s="108"/>
      <c r="Y356" s="108"/>
      <c r="Z356" s="109"/>
      <c r="AA356" s="109"/>
      <c r="AB356" s="109"/>
      <c r="AC356" s="109"/>
      <c r="AD356" s="110"/>
      <c r="AE356" s="110"/>
      <c r="AF356" s="110"/>
      <c r="AG356" s="110"/>
      <c r="AH356" s="110"/>
      <c r="AI356" s="110"/>
      <c r="AJ356" s="110"/>
      <c r="AK356" s="110"/>
      <c r="AL356" s="110"/>
      <c r="AM356" s="110"/>
      <c r="AN356" s="110"/>
      <c r="AO356" s="110"/>
      <c r="AP356" s="110"/>
      <c r="AQ356" s="111"/>
      <c r="AR356" s="110"/>
      <c r="AS356" s="111"/>
      <c r="AT356" s="112"/>
      <c r="AU356" s="112"/>
      <c r="AV356" s="112"/>
      <c r="AW356" s="112"/>
      <c r="AX356" s="112"/>
      <c r="AY356" s="112"/>
      <c r="AZ356" s="112"/>
      <c r="BA356" s="112"/>
      <c r="BB356" s="112"/>
      <c r="BC356" s="112"/>
      <c r="BD356" s="113"/>
      <c r="BE356" s="114"/>
      <c r="BF356" s="115"/>
      <c r="BG356" s="115"/>
      <c r="BH356" s="116" t="str">
        <f t="shared" si="16"/>
        <v/>
      </c>
      <c r="BI356" s="116" t="str">
        <f t="shared" si="17"/>
        <v/>
      </c>
      <c r="BJ356" s="116" t="str">
        <f>IF(AND($A356&lt;&gt;"",$D356=반별조회!$C$5),COUNTIFS($A$3:$A356,"&lt;&gt;",$D$3:$D356,반별조회!$C$5),"")</f>
        <v/>
      </c>
    </row>
    <row r="357" spans="1:62" ht="15" customHeight="1">
      <c r="A357" s="102"/>
      <c r="B357" s="102"/>
      <c r="C357" s="102"/>
      <c r="D357" s="101"/>
      <c r="E357" s="105"/>
      <c r="F357" s="105" t="str">
        <f t="shared" ca="1" si="15"/>
        <v/>
      </c>
      <c r="G357" s="105"/>
      <c r="H357" s="105"/>
      <c r="I357" s="105"/>
      <c r="J357" s="105"/>
      <c r="K357" s="105"/>
      <c r="L357" s="105"/>
      <c r="M357" s="105"/>
      <c r="N357" s="105"/>
      <c r="O357" s="105"/>
      <c r="P357" s="106"/>
      <c r="Q357" s="106"/>
      <c r="R357" s="106"/>
      <c r="S357" s="107"/>
      <c r="T357" s="106"/>
      <c r="U357" s="106"/>
      <c r="V357" s="108"/>
      <c r="W357" s="108"/>
      <c r="X357" s="108"/>
      <c r="Y357" s="108"/>
      <c r="Z357" s="109"/>
      <c r="AA357" s="109"/>
      <c r="AB357" s="109"/>
      <c r="AC357" s="109"/>
      <c r="AD357" s="110"/>
      <c r="AE357" s="110"/>
      <c r="AF357" s="110"/>
      <c r="AG357" s="110"/>
      <c r="AH357" s="110"/>
      <c r="AI357" s="110"/>
      <c r="AJ357" s="110"/>
      <c r="AK357" s="110"/>
      <c r="AL357" s="110"/>
      <c r="AM357" s="110"/>
      <c r="AN357" s="110"/>
      <c r="AO357" s="110"/>
      <c r="AP357" s="110"/>
      <c r="AQ357" s="111"/>
      <c r="AR357" s="110"/>
      <c r="AS357" s="111"/>
      <c r="AT357" s="112"/>
      <c r="AU357" s="112"/>
      <c r="AV357" s="112"/>
      <c r="AW357" s="112"/>
      <c r="AX357" s="112"/>
      <c r="AY357" s="112"/>
      <c r="AZ357" s="112"/>
      <c r="BA357" s="112"/>
      <c r="BB357" s="112"/>
      <c r="BC357" s="112"/>
      <c r="BD357" s="113"/>
      <c r="BE357" s="114"/>
      <c r="BF357" s="115"/>
      <c r="BG357" s="115"/>
      <c r="BH357" s="116" t="str">
        <f t="shared" si="16"/>
        <v/>
      </c>
      <c r="BI357" s="116" t="str">
        <f t="shared" si="17"/>
        <v/>
      </c>
      <c r="BJ357" s="116" t="str">
        <f>IF(AND($A357&lt;&gt;"",$D357=반별조회!$C$5),COUNTIFS($A$3:$A357,"&lt;&gt;",$D$3:$D357,반별조회!$C$5),"")</f>
        <v/>
      </c>
    </row>
    <row r="358" spans="1:62" ht="15" customHeight="1">
      <c r="A358" s="102"/>
      <c r="B358" s="102"/>
      <c r="C358" s="102"/>
      <c r="D358" s="101"/>
      <c r="E358" s="105"/>
      <c r="F358" s="105" t="str">
        <f t="shared" ca="1" si="15"/>
        <v/>
      </c>
      <c r="G358" s="105"/>
      <c r="H358" s="105"/>
      <c r="I358" s="105"/>
      <c r="J358" s="105"/>
      <c r="K358" s="105"/>
      <c r="L358" s="105"/>
      <c r="M358" s="105"/>
      <c r="N358" s="105"/>
      <c r="O358" s="105"/>
      <c r="P358" s="106"/>
      <c r="Q358" s="106"/>
      <c r="R358" s="106"/>
      <c r="S358" s="107"/>
      <c r="T358" s="106"/>
      <c r="U358" s="106"/>
      <c r="V358" s="108"/>
      <c r="W358" s="108"/>
      <c r="X358" s="108"/>
      <c r="Y358" s="108"/>
      <c r="Z358" s="109"/>
      <c r="AA358" s="109"/>
      <c r="AB358" s="109"/>
      <c r="AC358" s="109"/>
      <c r="AD358" s="110"/>
      <c r="AE358" s="110"/>
      <c r="AF358" s="110"/>
      <c r="AG358" s="110"/>
      <c r="AH358" s="110"/>
      <c r="AI358" s="110"/>
      <c r="AJ358" s="110"/>
      <c r="AK358" s="110"/>
      <c r="AL358" s="110"/>
      <c r="AM358" s="110"/>
      <c r="AN358" s="110"/>
      <c r="AO358" s="110"/>
      <c r="AP358" s="110"/>
      <c r="AQ358" s="111"/>
      <c r="AR358" s="110"/>
      <c r="AS358" s="111"/>
      <c r="AT358" s="112"/>
      <c r="AU358" s="112"/>
      <c r="AV358" s="112"/>
      <c r="AW358" s="112"/>
      <c r="AX358" s="112"/>
      <c r="AY358" s="112"/>
      <c r="AZ358" s="112"/>
      <c r="BA358" s="112"/>
      <c r="BB358" s="112"/>
      <c r="BC358" s="112"/>
      <c r="BD358" s="113"/>
      <c r="BE358" s="114"/>
      <c r="BF358" s="115"/>
      <c r="BG358" s="115"/>
      <c r="BH358" s="116" t="str">
        <f t="shared" si="16"/>
        <v/>
      </c>
      <c r="BI358" s="116" t="str">
        <f t="shared" si="17"/>
        <v/>
      </c>
      <c r="BJ358" s="116" t="str">
        <f>IF(AND($A358&lt;&gt;"",$D358=반별조회!$C$5),COUNTIFS($A$3:$A358,"&lt;&gt;",$D$3:$D358,반별조회!$C$5),"")</f>
        <v/>
      </c>
    </row>
    <row r="359" spans="1:62" ht="15" customHeight="1">
      <c r="A359" s="102"/>
      <c r="B359" s="102"/>
      <c r="C359" s="102"/>
      <c r="D359" s="101"/>
      <c r="E359" s="105"/>
      <c r="F359" s="105" t="str">
        <f t="shared" ca="1" si="15"/>
        <v/>
      </c>
      <c r="G359" s="105"/>
      <c r="H359" s="105"/>
      <c r="I359" s="105"/>
      <c r="J359" s="105"/>
      <c r="K359" s="105"/>
      <c r="L359" s="105"/>
      <c r="M359" s="105"/>
      <c r="N359" s="105"/>
      <c r="O359" s="105"/>
      <c r="P359" s="106"/>
      <c r="Q359" s="106"/>
      <c r="R359" s="106"/>
      <c r="S359" s="107"/>
      <c r="T359" s="106"/>
      <c r="U359" s="106"/>
      <c r="V359" s="108"/>
      <c r="W359" s="108"/>
      <c r="X359" s="108"/>
      <c r="Y359" s="108"/>
      <c r="Z359" s="109"/>
      <c r="AA359" s="109"/>
      <c r="AB359" s="109"/>
      <c r="AC359" s="109"/>
      <c r="AD359" s="110"/>
      <c r="AE359" s="110"/>
      <c r="AF359" s="110"/>
      <c r="AG359" s="110"/>
      <c r="AH359" s="110"/>
      <c r="AI359" s="110"/>
      <c r="AJ359" s="110"/>
      <c r="AK359" s="110"/>
      <c r="AL359" s="110"/>
      <c r="AM359" s="110"/>
      <c r="AN359" s="110"/>
      <c r="AO359" s="110"/>
      <c r="AP359" s="110"/>
      <c r="AQ359" s="111"/>
      <c r="AR359" s="110"/>
      <c r="AS359" s="111"/>
      <c r="AT359" s="112"/>
      <c r="AU359" s="112"/>
      <c r="AV359" s="112"/>
      <c r="AW359" s="112"/>
      <c r="AX359" s="112"/>
      <c r="AY359" s="112"/>
      <c r="AZ359" s="112"/>
      <c r="BA359" s="112"/>
      <c r="BB359" s="112"/>
      <c r="BC359" s="112"/>
      <c r="BD359" s="113"/>
      <c r="BE359" s="114"/>
      <c r="BF359" s="115"/>
      <c r="BG359" s="115"/>
      <c r="BH359" s="116" t="str">
        <f t="shared" si="16"/>
        <v/>
      </c>
      <c r="BI359" s="116" t="str">
        <f t="shared" si="17"/>
        <v/>
      </c>
      <c r="BJ359" s="116" t="str">
        <f>IF(AND($A359&lt;&gt;"",$D359=반별조회!$C$5),COUNTIFS($A$3:$A359,"&lt;&gt;",$D$3:$D359,반별조회!$C$5),"")</f>
        <v/>
      </c>
    </row>
    <row r="360" spans="1:62" ht="15" customHeight="1">
      <c r="A360" s="102"/>
      <c r="B360" s="102"/>
      <c r="C360" s="102"/>
      <c r="D360" s="101"/>
      <c r="E360" s="105"/>
      <c r="F360" s="105" t="str">
        <f t="shared" ca="1" si="15"/>
        <v/>
      </c>
      <c r="G360" s="105"/>
      <c r="H360" s="105"/>
      <c r="I360" s="105"/>
      <c r="J360" s="105"/>
      <c r="K360" s="105"/>
      <c r="L360" s="105"/>
      <c r="M360" s="105"/>
      <c r="N360" s="105"/>
      <c r="O360" s="105"/>
      <c r="P360" s="106"/>
      <c r="Q360" s="106"/>
      <c r="R360" s="106"/>
      <c r="S360" s="107"/>
      <c r="T360" s="106"/>
      <c r="U360" s="106"/>
      <c r="V360" s="108"/>
      <c r="W360" s="108"/>
      <c r="X360" s="108"/>
      <c r="Y360" s="108"/>
      <c r="Z360" s="109"/>
      <c r="AA360" s="109"/>
      <c r="AB360" s="109"/>
      <c r="AC360" s="109"/>
      <c r="AD360" s="110"/>
      <c r="AE360" s="110"/>
      <c r="AF360" s="110"/>
      <c r="AG360" s="110"/>
      <c r="AH360" s="110"/>
      <c r="AI360" s="110"/>
      <c r="AJ360" s="110"/>
      <c r="AK360" s="110"/>
      <c r="AL360" s="110"/>
      <c r="AM360" s="110"/>
      <c r="AN360" s="110"/>
      <c r="AO360" s="110"/>
      <c r="AP360" s="110"/>
      <c r="AQ360" s="111"/>
      <c r="AR360" s="110"/>
      <c r="AS360" s="111"/>
      <c r="AT360" s="112"/>
      <c r="AU360" s="112"/>
      <c r="AV360" s="112"/>
      <c r="AW360" s="112"/>
      <c r="AX360" s="112"/>
      <c r="AY360" s="112"/>
      <c r="AZ360" s="112"/>
      <c r="BA360" s="112"/>
      <c r="BB360" s="112"/>
      <c r="BC360" s="112"/>
      <c r="BD360" s="113"/>
      <c r="BE360" s="114"/>
      <c r="BF360" s="115"/>
      <c r="BG360" s="115"/>
      <c r="BH360" s="116" t="str">
        <f t="shared" si="16"/>
        <v/>
      </c>
      <c r="BI360" s="116" t="str">
        <f t="shared" si="17"/>
        <v/>
      </c>
      <c r="BJ360" s="116" t="str">
        <f>IF(AND($A360&lt;&gt;"",$D360=반별조회!$C$5),COUNTIFS($A$3:$A360,"&lt;&gt;",$D$3:$D360,반별조회!$C$5),"")</f>
        <v/>
      </c>
    </row>
    <row r="361" spans="1:62" ht="15" customHeight="1">
      <c r="A361" s="102"/>
      <c r="B361" s="102"/>
      <c r="C361" s="102"/>
      <c r="D361" s="101"/>
      <c r="E361" s="105"/>
      <c r="F361" s="105" t="str">
        <f t="shared" ca="1" si="15"/>
        <v/>
      </c>
      <c r="G361" s="105"/>
      <c r="H361" s="105"/>
      <c r="I361" s="105"/>
      <c r="J361" s="105"/>
      <c r="K361" s="105"/>
      <c r="L361" s="105"/>
      <c r="M361" s="105"/>
      <c r="N361" s="105"/>
      <c r="O361" s="105"/>
      <c r="P361" s="106"/>
      <c r="Q361" s="106"/>
      <c r="R361" s="106"/>
      <c r="S361" s="107"/>
      <c r="T361" s="106"/>
      <c r="U361" s="106"/>
      <c r="V361" s="108"/>
      <c r="W361" s="108"/>
      <c r="X361" s="108"/>
      <c r="Y361" s="108"/>
      <c r="Z361" s="109"/>
      <c r="AA361" s="109"/>
      <c r="AB361" s="109"/>
      <c r="AC361" s="109"/>
      <c r="AD361" s="110"/>
      <c r="AE361" s="110"/>
      <c r="AF361" s="110"/>
      <c r="AG361" s="110"/>
      <c r="AH361" s="110"/>
      <c r="AI361" s="110"/>
      <c r="AJ361" s="110"/>
      <c r="AK361" s="110"/>
      <c r="AL361" s="110"/>
      <c r="AM361" s="110"/>
      <c r="AN361" s="110"/>
      <c r="AO361" s="110"/>
      <c r="AP361" s="110"/>
      <c r="AQ361" s="111"/>
      <c r="AR361" s="110"/>
      <c r="AS361" s="111"/>
      <c r="AT361" s="112"/>
      <c r="AU361" s="112"/>
      <c r="AV361" s="112"/>
      <c r="AW361" s="112"/>
      <c r="AX361" s="112"/>
      <c r="AY361" s="112"/>
      <c r="AZ361" s="112"/>
      <c r="BA361" s="112"/>
      <c r="BB361" s="112"/>
      <c r="BC361" s="112"/>
      <c r="BD361" s="113"/>
      <c r="BE361" s="114"/>
      <c r="BF361" s="115"/>
      <c r="BG361" s="115"/>
      <c r="BH361" s="116" t="str">
        <f t="shared" si="16"/>
        <v/>
      </c>
      <c r="BI361" s="116" t="str">
        <f t="shared" si="17"/>
        <v/>
      </c>
      <c r="BJ361" s="116" t="str">
        <f>IF(AND($A361&lt;&gt;"",$D361=반별조회!$C$5),COUNTIFS($A$3:$A361,"&lt;&gt;",$D$3:$D361,반별조회!$C$5),"")</f>
        <v/>
      </c>
    </row>
    <row r="362" spans="1:62" ht="15" customHeight="1">
      <c r="A362" s="102"/>
      <c r="B362" s="102"/>
      <c r="C362" s="102"/>
      <c r="D362" s="101"/>
      <c r="E362" s="105"/>
      <c r="F362" s="105" t="str">
        <f t="shared" ca="1" si="15"/>
        <v/>
      </c>
      <c r="G362" s="105"/>
      <c r="H362" s="105"/>
      <c r="I362" s="105"/>
      <c r="J362" s="105"/>
      <c r="K362" s="105"/>
      <c r="L362" s="105"/>
      <c r="M362" s="105"/>
      <c r="N362" s="105"/>
      <c r="O362" s="105"/>
      <c r="P362" s="106"/>
      <c r="Q362" s="106"/>
      <c r="R362" s="106"/>
      <c r="S362" s="107"/>
      <c r="T362" s="106"/>
      <c r="U362" s="106"/>
      <c r="V362" s="108"/>
      <c r="W362" s="108"/>
      <c r="X362" s="108"/>
      <c r="Y362" s="108"/>
      <c r="Z362" s="109"/>
      <c r="AA362" s="109"/>
      <c r="AB362" s="109"/>
      <c r="AC362" s="109"/>
      <c r="AD362" s="110"/>
      <c r="AE362" s="110"/>
      <c r="AF362" s="110"/>
      <c r="AG362" s="110"/>
      <c r="AH362" s="110"/>
      <c r="AI362" s="110"/>
      <c r="AJ362" s="110"/>
      <c r="AK362" s="110"/>
      <c r="AL362" s="110"/>
      <c r="AM362" s="110"/>
      <c r="AN362" s="110"/>
      <c r="AO362" s="110"/>
      <c r="AP362" s="110"/>
      <c r="AQ362" s="111"/>
      <c r="AR362" s="110"/>
      <c r="AS362" s="111"/>
      <c r="AT362" s="112"/>
      <c r="AU362" s="112"/>
      <c r="AV362" s="112"/>
      <c r="AW362" s="112"/>
      <c r="AX362" s="112"/>
      <c r="AY362" s="112"/>
      <c r="AZ362" s="112"/>
      <c r="BA362" s="112"/>
      <c r="BB362" s="112"/>
      <c r="BC362" s="112"/>
      <c r="BD362" s="113"/>
      <c r="BE362" s="114"/>
      <c r="BF362" s="115"/>
      <c r="BG362" s="115"/>
      <c r="BH362" s="116" t="str">
        <f t="shared" si="16"/>
        <v/>
      </c>
      <c r="BI362" s="116" t="str">
        <f t="shared" si="17"/>
        <v/>
      </c>
      <c r="BJ362" s="116" t="str">
        <f>IF(AND($A362&lt;&gt;"",$D362=반별조회!$C$5),COUNTIFS($A$3:$A362,"&lt;&gt;",$D$3:$D362,반별조회!$C$5),"")</f>
        <v/>
      </c>
    </row>
    <row r="363" spans="1:62" ht="15" customHeight="1">
      <c r="A363" s="102"/>
      <c r="B363" s="102"/>
      <c r="C363" s="102"/>
      <c r="D363" s="101"/>
      <c r="E363" s="105"/>
      <c r="F363" s="105" t="str">
        <f t="shared" ca="1" si="15"/>
        <v/>
      </c>
      <c r="G363" s="105"/>
      <c r="H363" s="105"/>
      <c r="I363" s="105"/>
      <c r="J363" s="105"/>
      <c r="K363" s="105"/>
      <c r="L363" s="105"/>
      <c r="M363" s="105"/>
      <c r="N363" s="105"/>
      <c r="O363" s="105"/>
      <c r="P363" s="106"/>
      <c r="Q363" s="106"/>
      <c r="R363" s="106"/>
      <c r="S363" s="107"/>
      <c r="T363" s="106"/>
      <c r="U363" s="106"/>
      <c r="V363" s="108"/>
      <c r="W363" s="108"/>
      <c r="X363" s="108"/>
      <c r="Y363" s="108"/>
      <c r="Z363" s="109"/>
      <c r="AA363" s="109"/>
      <c r="AB363" s="109"/>
      <c r="AC363" s="109"/>
      <c r="AD363" s="110"/>
      <c r="AE363" s="110"/>
      <c r="AF363" s="110"/>
      <c r="AG363" s="110"/>
      <c r="AH363" s="110"/>
      <c r="AI363" s="110"/>
      <c r="AJ363" s="110"/>
      <c r="AK363" s="110"/>
      <c r="AL363" s="110"/>
      <c r="AM363" s="110"/>
      <c r="AN363" s="110"/>
      <c r="AO363" s="110"/>
      <c r="AP363" s="110"/>
      <c r="AQ363" s="111"/>
      <c r="AR363" s="110"/>
      <c r="AS363" s="111"/>
      <c r="AT363" s="112"/>
      <c r="AU363" s="112"/>
      <c r="AV363" s="112"/>
      <c r="AW363" s="112"/>
      <c r="AX363" s="112"/>
      <c r="AY363" s="112"/>
      <c r="AZ363" s="112"/>
      <c r="BA363" s="112"/>
      <c r="BB363" s="112"/>
      <c r="BC363" s="112"/>
      <c r="BD363" s="113"/>
      <c r="BE363" s="114"/>
      <c r="BF363" s="115"/>
      <c r="BG363" s="115"/>
      <c r="BH363" s="116" t="str">
        <f t="shared" si="16"/>
        <v/>
      </c>
      <c r="BI363" s="116" t="str">
        <f t="shared" si="17"/>
        <v/>
      </c>
      <c r="BJ363" s="116" t="str">
        <f>IF(AND($A363&lt;&gt;"",$D363=반별조회!$C$5),COUNTIFS($A$3:$A363,"&lt;&gt;",$D$3:$D363,반별조회!$C$5),"")</f>
        <v/>
      </c>
    </row>
    <row r="364" spans="1:62" ht="15" customHeight="1">
      <c r="A364" s="102"/>
      <c r="B364" s="102"/>
      <c r="C364" s="102"/>
      <c r="D364" s="101"/>
      <c r="E364" s="105"/>
      <c r="F364" s="105" t="str">
        <f t="shared" ca="1" si="15"/>
        <v/>
      </c>
      <c r="G364" s="105"/>
      <c r="H364" s="105"/>
      <c r="I364" s="105"/>
      <c r="J364" s="105"/>
      <c r="K364" s="105"/>
      <c r="L364" s="105"/>
      <c r="M364" s="105"/>
      <c r="N364" s="105"/>
      <c r="O364" s="105"/>
      <c r="P364" s="106"/>
      <c r="Q364" s="106"/>
      <c r="R364" s="106"/>
      <c r="S364" s="107"/>
      <c r="T364" s="106"/>
      <c r="U364" s="106"/>
      <c r="V364" s="108"/>
      <c r="W364" s="108"/>
      <c r="X364" s="108"/>
      <c r="Y364" s="108"/>
      <c r="Z364" s="109"/>
      <c r="AA364" s="109"/>
      <c r="AB364" s="109"/>
      <c r="AC364" s="109"/>
      <c r="AD364" s="110"/>
      <c r="AE364" s="110"/>
      <c r="AF364" s="110"/>
      <c r="AG364" s="110"/>
      <c r="AH364" s="110"/>
      <c r="AI364" s="110"/>
      <c r="AJ364" s="110"/>
      <c r="AK364" s="110"/>
      <c r="AL364" s="110"/>
      <c r="AM364" s="110"/>
      <c r="AN364" s="110"/>
      <c r="AO364" s="110"/>
      <c r="AP364" s="110"/>
      <c r="AQ364" s="111"/>
      <c r="AR364" s="110"/>
      <c r="AS364" s="111"/>
      <c r="AT364" s="112"/>
      <c r="AU364" s="112"/>
      <c r="AV364" s="112"/>
      <c r="AW364" s="112"/>
      <c r="AX364" s="112"/>
      <c r="AY364" s="112"/>
      <c r="AZ364" s="112"/>
      <c r="BA364" s="112"/>
      <c r="BB364" s="112"/>
      <c r="BC364" s="112"/>
      <c r="BD364" s="113"/>
      <c r="BE364" s="114"/>
      <c r="BF364" s="115"/>
      <c r="BG364" s="115"/>
      <c r="BH364" s="116" t="str">
        <f t="shared" si="16"/>
        <v/>
      </c>
      <c r="BI364" s="116" t="str">
        <f t="shared" si="17"/>
        <v/>
      </c>
      <c r="BJ364" s="116" t="str">
        <f>IF(AND($A364&lt;&gt;"",$D364=반별조회!$C$5),COUNTIFS($A$3:$A364,"&lt;&gt;",$D$3:$D364,반별조회!$C$5),"")</f>
        <v/>
      </c>
    </row>
    <row r="365" spans="1:62" ht="15" customHeight="1">
      <c r="A365" s="102"/>
      <c r="B365" s="102"/>
      <c r="C365" s="102"/>
      <c r="D365" s="101"/>
      <c r="E365" s="105"/>
      <c r="F365" s="105" t="str">
        <f t="shared" ca="1" si="15"/>
        <v/>
      </c>
      <c r="G365" s="105"/>
      <c r="H365" s="105"/>
      <c r="I365" s="105"/>
      <c r="J365" s="105"/>
      <c r="K365" s="105"/>
      <c r="L365" s="105"/>
      <c r="M365" s="105"/>
      <c r="N365" s="105"/>
      <c r="O365" s="105"/>
      <c r="P365" s="106"/>
      <c r="Q365" s="106"/>
      <c r="R365" s="106"/>
      <c r="S365" s="107"/>
      <c r="T365" s="106"/>
      <c r="U365" s="106"/>
      <c r="V365" s="108"/>
      <c r="W365" s="108"/>
      <c r="X365" s="108"/>
      <c r="Y365" s="108"/>
      <c r="Z365" s="109"/>
      <c r="AA365" s="109"/>
      <c r="AB365" s="109"/>
      <c r="AC365" s="109"/>
      <c r="AD365" s="110"/>
      <c r="AE365" s="110"/>
      <c r="AF365" s="110"/>
      <c r="AG365" s="110"/>
      <c r="AH365" s="110"/>
      <c r="AI365" s="110"/>
      <c r="AJ365" s="110"/>
      <c r="AK365" s="110"/>
      <c r="AL365" s="110"/>
      <c r="AM365" s="110"/>
      <c r="AN365" s="110"/>
      <c r="AO365" s="110"/>
      <c r="AP365" s="110"/>
      <c r="AQ365" s="111"/>
      <c r="AR365" s="110"/>
      <c r="AS365" s="111"/>
      <c r="AT365" s="112"/>
      <c r="AU365" s="112"/>
      <c r="AV365" s="112"/>
      <c r="AW365" s="112"/>
      <c r="AX365" s="112"/>
      <c r="AY365" s="112"/>
      <c r="AZ365" s="112"/>
      <c r="BA365" s="112"/>
      <c r="BB365" s="112"/>
      <c r="BC365" s="112"/>
      <c r="BD365" s="113"/>
      <c r="BE365" s="114"/>
      <c r="BF365" s="115"/>
      <c r="BG365" s="115"/>
      <c r="BH365" s="116" t="str">
        <f t="shared" si="16"/>
        <v/>
      </c>
      <c r="BI365" s="116" t="str">
        <f t="shared" si="17"/>
        <v/>
      </c>
      <c r="BJ365" s="116" t="str">
        <f>IF(AND($A365&lt;&gt;"",$D365=반별조회!$C$5),COUNTIFS($A$3:$A365,"&lt;&gt;",$D$3:$D365,반별조회!$C$5),"")</f>
        <v/>
      </c>
    </row>
    <row r="366" spans="1:62" ht="15" customHeight="1">
      <c r="A366" s="102"/>
      <c r="B366" s="102"/>
      <c r="C366" s="102"/>
      <c r="D366" s="101"/>
      <c r="E366" s="105"/>
      <c r="F366" s="105" t="str">
        <f t="shared" ca="1" si="15"/>
        <v/>
      </c>
      <c r="G366" s="105"/>
      <c r="H366" s="105"/>
      <c r="I366" s="105"/>
      <c r="J366" s="105"/>
      <c r="K366" s="105"/>
      <c r="L366" s="105"/>
      <c r="M366" s="105"/>
      <c r="N366" s="105"/>
      <c r="O366" s="105"/>
      <c r="P366" s="106"/>
      <c r="Q366" s="106"/>
      <c r="R366" s="106"/>
      <c r="S366" s="107"/>
      <c r="T366" s="106"/>
      <c r="U366" s="106"/>
      <c r="V366" s="108"/>
      <c r="W366" s="108"/>
      <c r="X366" s="108"/>
      <c r="Y366" s="108"/>
      <c r="Z366" s="109"/>
      <c r="AA366" s="109"/>
      <c r="AB366" s="109"/>
      <c r="AC366" s="109"/>
      <c r="AD366" s="110"/>
      <c r="AE366" s="110"/>
      <c r="AF366" s="110"/>
      <c r="AG366" s="110"/>
      <c r="AH366" s="110"/>
      <c r="AI366" s="110"/>
      <c r="AJ366" s="110"/>
      <c r="AK366" s="110"/>
      <c r="AL366" s="110"/>
      <c r="AM366" s="110"/>
      <c r="AN366" s="110"/>
      <c r="AO366" s="110"/>
      <c r="AP366" s="110"/>
      <c r="AQ366" s="111"/>
      <c r="AR366" s="110"/>
      <c r="AS366" s="111"/>
      <c r="AT366" s="112"/>
      <c r="AU366" s="112"/>
      <c r="AV366" s="112"/>
      <c r="AW366" s="112"/>
      <c r="AX366" s="112"/>
      <c r="AY366" s="112"/>
      <c r="AZ366" s="112"/>
      <c r="BA366" s="112"/>
      <c r="BB366" s="112"/>
      <c r="BC366" s="112"/>
      <c r="BD366" s="113"/>
      <c r="BE366" s="114"/>
      <c r="BF366" s="115"/>
      <c r="BG366" s="115"/>
      <c r="BH366" s="116" t="str">
        <f t="shared" si="16"/>
        <v/>
      </c>
      <c r="BI366" s="116" t="str">
        <f t="shared" si="17"/>
        <v/>
      </c>
      <c r="BJ366" s="116" t="str">
        <f>IF(AND($A366&lt;&gt;"",$D366=반별조회!$C$5),COUNTIFS($A$3:$A366,"&lt;&gt;",$D$3:$D366,반별조회!$C$5),"")</f>
        <v/>
      </c>
    </row>
    <row r="367" spans="1:62" ht="15" customHeight="1">
      <c r="A367" s="102"/>
      <c r="B367" s="102"/>
      <c r="C367" s="102"/>
      <c r="D367" s="101"/>
      <c r="E367" s="105"/>
      <c r="F367" s="105" t="str">
        <f t="shared" ca="1" si="15"/>
        <v/>
      </c>
      <c r="G367" s="105"/>
      <c r="H367" s="105"/>
      <c r="I367" s="105"/>
      <c r="J367" s="105"/>
      <c r="K367" s="105"/>
      <c r="L367" s="105"/>
      <c r="M367" s="105"/>
      <c r="N367" s="105"/>
      <c r="O367" s="105"/>
      <c r="P367" s="106"/>
      <c r="Q367" s="106"/>
      <c r="R367" s="106"/>
      <c r="S367" s="107"/>
      <c r="T367" s="106"/>
      <c r="U367" s="106"/>
      <c r="V367" s="108"/>
      <c r="W367" s="108"/>
      <c r="X367" s="108"/>
      <c r="Y367" s="108"/>
      <c r="Z367" s="109"/>
      <c r="AA367" s="109"/>
      <c r="AB367" s="109"/>
      <c r="AC367" s="109"/>
      <c r="AD367" s="110"/>
      <c r="AE367" s="110"/>
      <c r="AF367" s="110"/>
      <c r="AG367" s="110"/>
      <c r="AH367" s="110"/>
      <c r="AI367" s="110"/>
      <c r="AJ367" s="110"/>
      <c r="AK367" s="110"/>
      <c r="AL367" s="110"/>
      <c r="AM367" s="110"/>
      <c r="AN367" s="110"/>
      <c r="AO367" s="110"/>
      <c r="AP367" s="110"/>
      <c r="AQ367" s="111"/>
      <c r="AR367" s="110"/>
      <c r="AS367" s="111"/>
      <c r="AT367" s="112"/>
      <c r="AU367" s="112"/>
      <c r="AV367" s="112"/>
      <c r="AW367" s="112"/>
      <c r="AX367" s="112"/>
      <c r="AY367" s="112"/>
      <c r="AZ367" s="112"/>
      <c r="BA367" s="112"/>
      <c r="BB367" s="112"/>
      <c r="BC367" s="112"/>
      <c r="BD367" s="113"/>
      <c r="BE367" s="114"/>
      <c r="BF367" s="115"/>
      <c r="BG367" s="115"/>
      <c r="BH367" s="116" t="str">
        <f t="shared" si="16"/>
        <v/>
      </c>
      <c r="BI367" s="116" t="str">
        <f t="shared" si="17"/>
        <v/>
      </c>
      <c r="BJ367" s="116" t="str">
        <f>IF(AND($A367&lt;&gt;"",$D367=반별조회!$C$5),COUNTIFS($A$3:$A367,"&lt;&gt;",$D$3:$D367,반별조회!$C$5),"")</f>
        <v/>
      </c>
    </row>
    <row r="368" spans="1:62" ht="15" customHeight="1">
      <c r="A368" s="102"/>
      <c r="B368" s="102"/>
      <c r="C368" s="102"/>
      <c r="D368" s="101"/>
      <c r="E368" s="105"/>
      <c r="F368" s="105" t="str">
        <f t="shared" ca="1" si="15"/>
        <v/>
      </c>
      <c r="G368" s="105"/>
      <c r="H368" s="105"/>
      <c r="I368" s="105"/>
      <c r="J368" s="105"/>
      <c r="K368" s="105"/>
      <c r="L368" s="105"/>
      <c r="M368" s="105"/>
      <c r="N368" s="105"/>
      <c r="O368" s="105"/>
      <c r="P368" s="106"/>
      <c r="Q368" s="106"/>
      <c r="R368" s="106"/>
      <c r="S368" s="107"/>
      <c r="T368" s="106"/>
      <c r="U368" s="106"/>
      <c r="V368" s="108"/>
      <c r="W368" s="108"/>
      <c r="X368" s="108"/>
      <c r="Y368" s="108"/>
      <c r="Z368" s="109"/>
      <c r="AA368" s="109"/>
      <c r="AB368" s="109"/>
      <c r="AC368" s="109"/>
      <c r="AD368" s="110"/>
      <c r="AE368" s="110"/>
      <c r="AF368" s="110"/>
      <c r="AG368" s="110"/>
      <c r="AH368" s="110"/>
      <c r="AI368" s="110"/>
      <c r="AJ368" s="110"/>
      <c r="AK368" s="110"/>
      <c r="AL368" s="110"/>
      <c r="AM368" s="110"/>
      <c r="AN368" s="110"/>
      <c r="AO368" s="110"/>
      <c r="AP368" s="110"/>
      <c r="AQ368" s="111"/>
      <c r="AR368" s="110"/>
      <c r="AS368" s="111"/>
      <c r="AT368" s="112"/>
      <c r="AU368" s="112"/>
      <c r="AV368" s="112"/>
      <c r="AW368" s="112"/>
      <c r="AX368" s="112"/>
      <c r="AY368" s="112"/>
      <c r="AZ368" s="112"/>
      <c r="BA368" s="112"/>
      <c r="BB368" s="112"/>
      <c r="BC368" s="112"/>
      <c r="BD368" s="113"/>
      <c r="BE368" s="114"/>
      <c r="BF368" s="115"/>
      <c r="BG368" s="115"/>
      <c r="BH368" s="116" t="str">
        <f t="shared" si="16"/>
        <v/>
      </c>
      <c r="BI368" s="116" t="str">
        <f t="shared" si="17"/>
        <v/>
      </c>
      <c r="BJ368" s="116" t="str">
        <f>IF(AND($A368&lt;&gt;"",$D368=반별조회!$C$5),COUNTIFS($A$3:$A368,"&lt;&gt;",$D$3:$D368,반별조회!$C$5),"")</f>
        <v/>
      </c>
    </row>
    <row r="369" spans="1:62" ht="15" customHeight="1">
      <c r="A369" s="102"/>
      <c r="B369" s="102"/>
      <c r="C369" s="102"/>
      <c r="D369" s="101"/>
      <c r="E369" s="105"/>
      <c r="F369" s="105" t="str">
        <f t="shared" ca="1" si="15"/>
        <v/>
      </c>
      <c r="G369" s="105"/>
      <c r="H369" s="105"/>
      <c r="I369" s="105"/>
      <c r="J369" s="105"/>
      <c r="K369" s="105"/>
      <c r="L369" s="105"/>
      <c r="M369" s="105"/>
      <c r="N369" s="105"/>
      <c r="O369" s="105"/>
      <c r="P369" s="106"/>
      <c r="Q369" s="106"/>
      <c r="R369" s="106"/>
      <c r="S369" s="107"/>
      <c r="T369" s="106"/>
      <c r="U369" s="106"/>
      <c r="V369" s="108"/>
      <c r="W369" s="108"/>
      <c r="X369" s="108"/>
      <c r="Y369" s="108"/>
      <c r="Z369" s="109"/>
      <c r="AA369" s="109"/>
      <c r="AB369" s="109"/>
      <c r="AC369" s="109"/>
      <c r="AD369" s="110"/>
      <c r="AE369" s="110"/>
      <c r="AF369" s="110"/>
      <c r="AG369" s="110"/>
      <c r="AH369" s="110"/>
      <c r="AI369" s="110"/>
      <c r="AJ369" s="110"/>
      <c r="AK369" s="110"/>
      <c r="AL369" s="110"/>
      <c r="AM369" s="110"/>
      <c r="AN369" s="110"/>
      <c r="AO369" s="110"/>
      <c r="AP369" s="110"/>
      <c r="AQ369" s="111"/>
      <c r="AR369" s="110"/>
      <c r="AS369" s="111"/>
      <c r="AT369" s="112"/>
      <c r="AU369" s="112"/>
      <c r="AV369" s="112"/>
      <c r="AW369" s="112"/>
      <c r="AX369" s="112"/>
      <c r="AY369" s="112"/>
      <c r="AZ369" s="112"/>
      <c r="BA369" s="112"/>
      <c r="BB369" s="112"/>
      <c r="BC369" s="112"/>
      <c r="BD369" s="113"/>
      <c r="BE369" s="114"/>
      <c r="BF369" s="115"/>
      <c r="BG369" s="115"/>
      <c r="BH369" s="116" t="str">
        <f t="shared" si="16"/>
        <v/>
      </c>
      <c r="BI369" s="116" t="str">
        <f t="shared" si="17"/>
        <v/>
      </c>
      <c r="BJ369" s="116" t="str">
        <f>IF(AND($A369&lt;&gt;"",$D369=반별조회!$C$5),COUNTIFS($A$3:$A369,"&lt;&gt;",$D$3:$D369,반별조회!$C$5),"")</f>
        <v/>
      </c>
    </row>
    <row r="370" spans="1:62" ht="15" customHeight="1">
      <c r="A370" s="102"/>
      <c r="B370" s="102"/>
      <c r="C370" s="102"/>
      <c r="D370" s="101"/>
      <c r="E370" s="105"/>
      <c r="F370" s="105" t="str">
        <f t="shared" ca="1" si="15"/>
        <v/>
      </c>
      <c r="G370" s="105"/>
      <c r="H370" s="105"/>
      <c r="I370" s="105"/>
      <c r="J370" s="105"/>
      <c r="K370" s="105"/>
      <c r="L370" s="105"/>
      <c r="M370" s="105"/>
      <c r="N370" s="105"/>
      <c r="O370" s="105"/>
      <c r="P370" s="106"/>
      <c r="Q370" s="106"/>
      <c r="R370" s="106"/>
      <c r="S370" s="107"/>
      <c r="T370" s="106"/>
      <c r="U370" s="106"/>
      <c r="V370" s="108"/>
      <c r="W370" s="108"/>
      <c r="X370" s="108"/>
      <c r="Y370" s="108"/>
      <c r="Z370" s="109"/>
      <c r="AA370" s="109"/>
      <c r="AB370" s="109"/>
      <c r="AC370" s="109"/>
      <c r="AD370" s="110"/>
      <c r="AE370" s="110"/>
      <c r="AF370" s="110"/>
      <c r="AG370" s="110"/>
      <c r="AH370" s="110"/>
      <c r="AI370" s="110"/>
      <c r="AJ370" s="110"/>
      <c r="AK370" s="110"/>
      <c r="AL370" s="110"/>
      <c r="AM370" s="110"/>
      <c r="AN370" s="110"/>
      <c r="AO370" s="110"/>
      <c r="AP370" s="110"/>
      <c r="AQ370" s="111"/>
      <c r="AR370" s="110"/>
      <c r="AS370" s="111"/>
      <c r="AT370" s="112"/>
      <c r="AU370" s="112"/>
      <c r="AV370" s="112"/>
      <c r="AW370" s="112"/>
      <c r="AX370" s="112"/>
      <c r="AY370" s="112"/>
      <c r="AZ370" s="112"/>
      <c r="BA370" s="112"/>
      <c r="BB370" s="112"/>
      <c r="BC370" s="112"/>
      <c r="BD370" s="113"/>
      <c r="BE370" s="114"/>
      <c r="BF370" s="115"/>
      <c r="BG370" s="115"/>
      <c r="BH370" s="116" t="str">
        <f t="shared" si="16"/>
        <v/>
      </c>
      <c r="BI370" s="116" t="str">
        <f t="shared" si="17"/>
        <v/>
      </c>
      <c r="BJ370" s="116" t="str">
        <f>IF(AND($A370&lt;&gt;"",$D370=반별조회!$C$5),COUNTIFS($A$3:$A370,"&lt;&gt;",$D$3:$D370,반별조회!$C$5),"")</f>
        <v/>
      </c>
    </row>
    <row r="371" spans="1:62" ht="15" customHeight="1">
      <c r="A371" s="102"/>
      <c r="B371" s="102"/>
      <c r="C371" s="102"/>
      <c r="D371" s="101"/>
      <c r="E371" s="105"/>
      <c r="F371" s="105" t="str">
        <f t="shared" ca="1" si="15"/>
        <v/>
      </c>
      <c r="G371" s="105"/>
      <c r="H371" s="105"/>
      <c r="I371" s="105"/>
      <c r="J371" s="105"/>
      <c r="K371" s="105"/>
      <c r="L371" s="105"/>
      <c r="M371" s="105"/>
      <c r="N371" s="105"/>
      <c r="O371" s="105"/>
      <c r="P371" s="106"/>
      <c r="Q371" s="106"/>
      <c r="R371" s="106"/>
      <c r="S371" s="107"/>
      <c r="T371" s="106"/>
      <c r="U371" s="106"/>
      <c r="V371" s="108"/>
      <c r="W371" s="108"/>
      <c r="X371" s="108"/>
      <c r="Y371" s="108"/>
      <c r="Z371" s="109"/>
      <c r="AA371" s="109"/>
      <c r="AB371" s="109"/>
      <c r="AC371" s="109"/>
      <c r="AD371" s="110"/>
      <c r="AE371" s="110"/>
      <c r="AF371" s="110"/>
      <c r="AG371" s="110"/>
      <c r="AH371" s="110"/>
      <c r="AI371" s="110"/>
      <c r="AJ371" s="110"/>
      <c r="AK371" s="110"/>
      <c r="AL371" s="110"/>
      <c r="AM371" s="110"/>
      <c r="AN371" s="110"/>
      <c r="AO371" s="110"/>
      <c r="AP371" s="110"/>
      <c r="AQ371" s="111"/>
      <c r="AR371" s="110"/>
      <c r="AS371" s="111"/>
      <c r="AT371" s="112"/>
      <c r="AU371" s="112"/>
      <c r="AV371" s="112"/>
      <c r="AW371" s="112"/>
      <c r="AX371" s="112"/>
      <c r="AY371" s="112"/>
      <c r="AZ371" s="112"/>
      <c r="BA371" s="112"/>
      <c r="BB371" s="112"/>
      <c r="BC371" s="112"/>
      <c r="BD371" s="113"/>
      <c r="BE371" s="114"/>
      <c r="BF371" s="115"/>
      <c r="BG371" s="115"/>
      <c r="BH371" s="116" t="str">
        <f t="shared" si="16"/>
        <v/>
      </c>
      <c r="BI371" s="116" t="str">
        <f t="shared" si="17"/>
        <v/>
      </c>
      <c r="BJ371" s="116" t="str">
        <f>IF(AND($A371&lt;&gt;"",$D371=반별조회!$C$5),COUNTIFS($A$3:$A371,"&lt;&gt;",$D$3:$D371,반별조회!$C$5),"")</f>
        <v/>
      </c>
    </row>
    <row r="372" spans="1:62" ht="15" customHeight="1">
      <c r="A372" s="102"/>
      <c r="B372" s="102"/>
      <c r="C372" s="102"/>
      <c r="D372" s="101"/>
      <c r="E372" s="105"/>
      <c r="F372" s="105" t="str">
        <f t="shared" ca="1" si="15"/>
        <v/>
      </c>
      <c r="G372" s="105"/>
      <c r="H372" s="105"/>
      <c r="I372" s="105"/>
      <c r="J372" s="105"/>
      <c r="K372" s="105"/>
      <c r="L372" s="105"/>
      <c r="M372" s="105"/>
      <c r="N372" s="105"/>
      <c r="O372" s="105"/>
      <c r="P372" s="106"/>
      <c r="Q372" s="106"/>
      <c r="R372" s="106"/>
      <c r="S372" s="107"/>
      <c r="T372" s="106"/>
      <c r="U372" s="106"/>
      <c r="V372" s="108"/>
      <c r="W372" s="108"/>
      <c r="X372" s="108"/>
      <c r="Y372" s="108"/>
      <c r="Z372" s="109"/>
      <c r="AA372" s="109"/>
      <c r="AB372" s="109"/>
      <c r="AC372" s="109"/>
      <c r="AD372" s="110"/>
      <c r="AE372" s="110"/>
      <c r="AF372" s="110"/>
      <c r="AG372" s="110"/>
      <c r="AH372" s="110"/>
      <c r="AI372" s="110"/>
      <c r="AJ372" s="110"/>
      <c r="AK372" s="110"/>
      <c r="AL372" s="110"/>
      <c r="AM372" s="110"/>
      <c r="AN372" s="110"/>
      <c r="AO372" s="110"/>
      <c r="AP372" s="110"/>
      <c r="AQ372" s="111"/>
      <c r="AR372" s="110"/>
      <c r="AS372" s="111"/>
      <c r="AT372" s="112"/>
      <c r="AU372" s="112"/>
      <c r="AV372" s="112"/>
      <c r="AW372" s="112"/>
      <c r="AX372" s="112"/>
      <c r="AY372" s="112"/>
      <c r="AZ372" s="112"/>
      <c r="BA372" s="112"/>
      <c r="BB372" s="112"/>
      <c r="BC372" s="112"/>
      <c r="BD372" s="113"/>
      <c r="BE372" s="114"/>
      <c r="BF372" s="115"/>
      <c r="BG372" s="115"/>
      <c r="BH372" s="116" t="str">
        <f t="shared" si="16"/>
        <v/>
      </c>
      <c r="BI372" s="116" t="str">
        <f t="shared" si="17"/>
        <v/>
      </c>
      <c r="BJ372" s="116" t="str">
        <f>IF(AND($A372&lt;&gt;"",$D372=반별조회!$C$5),COUNTIFS($A$3:$A372,"&lt;&gt;",$D$3:$D372,반별조회!$C$5),"")</f>
        <v/>
      </c>
    </row>
    <row r="373" spans="1:62" ht="15" customHeight="1">
      <c r="A373" s="102"/>
      <c r="B373" s="102"/>
      <c r="C373" s="102"/>
      <c r="D373" s="101"/>
      <c r="E373" s="105"/>
      <c r="F373" s="105" t="str">
        <f t="shared" ca="1" si="15"/>
        <v/>
      </c>
      <c r="G373" s="105"/>
      <c r="H373" s="105"/>
      <c r="I373" s="105"/>
      <c r="J373" s="105"/>
      <c r="K373" s="105"/>
      <c r="L373" s="105"/>
      <c r="M373" s="105"/>
      <c r="N373" s="105"/>
      <c r="O373" s="105"/>
      <c r="P373" s="106"/>
      <c r="Q373" s="106"/>
      <c r="R373" s="106"/>
      <c r="S373" s="107"/>
      <c r="T373" s="106"/>
      <c r="U373" s="106"/>
      <c r="V373" s="108"/>
      <c r="W373" s="108"/>
      <c r="X373" s="108"/>
      <c r="Y373" s="108"/>
      <c r="Z373" s="109"/>
      <c r="AA373" s="109"/>
      <c r="AB373" s="109"/>
      <c r="AC373" s="109"/>
      <c r="AD373" s="110"/>
      <c r="AE373" s="110"/>
      <c r="AF373" s="110"/>
      <c r="AG373" s="110"/>
      <c r="AH373" s="110"/>
      <c r="AI373" s="110"/>
      <c r="AJ373" s="110"/>
      <c r="AK373" s="110"/>
      <c r="AL373" s="110"/>
      <c r="AM373" s="110"/>
      <c r="AN373" s="110"/>
      <c r="AO373" s="110"/>
      <c r="AP373" s="110"/>
      <c r="AQ373" s="111"/>
      <c r="AR373" s="110"/>
      <c r="AS373" s="111"/>
      <c r="AT373" s="112"/>
      <c r="AU373" s="112"/>
      <c r="AV373" s="112"/>
      <c r="AW373" s="112"/>
      <c r="AX373" s="112"/>
      <c r="AY373" s="112"/>
      <c r="AZ373" s="112"/>
      <c r="BA373" s="112"/>
      <c r="BB373" s="112"/>
      <c r="BC373" s="112"/>
      <c r="BD373" s="113"/>
      <c r="BE373" s="114"/>
      <c r="BF373" s="115"/>
      <c r="BG373" s="115"/>
      <c r="BH373" s="116" t="str">
        <f t="shared" si="16"/>
        <v/>
      </c>
      <c r="BI373" s="116" t="str">
        <f t="shared" si="17"/>
        <v/>
      </c>
      <c r="BJ373" s="116" t="str">
        <f>IF(AND($A373&lt;&gt;"",$D373=반별조회!$C$5),COUNTIFS($A$3:$A373,"&lt;&gt;",$D$3:$D373,반별조회!$C$5),"")</f>
        <v/>
      </c>
    </row>
    <row r="374" spans="1:62" ht="15" customHeight="1">
      <c r="A374" s="102"/>
      <c r="B374" s="102"/>
      <c r="C374" s="102"/>
      <c r="D374" s="101"/>
      <c r="E374" s="105"/>
      <c r="F374" s="105" t="str">
        <f t="shared" ca="1" si="15"/>
        <v/>
      </c>
      <c r="G374" s="105"/>
      <c r="H374" s="105"/>
      <c r="I374" s="105"/>
      <c r="J374" s="105"/>
      <c r="K374" s="105"/>
      <c r="L374" s="105"/>
      <c r="M374" s="105"/>
      <c r="N374" s="105"/>
      <c r="O374" s="105"/>
      <c r="P374" s="106"/>
      <c r="Q374" s="106"/>
      <c r="R374" s="106"/>
      <c r="S374" s="107"/>
      <c r="T374" s="106"/>
      <c r="U374" s="106"/>
      <c r="V374" s="108"/>
      <c r="W374" s="108"/>
      <c r="X374" s="108"/>
      <c r="Y374" s="108"/>
      <c r="Z374" s="109"/>
      <c r="AA374" s="109"/>
      <c r="AB374" s="109"/>
      <c r="AC374" s="109"/>
      <c r="AD374" s="110"/>
      <c r="AE374" s="110"/>
      <c r="AF374" s="110"/>
      <c r="AG374" s="110"/>
      <c r="AH374" s="110"/>
      <c r="AI374" s="110"/>
      <c r="AJ374" s="110"/>
      <c r="AK374" s="110"/>
      <c r="AL374" s="110"/>
      <c r="AM374" s="110"/>
      <c r="AN374" s="110"/>
      <c r="AO374" s="110"/>
      <c r="AP374" s="110"/>
      <c r="AQ374" s="111"/>
      <c r="AR374" s="110"/>
      <c r="AS374" s="111"/>
      <c r="AT374" s="112"/>
      <c r="AU374" s="112"/>
      <c r="AV374" s="112"/>
      <c r="AW374" s="112"/>
      <c r="AX374" s="112"/>
      <c r="AY374" s="112"/>
      <c r="AZ374" s="112"/>
      <c r="BA374" s="112"/>
      <c r="BB374" s="112"/>
      <c r="BC374" s="112"/>
      <c r="BD374" s="113"/>
      <c r="BE374" s="114"/>
      <c r="BF374" s="115"/>
      <c r="BG374" s="115"/>
      <c r="BH374" s="116" t="str">
        <f t="shared" si="16"/>
        <v/>
      </c>
      <c r="BI374" s="116" t="str">
        <f t="shared" si="17"/>
        <v/>
      </c>
      <c r="BJ374" s="116" t="str">
        <f>IF(AND($A374&lt;&gt;"",$D374=반별조회!$C$5),COUNTIFS($A$3:$A374,"&lt;&gt;",$D$3:$D374,반별조회!$C$5),"")</f>
        <v/>
      </c>
    </row>
    <row r="375" spans="1:62" ht="15" customHeight="1">
      <c r="A375" s="102"/>
      <c r="B375" s="102"/>
      <c r="C375" s="102"/>
      <c r="D375" s="101"/>
      <c r="E375" s="105"/>
      <c r="F375" s="105" t="str">
        <f t="shared" ca="1" si="15"/>
        <v/>
      </c>
      <c r="G375" s="105"/>
      <c r="H375" s="105"/>
      <c r="I375" s="105"/>
      <c r="J375" s="105"/>
      <c r="K375" s="105"/>
      <c r="L375" s="105"/>
      <c r="M375" s="105"/>
      <c r="N375" s="105"/>
      <c r="O375" s="105"/>
      <c r="P375" s="106"/>
      <c r="Q375" s="106"/>
      <c r="R375" s="106"/>
      <c r="S375" s="107"/>
      <c r="T375" s="106"/>
      <c r="U375" s="106"/>
      <c r="V375" s="108"/>
      <c r="W375" s="108"/>
      <c r="X375" s="108"/>
      <c r="Y375" s="108"/>
      <c r="Z375" s="109"/>
      <c r="AA375" s="109"/>
      <c r="AB375" s="109"/>
      <c r="AC375" s="109"/>
      <c r="AD375" s="110"/>
      <c r="AE375" s="110"/>
      <c r="AF375" s="110"/>
      <c r="AG375" s="110"/>
      <c r="AH375" s="110"/>
      <c r="AI375" s="110"/>
      <c r="AJ375" s="110"/>
      <c r="AK375" s="110"/>
      <c r="AL375" s="110"/>
      <c r="AM375" s="110"/>
      <c r="AN375" s="110"/>
      <c r="AO375" s="110"/>
      <c r="AP375" s="110"/>
      <c r="AQ375" s="111"/>
      <c r="AR375" s="110"/>
      <c r="AS375" s="111"/>
      <c r="AT375" s="112"/>
      <c r="AU375" s="112"/>
      <c r="AV375" s="112"/>
      <c r="AW375" s="112"/>
      <c r="AX375" s="112"/>
      <c r="AY375" s="112"/>
      <c r="AZ375" s="112"/>
      <c r="BA375" s="112"/>
      <c r="BB375" s="112"/>
      <c r="BC375" s="112"/>
      <c r="BD375" s="113"/>
      <c r="BE375" s="114"/>
      <c r="BF375" s="115"/>
      <c r="BG375" s="115"/>
      <c r="BH375" s="116" t="str">
        <f t="shared" si="16"/>
        <v/>
      </c>
      <c r="BI375" s="116" t="str">
        <f t="shared" si="17"/>
        <v/>
      </c>
      <c r="BJ375" s="116" t="str">
        <f>IF(AND($A375&lt;&gt;"",$D375=반별조회!$C$5),COUNTIFS($A$3:$A375,"&lt;&gt;",$D$3:$D375,반별조회!$C$5),"")</f>
        <v/>
      </c>
    </row>
    <row r="376" spans="1:62" ht="15" customHeight="1">
      <c r="A376" s="102"/>
      <c r="B376" s="102"/>
      <c r="C376" s="102"/>
      <c r="D376" s="101"/>
      <c r="E376" s="105"/>
      <c r="F376" s="105" t="str">
        <f t="shared" ca="1" si="15"/>
        <v/>
      </c>
      <c r="G376" s="105"/>
      <c r="H376" s="105"/>
      <c r="I376" s="105"/>
      <c r="J376" s="105"/>
      <c r="K376" s="105"/>
      <c r="L376" s="105"/>
      <c r="M376" s="105"/>
      <c r="N376" s="105"/>
      <c r="O376" s="105"/>
      <c r="P376" s="106"/>
      <c r="Q376" s="106"/>
      <c r="R376" s="106"/>
      <c r="S376" s="107"/>
      <c r="T376" s="106"/>
      <c r="U376" s="106"/>
      <c r="V376" s="108"/>
      <c r="W376" s="108"/>
      <c r="X376" s="108"/>
      <c r="Y376" s="108"/>
      <c r="Z376" s="109"/>
      <c r="AA376" s="109"/>
      <c r="AB376" s="109"/>
      <c r="AC376" s="109"/>
      <c r="AD376" s="110"/>
      <c r="AE376" s="110"/>
      <c r="AF376" s="110"/>
      <c r="AG376" s="110"/>
      <c r="AH376" s="110"/>
      <c r="AI376" s="110"/>
      <c r="AJ376" s="110"/>
      <c r="AK376" s="110"/>
      <c r="AL376" s="110"/>
      <c r="AM376" s="110"/>
      <c r="AN376" s="110"/>
      <c r="AO376" s="110"/>
      <c r="AP376" s="110"/>
      <c r="AQ376" s="111"/>
      <c r="AR376" s="110"/>
      <c r="AS376" s="111"/>
      <c r="AT376" s="112"/>
      <c r="AU376" s="112"/>
      <c r="AV376" s="112"/>
      <c r="AW376" s="112"/>
      <c r="AX376" s="112"/>
      <c r="AY376" s="112"/>
      <c r="AZ376" s="112"/>
      <c r="BA376" s="112"/>
      <c r="BB376" s="112"/>
      <c r="BC376" s="112"/>
      <c r="BD376" s="113"/>
      <c r="BE376" s="114"/>
      <c r="BF376" s="115"/>
      <c r="BG376" s="115"/>
      <c r="BH376" s="116" t="str">
        <f t="shared" si="16"/>
        <v/>
      </c>
      <c r="BI376" s="116" t="str">
        <f t="shared" si="17"/>
        <v/>
      </c>
      <c r="BJ376" s="116" t="str">
        <f>IF(AND($A376&lt;&gt;"",$D376=반별조회!$C$5),COUNTIFS($A$3:$A376,"&lt;&gt;",$D$3:$D376,반별조회!$C$5),"")</f>
        <v/>
      </c>
    </row>
    <row r="377" spans="1:62" ht="15" customHeight="1">
      <c r="A377" s="102"/>
      <c r="B377" s="102"/>
      <c r="C377" s="102"/>
      <c r="D377" s="101"/>
      <c r="E377" s="105"/>
      <c r="F377" s="105" t="str">
        <f t="shared" ca="1" si="15"/>
        <v/>
      </c>
      <c r="G377" s="105"/>
      <c r="H377" s="105"/>
      <c r="I377" s="105"/>
      <c r="J377" s="105"/>
      <c r="K377" s="105"/>
      <c r="L377" s="105"/>
      <c r="M377" s="105"/>
      <c r="N377" s="105"/>
      <c r="O377" s="105"/>
      <c r="P377" s="106"/>
      <c r="Q377" s="106"/>
      <c r="R377" s="106"/>
      <c r="S377" s="107"/>
      <c r="T377" s="106"/>
      <c r="U377" s="106"/>
      <c r="V377" s="108"/>
      <c r="W377" s="108"/>
      <c r="X377" s="108"/>
      <c r="Y377" s="108"/>
      <c r="Z377" s="109"/>
      <c r="AA377" s="109"/>
      <c r="AB377" s="109"/>
      <c r="AC377" s="109"/>
      <c r="AD377" s="110"/>
      <c r="AE377" s="110"/>
      <c r="AF377" s="110"/>
      <c r="AG377" s="110"/>
      <c r="AH377" s="110"/>
      <c r="AI377" s="110"/>
      <c r="AJ377" s="110"/>
      <c r="AK377" s="110"/>
      <c r="AL377" s="110"/>
      <c r="AM377" s="110"/>
      <c r="AN377" s="110"/>
      <c r="AO377" s="110"/>
      <c r="AP377" s="110"/>
      <c r="AQ377" s="111"/>
      <c r="AR377" s="110"/>
      <c r="AS377" s="111"/>
      <c r="AT377" s="112"/>
      <c r="AU377" s="112"/>
      <c r="AV377" s="112"/>
      <c r="AW377" s="112"/>
      <c r="AX377" s="112"/>
      <c r="AY377" s="112"/>
      <c r="AZ377" s="112"/>
      <c r="BA377" s="112"/>
      <c r="BB377" s="112"/>
      <c r="BC377" s="112"/>
      <c r="BD377" s="113"/>
      <c r="BE377" s="114"/>
      <c r="BF377" s="115"/>
      <c r="BG377" s="115"/>
      <c r="BH377" s="116" t="str">
        <f t="shared" si="16"/>
        <v/>
      </c>
      <c r="BI377" s="116" t="str">
        <f t="shared" si="17"/>
        <v/>
      </c>
      <c r="BJ377" s="116" t="str">
        <f>IF(AND($A377&lt;&gt;"",$D377=반별조회!$C$5),COUNTIFS($A$3:$A377,"&lt;&gt;",$D$3:$D377,반별조회!$C$5),"")</f>
        <v/>
      </c>
    </row>
    <row r="378" spans="1:62" ht="15" customHeight="1">
      <c r="A378" s="102"/>
      <c r="B378" s="102"/>
      <c r="C378" s="102"/>
      <c r="D378" s="101"/>
      <c r="E378" s="105"/>
      <c r="F378" s="105" t="str">
        <f t="shared" ca="1" si="15"/>
        <v/>
      </c>
      <c r="G378" s="105"/>
      <c r="H378" s="105"/>
      <c r="I378" s="105"/>
      <c r="J378" s="105"/>
      <c r="K378" s="105"/>
      <c r="L378" s="105"/>
      <c r="M378" s="105"/>
      <c r="N378" s="105"/>
      <c r="O378" s="105"/>
      <c r="P378" s="106"/>
      <c r="Q378" s="106"/>
      <c r="R378" s="106"/>
      <c r="S378" s="107"/>
      <c r="T378" s="106"/>
      <c r="U378" s="106"/>
      <c r="V378" s="108"/>
      <c r="W378" s="108"/>
      <c r="X378" s="108"/>
      <c r="Y378" s="108"/>
      <c r="Z378" s="109"/>
      <c r="AA378" s="109"/>
      <c r="AB378" s="109"/>
      <c r="AC378" s="109"/>
      <c r="AD378" s="110"/>
      <c r="AE378" s="110"/>
      <c r="AF378" s="110"/>
      <c r="AG378" s="110"/>
      <c r="AH378" s="110"/>
      <c r="AI378" s="110"/>
      <c r="AJ378" s="110"/>
      <c r="AK378" s="110"/>
      <c r="AL378" s="110"/>
      <c r="AM378" s="110"/>
      <c r="AN378" s="110"/>
      <c r="AO378" s="110"/>
      <c r="AP378" s="110"/>
      <c r="AQ378" s="111"/>
      <c r="AR378" s="110"/>
      <c r="AS378" s="111"/>
      <c r="AT378" s="112"/>
      <c r="AU378" s="112"/>
      <c r="AV378" s="112"/>
      <c r="AW378" s="112"/>
      <c r="AX378" s="112"/>
      <c r="AY378" s="112"/>
      <c r="AZ378" s="112"/>
      <c r="BA378" s="112"/>
      <c r="BB378" s="112"/>
      <c r="BC378" s="112"/>
      <c r="BD378" s="113"/>
      <c r="BE378" s="114"/>
      <c r="BF378" s="115"/>
      <c r="BG378" s="115"/>
      <c r="BH378" s="116" t="str">
        <f t="shared" si="16"/>
        <v/>
      </c>
      <c r="BI378" s="116" t="str">
        <f t="shared" si="17"/>
        <v/>
      </c>
      <c r="BJ378" s="116" t="str">
        <f>IF(AND($A378&lt;&gt;"",$D378=반별조회!$C$5),COUNTIFS($A$3:$A378,"&lt;&gt;",$D$3:$D378,반별조회!$C$5),"")</f>
        <v/>
      </c>
    </row>
    <row r="379" spans="1:62" ht="15" customHeight="1">
      <c r="A379" s="102"/>
      <c r="B379" s="102"/>
      <c r="C379" s="102"/>
      <c r="D379" s="101"/>
      <c r="E379" s="105"/>
      <c r="F379" s="105" t="str">
        <f t="shared" ca="1" si="15"/>
        <v/>
      </c>
      <c r="G379" s="105"/>
      <c r="H379" s="105"/>
      <c r="I379" s="105"/>
      <c r="J379" s="105"/>
      <c r="K379" s="105"/>
      <c r="L379" s="105"/>
      <c r="M379" s="105"/>
      <c r="N379" s="105"/>
      <c r="O379" s="105"/>
      <c r="P379" s="106"/>
      <c r="Q379" s="106"/>
      <c r="R379" s="106"/>
      <c r="S379" s="107"/>
      <c r="T379" s="106"/>
      <c r="U379" s="106"/>
      <c r="V379" s="108"/>
      <c r="W379" s="108"/>
      <c r="X379" s="108"/>
      <c r="Y379" s="108"/>
      <c r="Z379" s="109"/>
      <c r="AA379" s="109"/>
      <c r="AB379" s="109"/>
      <c r="AC379" s="109"/>
      <c r="AD379" s="110"/>
      <c r="AE379" s="110"/>
      <c r="AF379" s="110"/>
      <c r="AG379" s="110"/>
      <c r="AH379" s="110"/>
      <c r="AI379" s="110"/>
      <c r="AJ379" s="110"/>
      <c r="AK379" s="110"/>
      <c r="AL379" s="110"/>
      <c r="AM379" s="110"/>
      <c r="AN379" s="110"/>
      <c r="AO379" s="110"/>
      <c r="AP379" s="110"/>
      <c r="AQ379" s="111"/>
      <c r="AR379" s="110"/>
      <c r="AS379" s="111"/>
      <c r="AT379" s="112"/>
      <c r="AU379" s="112"/>
      <c r="AV379" s="112"/>
      <c r="AW379" s="112"/>
      <c r="AX379" s="112"/>
      <c r="AY379" s="112"/>
      <c r="AZ379" s="112"/>
      <c r="BA379" s="112"/>
      <c r="BB379" s="112"/>
      <c r="BC379" s="112"/>
      <c r="BD379" s="113"/>
      <c r="BE379" s="114"/>
      <c r="BF379" s="115"/>
      <c r="BG379" s="115"/>
      <c r="BH379" s="116" t="str">
        <f t="shared" si="16"/>
        <v/>
      </c>
      <c r="BI379" s="116" t="str">
        <f t="shared" si="17"/>
        <v/>
      </c>
      <c r="BJ379" s="116" t="str">
        <f>IF(AND($A379&lt;&gt;"",$D379=반별조회!$C$5),COUNTIFS($A$3:$A379,"&lt;&gt;",$D$3:$D379,반별조회!$C$5),"")</f>
        <v/>
      </c>
    </row>
    <row r="380" spans="1:62" ht="15" customHeight="1">
      <c r="A380" s="102"/>
      <c r="B380" s="102"/>
      <c r="C380" s="102"/>
      <c r="D380" s="101"/>
      <c r="E380" s="105"/>
      <c r="F380" s="105" t="str">
        <f t="shared" ca="1" si="15"/>
        <v/>
      </c>
      <c r="G380" s="105"/>
      <c r="H380" s="105"/>
      <c r="I380" s="105"/>
      <c r="J380" s="105"/>
      <c r="K380" s="105"/>
      <c r="L380" s="105"/>
      <c r="M380" s="105"/>
      <c r="N380" s="105"/>
      <c r="O380" s="105"/>
      <c r="P380" s="106"/>
      <c r="Q380" s="106"/>
      <c r="R380" s="106"/>
      <c r="S380" s="107"/>
      <c r="T380" s="106"/>
      <c r="U380" s="106"/>
      <c r="V380" s="108"/>
      <c r="W380" s="108"/>
      <c r="X380" s="108"/>
      <c r="Y380" s="108"/>
      <c r="Z380" s="109"/>
      <c r="AA380" s="109"/>
      <c r="AB380" s="109"/>
      <c r="AC380" s="109"/>
      <c r="AD380" s="110"/>
      <c r="AE380" s="110"/>
      <c r="AF380" s="110"/>
      <c r="AG380" s="110"/>
      <c r="AH380" s="110"/>
      <c r="AI380" s="110"/>
      <c r="AJ380" s="110"/>
      <c r="AK380" s="110"/>
      <c r="AL380" s="110"/>
      <c r="AM380" s="110"/>
      <c r="AN380" s="110"/>
      <c r="AO380" s="110"/>
      <c r="AP380" s="110"/>
      <c r="AQ380" s="111"/>
      <c r="AR380" s="110"/>
      <c r="AS380" s="111"/>
      <c r="AT380" s="112"/>
      <c r="AU380" s="112"/>
      <c r="AV380" s="112"/>
      <c r="AW380" s="112"/>
      <c r="AX380" s="112"/>
      <c r="AY380" s="112"/>
      <c r="AZ380" s="112"/>
      <c r="BA380" s="112"/>
      <c r="BB380" s="112"/>
      <c r="BC380" s="112"/>
      <c r="BD380" s="113"/>
      <c r="BE380" s="114"/>
      <c r="BF380" s="115"/>
      <c r="BG380" s="115"/>
      <c r="BH380" s="116" t="str">
        <f t="shared" si="16"/>
        <v/>
      </c>
      <c r="BI380" s="116" t="str">
        <f t="shared" si="17"/>
        <v/>
      </c>
      <c r="BJ380" s="116" t="str">
        <f>IF(AND($A380&lt;&gt;"",$D380=반별조회!$C$5),COUNTIFS($A$3:$A380,"&lt;&gt;",$D$3:$D380,반별조회!$C$5),"")</f>
        <v/>
      </c>
    </row>
    <row r="381" spans="1:62" ht="15" customHeight="1">
      <c r="A381" s="102"/>
      <c r="B381" s="102"/>
      <c r="C381" s="102"/>
      <c r="D381" s="101"/>
      <c r="E381" s="105"/>
      <c r="F381" s="105" t="str">
        <f t="shared" ca="1" si="15"/>
        <v/>
      </c>
      <c r="G381" s="105"/>
      <c r="H381" s="105"/>
      <c r="I381" s="105"/>
      <c r="J381" s="105"/>
      <c r="K381" s="105"/>
      <c r="L381" s="105"/>
      <c r="M381" s="105"/>
      <c r="N381" s="105"/>
      <c r="O381" s="105"/>
      <c r="P381" s="106"/>
      <c r="Q381" s="106"/>
      <c r="R381" s="106"/>
      <c r="S381" s="107"/>
      <c r="T381" s="106"/>
      <c r="U381" s="106"/>
      <c r="V381" s="108"/>
      <c r="W381" s="108"/>
      <c r="X381" s="108"/>
      <c r="Y381" s="108"/>
      <c r="Z381" s="109"/>
      <c r="AA381" s="109"/>
      <c r="AB381" s="109"/>
      <c r="AC381" s="109"/>
      <c r="AD381" s="110"/>
      <c r="AE381" s="110"/>
      <c r="AF381" s="110"/>
      <c r="AG381" s="110"/>
      <c r="AH381" s="110"/>
      <c r="AI381" s="110"/>
      <c r="AJ381" s="110"/>
      <c r="AK381" s="110"/>
      <c r="AL381" s="110"/>
      <c r="AM381" s="110"/>
      <c r="AN381" s="110"/>
      <c r="AO381" s="110"/>
      <c r="AP381" s="110"/>
      <c r="AQ381" s="111"/>
      <c r="AR381" s="110"/>
      <c r="AS381" s="111"/>
      <c r="AT381" s="112"/>
      <c r="AU381" s="112"/>
      <c r="AV381" s="112"/>
      <c r="AW381" s="112"/>
      <c r="AX381" s="112"/>
      <c r="AY381" s="112"/>
      <c r="AZ381" s="112"/>
      <c r="BA381" s="112"/>
      <c r="BB381" s="112"/>
      <c r="BC381" s="112"/>
      <c r="BD381" s="113"/>
      <c r="BE381" s="114"/>
      <c r="BF381" s="115"/>
      <c r="BG381" s="115"/>
      <c r="BH381" s="116" t="str">
        <f t="shared" si="16"/>
        <v/>
      </c>
      <c r="BI381" s="116" t="str">
        <f t="shared" si="17"/>
        <v/>
      </c>
      <c r="BJ381" s="116" t="str">
        <f>IF(AND($A381&lt;&gt;"",$D381=반별조회!$C$5),COUNTIFS($A$3:$A381,"&lt;&gt;",$D$3:$D381,반별조회!$C$5),"")</f>
        <v/>
      </c>
    </row>
    <row r="382" spans="1:62" ht="15" customHeight="1">
      <c r="A382" s="102"/>
      <c r="B382" s="102"/>
      <c r="C382" s="102"/>
      <c r="D382" s="101"/>
      <c r="E382" s="105"/>
      <c r="F382" s="105" t="str">
        <f t="shared" ca="1" si="15"/>
        <v/>
      </c>
      <c r="G382" s="105"/>
      <c r="H382" s="105"/>
      <c r="I382" s="105"/>
      <c r="J382" s="105"/>
      <c r="K382" s="105"/>
      <c r="L382" s="105"/>
      <c r="M382" s="105"/>
      <c r="N382" s="105"/>
      <c r="O382" s="105"/>
      <c r="P382" s="106"/>
      <c r="Q382" s="106"/>
      <c r="R382" s="106"/>
      <c r="S382" s="107"/>
      <c r="T382" s="106"/>
      <c r="U382" s="106"/>
      <c r="V382" s="108"/>
      <c r="W382" s="108"/>
      <c r="X382" s="108"/>
      <c r="Y382" s="108"/>
      <c r="Z382" s="109"/>
      <c r="AA382" s="109"/>
      <c r="AB382" s="109"/>
      <c r="AC382" s="109"/>
      <c r="AD382" s="110"/>
      <c r="AE382" s="110"/>
      <c r="AF382" s="110"/>
      <c r="AG382" s="110"/>
      <c r="AH382" s="110"/>
      <c r="AI382" s="110"/>
      <c r="AJ382" s="110"/>
      <c r="AK382" s="110"/>
      <c r="AL382" s="110"/>
      <c r="AM382" s="110"/>
      <c r="AN382" s="110"/>
      <c r="AO382" s="110"/>
      <c r="AP382" s="110"/>
      <c r="AQ382" s="111"/>
      <c r="AR382" s="110"/>
      <c r="AS382" s="111"/>
      <c r="AT382" s="112"/>
      <c r="AU382" s="112"/>
      <c r="AV382" s="112"/>
      <c r="AW382" s="112"/>
      <c r="AX382" s="112"/>
      <c r="AY382" s="112"/>
      <c r="AZ382" s="112"/>
      <c r="BA382" s="112"/>
      <c r="BB382" s="112"/>
      <c r="BC382" s="112"/>
      <c r="BD382" s="113"/>
      <c r="BE382" s="114"/>
      <c r="BF382" s="115"/>
      <c r="BG382" s="115"/>
      <c r="BH382" s="116" t="str">
        <f t="shared" si="16"/>
        <v/>
      </c>
      <c r="BI382" s="116" t="str">
        <f t="shared" si="17"/>
        <v/>
      </c>
      <c r="BJ382" s="116" t="str">
        <f>IF(AND($A382&lt;&gt;"",$D382=반별조회!$C$5),COUNTIFS($A$3:$A382,"&lt;&gt;",$D$3:$D382,반별조회!$C$5),"")</f>
        <v/>
      </c>
    </row>
    <row r="383" spans="1:62" ht="15" customHeight="1">
      <c r="A383" s="102"/>
      <c r="B383" s="102"/>
      <c r="C383" s="102"/>
      <c r="D383" s="101"/>
      <c r="E383" s="105"/>
      <c r="F383" s="105" t="str">
        <f t="shared" ca="1" si="15"/>
        <v/>
      </c>
      <c r="G383" s="105"/>
      <c r="H383" s="105"/>
      <c r="I383" s="105"/>
      <c r="J383" s="105"/>
      <c r="K383" s="105"/>
      <c r="L383" s="105"/>
      <c r="M383" s="105"/>
      <c r="N383" s="105"/>
      <c r="O383" s="105"/>
      <c r="P383" s="106"/>
      <c r="Q383" s="106"/>
      <c r="R383" s="106"/>
      <c r="S383" s="107"/>
      <c r="T383" s="106"/>
      <c r="U383" s="106"/>
      <c r="V383" s="108"/>
      <c r="W383" s="108"/>
      <c r="X383" s="108"/>
      <c r="Y383" s="108"/>
      <c r="Z383" s="109"/>
      <c r="AA383" s="109"/>
      <c r="AB383" s="109"/>
      <c r="AC383" s="109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1"/>
      <c r="AR383" s="110"/>
      <c r="AS383" s="111"/>
      <c r="AT383" s="112"/>
      <c r="AU383" s="112"/>
      <c r="AV383" s="112"/>
      <c r="AW383" s="112"/>
      <c r="AX383" s="112"/>
      <c r="AY383" s="112"/>
      <c r="AZ383" s="112"/>
      <c r="BA383" s="112"/>
      <c r="BB383" s="112"/>
      <c r="BC383" s="112"/>
      <c r="BD383" s="113"/>
      <c r="BE383" s="114"/>
      <c r="BF383" s="115"/>
      <c r="BG383" s="115"/>
      <c r="BH383" s="116" t="str">
        <f t="shared" si="16"/>
        <v/>
      </c>
      <c r="BI383" s="116" t="str">
        <f t="shared" si="17"/>
        <v/>
      </c>
      <c r="BJ383" s="116" t="str">
        <f>IF(AND($A383&lt;&gt;"",$D383=반별조회!$C$5),COUNTIFS($A$3:$A383,"&lt;&gt;",$D$3:$D383,반별조회!$C$5),"")</f>
        <v/>
      </c>
    </row>
    <row r="384" spans="1:62" ht="15" customHeight="1">
      <c r="A384" s="102"/>
      <c r="B384" s="102"/>
      <c r="C384" s="102"/>
      <c r="D384" s="101"/>
      <c r="E384" s="105"/>
      <c r="F384" s="105" t="str">
        <f t="shared" ca="1" si="15"/>
        <v/>
      </c>
      <c r="G384" s="105"/>
      <c r="H384" s="105"/>
      <c r="I384" s="105"/>
      <c r="J384" s="105"/>
      <c r="K384" s="105"/>
      <c r="L384" s="105"/>
      <c r="M384" s="105"/>
      <c r="N384" s="105"/>
      <c r="O384" s="105"/>
      <c r="P384" s="106"/>
      <c r="Q384" s="106"/>
      <c r="R384" s="106"/>
      <c r="S384" s="107"/>
      <c r="T384" s="106"/>
      <c r="U384" s="106"/>
      <c r="V384" s="108"/>
      <c r="W384" s="108"/>
      <c r="X384" s="108"/>
      <c r="Y384" s="108"/>
      <c r="Z384" s="109"/>
      <c r="AA384" s="109"/>
      <c r="AB384" s="109"/>
      <c r="AC384" s="109"/>
      <c r="AD384" s="110"/>
      <c r="AE384" s="110"/>
      <c r="AF384" s="110"/>
      <c r="AG384" s="110"/>
      <c r="AH384" s="110"/>
      <c r="AI384" s="110"/>
      <c r="AJ384" s="110"/>
      <c r="AK384" s="110"/>
      <c r="AL384" s="110"/>
      <c r="AM384" s="110"/>
      <c r="AN384" s="110"/>
      <c r="AO384" s="110"/>
      <c r="AP384" s="110"/>
      <c r="AQ384" s="111"/>
      <c r="AR384" s="110"/>
      <c r="AS384" s="111"/>
      <c r="AT384" s="112"/>
      <c r="AU384" s="112"/>
      <c r="AV384" s="112"/>
      <c r="AW384" s="112"/>
      <c r="AX384" s="112"/>
      <c r="AY384" s="112"/>
      <c r="AZ384" s="112"/>
      <c r="BA384" s="112"/>
      <c r="BB384" s="112"/>
      <c r="BC384" s="112"/>
      <c r="BD384" s="113"/>
      <c r="BE384" s="114"/>
      <c r="BF384" s="115"/>
      <c r="BG384" s="115"/>
      <c r="BH384" s="116" t="str">
        <f t="shared" si="16"/>
        <v/>
      </c>
      <c r="BI384" s="116" t="str">
        <f t="shared" si="17"/>
        <v/>
      </c>
      <c r="BJ384" s="116" t="str">
        <f>IF(AND($A384&lt;&gt;"",$D384=반별조회!$C$5),COUNTIFS($A$3:$A384,"&lt;&gt;",$D$3:$D384,반별조회!$C$5),"")</f>
        <v/>
      </c>
    </row>
    <row r="385" spans="1:62" ht="15" customHeight="1">
      <c r="A385" s="102"/>
      <c r="B385" s="102"/>
      <c r="C385" s="102"/>
      <c r="D385" s="101"/>
      <c r="E385" s="105"/>
      <c r="F385" s="105" t="str">
        <f t="shared" ca="1" si="15"/>
        <v/>
      </c>
      <c r="G385" s="105"/>
      <c r="H385" s="105"/>
      <c r="I385" s="105"/>
      <c r="J385" s="105"/>
      <c r="K385" s="105"/>
      <c r="L385" s="105"/>
      <c r="M385" s="105"/>
      <c r="N385" s="105"/>
      <c r="O385" s="105"/>
      <c r="P385" s="106"/>
      <c r="Q385" s="106"/>
      <c r="R385" s="106"/>
      <c r="S385" s="107"/>
      <c r="T385" s="106"/>
      <c r="U385" s="106"/>
      <c r="V385" s="108"/>
      <c r="W385" s="108"/>
      <c r="X385" s="108"/>
      <c r="Y385" s="108"/>
      <c r="Z385" s="109"/>
      <c r="AA385" s="109"/>
      <c r="AB385" s="109"/>
      <c r="AC385" s="109"/>
      <c r="AD385" s="110"/>
      <c r="AE385" s="110"/>
      <c r="AF385" s="110"/>
      <c r="AG385" s="110"/>
      <c r="AH385" s="110"/>
      <c r="AI385" s="110"/>
      <c r="AJ385" s="110"/>
      <c r="AK385" s="110"/>
      <c r="AL385" s="110"/>
      <c r="AM385" s="110"/>
      <c r="AN385" s="110"/>
      <c r="AO385" s="110"/>
      <c r="AP385" s="110"/>
      <c r="AQ385" s="111"/>
      <c r="AR385" s="110"/>
      <c r="AS385" s="111"/>
      <c r="AT385" s="112"/>
      <c r="AU385" s="112"/>
      <c r="AV385" s="112"/>
      <c r="AW385" s="112"/>
      <c r="AX385" s="112"/>
      <c r="AY385" s="112"/>
      <c r="AZ385" s="112"/>
      <c r="BA385" s="112"/>
      <c r="BB385" s="112"/>
      <c r="BC385" s="112"/>
      <c r="BD385" s="113"/>
      <c r="BE385" s="114"/>
      <c r="BF385" s="115"/>
      <c r="BG385" s="115"/>
      <c r="BH385" s="116" t="str">
        <f t="shared" si="16"/>
        <v/>
      </c>
      <c r="BI385" s="116" t="str">
        <f t="shared" si="17"/>
        <v/>
      </c>
      <c r="BJ385" s="116" t="str">
        <f>IF(AND($A385&lt;&gt;"",$D385=반별조회!$C$5),COUNTIFS($A$3:$A385,"&lt;&gt;",$D$3:$D385,반별조회!$C$5),"")</f>
        <v/>
      </c>
    </row>
    <row r="386" spans="1:62" ht="15" customHeight="1">
      <c r="A386" s="102"/>
      <c r="B386" s="102"/>
      <c r="C386" s="102"/>
      <c r="D386" s="101"/>
      <c r="E386" s="105"/>
      <c r="F386" s="105" t="str">
        <f t="shared" ca="1" si="15"/>
        <v/>
      </c>
      <c r="G386" s="105"/>
      <c r="H386" s="105"/>
      <c r="I386" s="105"/>
      <c r="J386" s="105"/>
      <c r="K386" s="105"/>
      <c r="L386" s="105"/>
      <c r="M386" s="105"/>
      <c r="N386" s="105"/>
      <c r="O386" s="105"/>
      <c r="P386" s="106"/>
      <c r="Q386" s="106"/>
      <c r="R386" s="106"/>
      <c r="S386" s="107"/>
      <c r="T386" s="106"/>
      <c r="U386" s="106"/>
      <c r="V386" s="108"/>
      <c r="W386" s="108"/>
      <c r="X386" s="108"/>
      <c r="Y386" s="108"/>
      <c r="Z386" s="109"/>
      <c r="AA386" s="109"/>
      <c r="AB386" s="109"/>
      <c r="AC386" s="109"/>
      <c r="AD386" s="110"/>
      <c r="AE386" s="110"/>
      <c r="AF386" s="110"/>
      <c r="AG386" s="110"/>
      <c r="AH386" s="110"/>
      <c r="AI386" s="110"/>
      <c r="AJ386" s="110"/>
      <c r="AK386" s="110"/>
      <c r="AL386" s="110"/>
      <c r="AM386" s="110"/>
      <c r="AN386" s="110"/>
      <c r="AO386" s="110"/>
      <c r="AP386" s="110"/>
      <c r="AQ386" s="111"/>
      <c r="AR386" s="110"/>
      <c r="AS386" s="111"/>
      <c r="AT386" s="112"/>
      <c r="AU386" s="112"/>
      <c r="AV386" s="112"/>
      <c r="AW386" s="112"/>
      <c r="AX386" s="112"/>
      <c r="AY386" s="112"/>
      <c r="AZ386" s="112"/>
      <c r="BA386" s="112"/>
      <c r="BB386" s="112"/>
      <c r="BC386" s="112"/>
      <c r="BD386" s="113"/>
      <c r="BE386" s="114"/>
      <c r="BF386" s="115"/>
      <c r="BG386" s="115"/>
      <c r="BH386" s="116" t="str">
        <f t="shared" si="16"/>
        <v/>
      </c>
      <c r="BI386" s="116" t="str">
        <f t="shared" si="17"/>
        <v/>
      </c>
      <c r="BJ386" s="116" t="str">
        <f>IF(AND($A386&lt;&gt;"",$D386=반별조회!$C$5),COUNTIFS($A$3:$A386,"&lt;&gt;",$D$3:$D386,반별조회!$C$5),"")</f>
        <v/>
      </c>
    </row>
    <row r="387" spans="1:62" ht="15" customHeight="1">
      <c r="A387" s="102"/>
      <c r="B387" s="102"/>
      <c r="C387" s="102"/>
      <c r="D387" s="101"/>
      <c r="E387" s="105"/>
      <c r="F387" s="105" t="str">
        <f t="shared" ref="F387:F450" ca="1" si="18">IF($E387="","",INT((TODAY()-$E387)/365.25))</f>
        <v/>
      </c>
      <c r="G387" s="105"/>
      <c r="H387" s="105"/>
      <c r="I387" s="105"/>
      <c r="J387" s="105"/>
      <c r="K387" s="105"/>
      <c r="L387" s="105"/>
      <c r="M387" s="105"/>
      <c r="N387" s="105"/>
      <c r="O387" s="105"/>
      <c r="P387" s="106"/>
      <c r="Q387" s="106"/>
      <c r="R387" s="106"/>
      <c r="S387" s="107"/>
      <c r="T387" s="106"/>
      <c r="U387" s="106"/>
      <c r="V387" s="108"/>
      <c r="W387" s="108"/>
      <c r="X387" s="108"/>
      <c r="Y387" s="108"/>
      <c r="Z387" s="109"/>
      <c r="AA387" s="109"/>
      <c r="AB387" s="109"/>
      <c r="AC387" s="109"/>
      <c r="AD387" s="110"/>
      <c r="AE387" s="110"/>
      <c r="AF387" s="110"/>
      <c r="AG387" s="110"/>
      <c r="AH387" s="110"/>
      <c r="AI387" s="110"/>
      <c r="AJ387" s="110"/>
      <c r="AK387" s="110"/>
      <c r="AL387" s="110"/>
      <c r="AM387" s="110"/>
      <c r="AN387" s="110"/>
      <c r="AO387" s="110"/>
      <c r="AP387" s="110"/>
      <c r="AQ387" s="111"/>
      <c r="AR387" s="110"/>
      <c r="AS387" s="111"/>
      <c r="AT387" s="112"/>
      <c r="AU387" s="112"/>
      <c r="AV387" s="112"/>
      <c r="AW387" s="112"/>
      <c r="AX387" s="112"/>
      <c r="AY387" s="112"/>
      <c r="AZ387" s="112"/>
      <c r="BA387" s="112"/>
      <c r="BB387" s="112"/>
      <c r="BC387" s="112"/>
      <c r="BD387" s="113"/>
      <c r="BE387" s="114"/>
      <c r="BF387" s="115"/>
      <c r="BG387" s="115"/>
      <c r="BH387" s="116" t="str">
        <f t="shared" ref="BH387:BH450" si="19">IF($A387="","","SYNK-"&amp;TEXT(ROW()-2,"000"))</f>
        <v/>
      </c>
      <c r="BI387" s="116" t="str">
        <f t="shared" ref="BI387:BI450" si="20">IF(A387="","",TRIM(IF(AA387="거절","⚠비자거절 ","")&amp;IF(AS387="설득필요","⚠가족설득필요 ","")&amp;IF(AND(W387="5~6급",OR(S387="완전초보",S387="기초")),"⚠목표-수준괴리 ","")&amp;IF(AND(AQ387="빠듯함",AS387="설득필요"),"⚠재정리스크 ","")))</f>
        <v/>
      </c>
      <c r="BJ387" s="116" t="str">
        <f>IF(AND($A387&lt;&gt;"",$D387=반별조회!$C$5),COUNTIFS($A$3:$A387,"&lt;&gt;",$D$3:$D387,반별조회!$C$5),"")</f>
        <v/>
      </c>
    </row>
    <row r="388" spans="1:62" ht="15" customHeight="1">
      <c r="A388" s="102"/>
      <c r="B388" s="102"/>
      <c r="C388" s="102"/>
      <c r="D388" s="101"/>
      <c r="E388" s="105"/>
      <c r="F388" s="105" t="str">
        <f t="shared" ca="1" si="18"/>
        <v/>
      </c>
      <c r="G388" s="105"/>
      <c r="H388" s="105"/>
      <c r="I388" s="105"/>
      <c r="J388" s="105"/>
      <c r="K388" s="105"/>
      <c r="L388" s="105"/>
      <c r="M388" s="105"/>
      <c r="N388" s="105"/>
      <c r="O388" s="105"/>
      <c r="P388" s="106"/>
      <c r="Q388" s="106"/>
      <c r="R388" s="106"/>
      <c r="S388" s="107"/>
      <c r="T388" s="106"/>
      <c r="U388" s="106"/>
      <c r="V388" s="108"/>
      <c r="W388" s="108"/>
      <c r="X388" s="108"/>
      <c r="Y388" s="108"/>
      <c r="Z388" s="109"/>
      <c r="AA388" s="109"/>
      <c r="AB388" s="109"/>
      <c r="AC388" s="109"/>
      <c r="AD388" s="110"/>
      <c r="AE388" s="110"/>
      <c r="AF388" s="110"/>
      <c r="AG388" s="110"/>
      <c r="AH388" s="110"/>
      <c r="AI388" s="110"/>
      <c r="AJ388" s="110"/>
      <c r="AK388" s="110"/>
      <c r="AL388" s="110"/>
      <c r="AM388" s="110"/>
      <c r="AN388" s="110"/>
      <c r="AO388" s="110"/>
      <c r="AP388" s="110"/>
      <c r="AQ388" s="111"/>
      <c r="AR388" s="110"/>
      <c r="AS388" s="111"/>
      <c r="AT388" s="112"/>
      <c r="AU388" s="112"/>
      <c r="AV388" s="112"/>
      <c r="AW388" s="112"/>
      <c r="AX388" s="112"/>
      <c r="AY388" s="112"/>
      <c r="AZ388" s="112"/>
      <c r="BA388" s="112"/>
      <c r="BB388" s="112"/>
      <c r="BC388" s="112"/>
      <c r="BD388" s="113"/>
      <c r="BE388" s="114"/>
      <c r="BF388" s="115"/>
      <c r="BG388" s="115"/>
      <c r="BH388" s="116" t="str">
        <f t="shared" si="19"/>
        <v/>
      </c>
      <c r="BI388" s="116" t="str">
        <f t="shared" si="20"/>
        <v/>
      </c>
      <c r="BJ388" s="116" t="str">
        <f>IF(AND($A388&lt;&gt;"",$D388=반별조회!$C$5),COUNTIFS($A$3:$A388,"&lt;&gt;",$D$3:$D388,반별조회!$C$5),"")</f>
        <v/>
      </c>
    </row>
    <row r="389" spans="1:62" ht="15" customHeight="1">
      <c r="A389" s="102"/>
      <c r="B389" s="102"/>
      <c r="C389" s="102"/>
      <c r="D389" s="101"/>
      <c r="E389" s="105"/>
      <c r="F389" s="105" t="str">
        <f t="shared" ca="1" si="18"/>
        <v/>
      </c>
      <c r="G389" s="105"/>
      <c r="H389" s="105"/>
      <c r="I389" s="105"/>
      <c r="J389" s="105"/>
      <c r="K389" s="105"/>
      <c r="L389" s="105"/>
      <c r="M389" s="105"/>
      <c r="N389" s="105"/>
      <c r="O389" s="105"/>
      <c r="P389" s="106"/>
      <c r="Q389" s="106"/>
      <c r="R389" s="106"/>
      <c r="S389" s="107"/>
      <c r="T389" s="106"/>
      <c r="U389" s="106"/>
      <c r="V389" s="108"/>
      <c r="W389" s="108"/>
      <c r="X389" s="108"/>
      <c r="Y389" s="108"/>
      <c r="Z389" s="109"/>
      <c r="AA389" s="109"/>
      <c r="AB389" s="109"/>
      <c r="AC389" s="109"/>
      <c r="AD389" s="110"/>
      <c r="AE389" s="110"/>
      <c r="AF389" s="110"/>
      <c r="AG389" s="110"/>
      <c r="AH389" s="110"/>
      <c r="AI389" s="110"/>
      <c r="AJ389" s="110"/>
      <c r="AK389" s="110"/>
      <c r="AL389" s="110"/>
      <c r="AM389" s="110"/>
      <c r="AN389" s="110"/>
      <c r="AO389" s="110"/>
      <c r="AP389" s="110"/>
      <c r="AQ389" s="111"/>
      <c r="AR389" s="110"/>
      <c r="AS389" s="111"/>
      <c r="AT389" s="112"/>
      <c r="AU389" s="112"/>
      <c r="AV389" s="112"/>
      <c r="AW389" s="112"/>
      <c r="AX389" s="112"/>
      <c r="AY389" s="112"/>
      <c r="AZ389" s="112"/>
      <c r="BA389" s="112"/>
      <c r="BB389" s="112"/>
      <c r="BC389" s="112"/>
      <c r="BD389" s="113"/>
      <c r="BE389" s="114"/>
      <c r="BF389" s="115"/>
      <c r="BG389" s="115"/>
      <c r="BH389" s="116" t="str">
        <f t="shared" si="19"/>
        <v/>
      </c>
      <c r="BI389" s="116" t="str">
        <f t="shared" si="20"/>
        <v/>
      </c>
      <c r="BJ389" s="116" t="str">
        <f>IF(AND($A389&lt;&gt;"",$D389=반별조회!$C$5),COUNTIFS($A$3:$A389,"&lt;&gt;",$D$3:$D389,반별조회!$C$5),"")</f>
        <v/>
      </c>
    </row>
    <row r="390" spans="1:62" ht="15" customHeight="1">
      <c r="A390" s="102"/>
      <c r="B390" s="102"/>
      <c r="C390" s="102"/>
      <c r="D390" s="101"/>
      <c r="E390" s="105"/>
      <c r="F390" s="105" t="str">
        <f t="shared" ca="1" si="18"/>
        <v/>
      </c>
      <c r="G390" s="105"/>
      <c r="H390" s="105"/>
      <c r="I390" s="105"/>
      <c r="J390" s="105"/>
      <c r="K390" s="105"/>
      <c r="L390" s="105"/>
      <c r="M390" s="105"/>
      <c r="N390" s="105"/>
      <c r="O390" s="105"/>
      <c r="P390" s="106"/>
      <c r="Q390" s="106"/>
      <c r="R390" s="106"/>
      <c r="S390" s="107"/>
      <c r="T390" s="106"/>
      <c r="U390" s="106"/>
      <c r="V390" s="108"/>
      <c r="W390" s="108"/>
      <c r="X390" s="108"/>
      <c r="Y390" s="108"/>
      <c r="Z390" s="109"/>
      <c r="AA390" s="109"/>
      <c r="AB390" s="109"/>
      <c r="AC390" s="109"/>
      <c r="AD390" s="110"/>
      <c r="AE390" s="110"/>
      <c r="AF390" s="110"/>
      <c r="AG390" s="110"/>
      <c r="AH390" s="110"/>
      <c r="AI390" s="110"/>
      <c r="AJ390" s="110"/>
      <c r="AK390" s="110"/>
      <c r="AL390" s="110"/>
      <c r="AM390" s="110"/>
      <c r="AN390" s="110"/>
      <c r="AO390" s="110"/>
      <c r="AP390" s="110"/>
      <c r="AQ390" s="111"/>
      <c r="AR390" s="110"/>
      <c r="AS390" s="111"/>
      <c r="AT390" s="112"/>
      <c r="AU390" s="112"/>
      <c r="AV390" s="112"/>
      <c r="AW390" s="112"/>
      <c r="AX390" s="112"/>
      <c r="AY390" s="112"/>
      <c r="AZ390" s="112"/>
      <c r="BA390" s="112"/>
      <c r="BB390" s="112"/>
      <c r="BC390" s="112"/>
      <c r="BD390" s="113"/>
      <c r="BE390" s="114"/>
      <c r="BF390" s="115"/>
      <c r="BG390" s="115"/>
      <c r="BH390" s="116" t="str">
        <f t="shared" si="19"/>
        <v/>
      </c>
      <c r="BI390" s="116" t="str">
        <f t="shared" si="20"/>
        <v/>
      </c>
      <c r="BJ390" s="116" t="str">
        <f>IF(AND($A390&lt;&gt;"",$D390=반별조회!$C$5),COUNTIFS($A$3:$A390,"&lt;&gt;",$D$3:$D390,반별조회!$C$5),"")</f>
        <v/>
      </c>
    </row>
    <row r="391" spans="1:62" ht="15" customHeight="1">
      <c r="A391" s="102"/>
      <c r="B391" s="102"/>
      <c r="C391" s="102"/>
      <c r="D391" s="101"/>
      <c r="E391" s="105"/>
      <c r="F391" s="105" t="str">
        <f t="shared" ca="1" si="18"/>
        <v/>
      </c>
      <c r="G391" s="105"/>
      <c r="H391" s="105"/>
      <c r="I391" s="105"/>
      <c r="J391" s="105"/>
      <c r="K391" s="105"/>
      <c r="L391" s="105"/>
      <c r="M391" s="105"/>
      <c r="N391" s="105"/>
      <c r="O391" s="105"/>
      <c r="P391" s="106"/>
      <c r="Q391" s="106"/>
      <c r="R391" s="106"/>
      <c r="S391" s="107"/>
      <c r="T391" s="106"/>
      <c r="U391" s="106"/>
      <c r="V391" s="108"/>
      <c r="W391" s="108"/>
      <c r="X391" s="108"/>
      <c r="Y391" s="108"/>
      <c r="Z391" s="109"/>
      <c r="AA391" s="109"/>
      <c r="AB391" s="109"/>
      <c r="AC391" s="109"/>
      <c r="AD391" s="110"/>
      <c r="AE391" s="110"/>
      <c r="AF391" s="110"/>
      <c r="AG391" s="110"/>
      <c r="AH391" s="110"/>
      <c r="AI391" s="110"/>
      <c r="AJ391" s="110"/>
      <c r="AK391" s="110"/>
      <c r="AL391" s="110"/>
      <c r="AM391" s="110"/>
      <c r="AN391" s="110"/>
      <c r="AO391" s="110"/>
      <c r="AP391" s="110"/>
      <c r="AQ391" s="111"/>
      <c r="AR391" s="110"/>
      <c r="AS391" s="111"/>
      <c r="AT391" s="112"/>
      <c r="AU391" s="112"/>
      <c r="AV391" s="112"/>
      <c r="AW391" s="112"/>
      <c r="AX391" s="112"/>
      <c r="AY391" s="112"/>
      <c r="AZ391" s="112"/>
      <c r="BA391" s="112"/>
      <c r="BB391" s="112"/>
      <c r="BC391" s="112"/>
      <c r="BD391" s="113"/>
      <c r="BE391" s="114"/>
      <c r="BF391" s="115"/>
      <c r="BG391" s="115"/>
      <c r="BH391" s="116" t="str">
        <f t="shared" si="19"/>
        <v/>
      </c>
      <c r="BI391" s="116" t="str">
        <f t="shared" si="20"/>
        <v/>
      </c>
      <c r="BJ391" s="116" t="str">
        <f>IF(AND($A391&lt;&gt;"",$D391=반별조회!$C$5),COUNTIFS($A$3:$A391,"&lt;&gt;",$D$3:$D391,반별조회!$C$5),"")</f>
        <v/>
      </c>
    </row>
    <row r="392" spans="1:62" ht="15" customHeight="1">
      <c r="A392" s="102"/>
      <c r="B392" s="102"/>
      <c r="C392" s="102"/>
      <c r="D392" s="101"/>
      <c r="E392" s="105"/>
      <c r="F392" s="105" t="str">
        <f t="shared" ca="1" si="18"/>
        <v/>
      </c>
      <c r="G392" s="105"/>
      <c r="H392" s="105"/>
      <c r="I392" s="105"/>
      <c r="J392" s="105"/>
      <c r="K392" s="105"/>
      <c r="L392" s="105"/>
      <c r="M392" s="105"/>
      <c r="N392" s="105"/>
      <c r="O392" s="105"/>
      <c r="P392" s="106"/>
      <c r="Q392" s="106"/>
      <c r="R392" s="106"/>
      <c r="S392" s="107"/>
      <c r="T392" s="106"/>
      <c r="U392" s="106"/>
      <c r="V392" s="108"/>
      <c r="W392" s="108"/>
      <c r="X392" s="108"/>
      <c r="Y392" s="108"/>
      <c r="Z392" s="109"/>
      <c r="AA392" s="109"/>
      <c r="AB392" s="109"/>
      <c r="AC392" s="109"/>
      <c r="AD392" s="110"/>
      <c r="AE392" s="110"/>
      <c r="AF392" s="110"/>
      <c r="AG392" s="110"/>
      <c r="AH392" s="110"/>
      <c r="AI392" s="110"/>
      <c r="AJ392" s="110"/>
      <c r="AK392" s="110"/>
      <c r="AL392" s="110"/>
      <c r="AM392" s="110"/>
      <c r="AN392" s="110"/>
      <c r="AO392" s="110"/>
      <c r="AP392" s="110"/>
      <c r="AQ392" s="111"/>
      <c r="AR392" s="110"/>
      <c r="AS392" s="111"/>
      <c r="AT392" s="112"/>
      <c r="AU392" s="112"/>
      <c r="AV392" s="112"/>
      <c r="AW392" s="112"/>
      <c r="AX392" s="112"/>
      <c r="AY392" s="112"/>
      <c r="AZ392" s="112"/>
      <c r="BA392" s="112"/>
      <c r="BB392" s="112"/>
      <c r="BC392" s="112"/>
      <c r="BD392" s="113"/>
      <c r="BE392" s="114"/>
      <c r="BF392" s="115"/>
      <c r="BG392" s="115"/>
      <c r="BH392" s="116" t="str">
        <f t="shared" si="19"/>
        <v/>
      </c>
      <c r="BI392" s="116" t="str">
        <f t="shared" si="20"/>
        <v/>
      </c>
      <c r="BJ392" s="116" t="str">
        <f>IF(AND($A392&lt;&gt;"",$D392=반별조회!$C$5),COUNTIFS($A$3:$A392,"&lt;&gt;",$D$3:$D392,반별조회!$C$5),"")</f>
        <v/>
      </c>
    </row>
    <row r="393" spans="1:62" ht="15" customHeight="1">
      <c r="A393" s="102"/>
      <c r="B393" s="102"/>
      <c r="C393" s="102"/>
      <c r="D393" s="101"/>
      <c r="E393" s="105"/>
      <c r="F393" s="105" t="str">
        <f t="shared" ca="1" si="18"/>
        <v/>
      </c>
      <c r="G393" s="105"/>
      <c r="H393" s="105"/>
      <c r="I393" s="105"/>
      <c r="J393" s="105"/>
      <c r="K393" s="105"/>
      <c r="L393" s="105"/>
      <c r="M393" s="105"/>
      <c r="N393" s="105"/>
      <c r="O393" s="105"/>
      <c r="P393" s="106"/>
      <c r="Q393" s="106"/>
      <c r="R393" s="106"/>
      <c r="S393" s="107"/>
      <c r="T393" s="106"/>
      <c r="U393" s="106"/>
      <c r="V393" s="108"/>
      <c r="W393" s="108"/>
      <c r="X393" s="108"/>
      <c r="Y393" s="108"/>
      <c r="Z393" s="109"/>
      <c r="AA393" s="109"/>
      <c r="AB393" s="109"/>
      <c r="AC393" s="109"/>
      <c r="AD393" s="110"/>
      <c r="AE393" s="110"/>
      <c r="AF393" s="110"/>
      <c r="AG393" s="110"/>
      <c r="AH393" s="110"/>
      <c r="AI393" s="110"/>
      <c r="AJ393" s="110"/>
      <c r="AK393" s="110"/>
      <c r="AL393" s="110"/>
      <c r="AM393" s="110"/>
      <c r="AN393" s="110"/>
      <c r="AO393" s="110"/>
      <c r="AP393" s="110"/>
      <c r="AQ393" s="111"/>
      <c r="AR393" s="110"/>
      <c r="AS393" s="111"/>
      <c r="AT393" s="112"/>
      <c r="AU393" s="112"/>
      <c r="AV393" s="112"/>
      <c r="AW393" s="112"/>
      <c r="AX393" s="112"/>
      <c r="AY393" s="112"/>
      <c r="AZ393" s="112"/>
      <c r="BA393" s="112"/>
      <c r="BB393" s="112"/>
      <c r="BC393" s="112"/>
      <c r="BD393" s="113"/>
      <c r="BE393" s="114"/>
      <c r="BF393" s="115"/>
      <c r="BG393" s="115"/>
      <c r="BH393" s="116" t="str">
        <f t="shared" si="19"/>
        <v/>
      </c>
      <c r="BI393" s="116" t="str">
        <f t="shared" si="20"/>
        <v/>
      </c>
      <c r="BJ393" s="116" t="str">
        <f>IF(AND($A393&lt;&gt;"",$D393=반별조회!$C$5),COUNTIFS($A$3:$A393,"&lt;&gt;",$D$3:$D393,반별조회!$C$5),"")</f>
        <v/>
      </c>
    </row>
    <row r="394" spans="1:62" ht="15" customHeight="1">
      <c r="A394" s="102"/>
      <c r="B394" s="102"/>
      <c r="C394" s="102"/>
      <c r="D394" s="101"/>
      <c r="E394" s="105"/>
      <c r="F394" s="105" t="str">
        <f t="shared" ca="1" si="18"/>
        <v/>
      </c>
      <c r="G394" s="105"/>
      <c r="H394" s="105"/>
      <c r="I394" s="105"/>
      <c r="J394" s="105"/>
      <c r="K394" s="105"/>
      <c r="L394" s="105"/>
      <c r="M394" s="105"/>
      <c r="N394" s="105"/>
      <c r="O394" s="105"/>
      <c r="P394" s="106"/>
      <c r="Q394" s="106"/>
      <c r="R394" s="106"/>
      <c r="S394" s="107"/>
      <c r="T394" s="106"/>
      <c r="U394" s="106"/>
      <c r="V394" s="108"/>
      <c r="W394" s="108"/>
      <c r="X394" s="108"/>
      <c r="Y394" s="108"/>
      <c r="Z394" s="109"/>
      <c r="AA394" s="109"/>
      <c r="AB394" s="109"/>
      <c r="AC394" s="109"/>
      <c r="AD394" s="110"/>
      <c r="AE394" s="110"/>
      <c r="AF394" s="110"/>
      <c r="AG394" s="110"/>
      <c r="AH394" s="110"/>
      <c r="AI394" s="110"/>
      <c r="AJ394" s="110"/>
      <c r="AK394" s="110"/>
      <c r="AL394" s="110"/>
      <c r="AM394" s="110"/>
      <c r="AN394" s="110"/>
      <c r="AO394" s="110"/>
      <c r="AP394" s="110"/>
      <c r="AQ394" s="111"/>
      <c r="AR394" s="110"/>
      <c r="AS394" s="111"/>
      <c r="AT394" s="112"/>
      <c r="AU394" s="112"/>
      <c r="AV394" s="112"/>
      <c r="AW394" s="112"/>
      <c r="AX394" s="112"/>
      <c r="AY394" s="112"/>
      <c r="AZ394" s="112"/>
      <c r="BA394" s="112"/>
      <c r="BB394" s="112"/>
      <c r="BC394" s="112"/>
      <c r="BD394" s="113"/>
      <c r="BE394" s="114"/>
      <c r="BF394" s="115"/>
      <c r="BG394" s="115"/>
      <c r="BH394" s="116" t="str">
        <f t="shared" si="19"/>
        <v/>
      </c>
      <c r="BI394" s="116" t="str">
        <f t="shared" si="20"/>
        <v/>
      </c>
      <c r="BJ394" s="116" t="str">
        <f>IF(AND($A394&lt;&gt;"",$D394=반별조회!$C$5),COUNTIFS($A$3:$A394,"&lt;&gt;",$D$3:$D394,반별조회!$C$5),"")</f>
        <v/>
      </c>
    </row>
    <row r="395" spans="1:62" ht="15" customHeight="1">
      <c r="A395" s="102"/>
      <c r="B395" s="102"/>
      <c r="C395" s="102"/>
      <c r="D395" s="101"/>
      <c r="E395" s="105"/>
      <c r="F395" s="105" t="str">
        <f t="shared" ca="1" si="18"/>
        <v/>
      </c>
      <c r="G395" s="105"/>
      <c r="H395" s="105"/>
      <c r="I395" s="105"/>
      <c r="J395" s="105"/>
      <c r="K395" s="105"/>
      <c r="L395" s="105"/>
      <c r="M395" s="105"/>
      <c r="N395" s="105"/>
      <c r="O395" s="105"/>
      <c r="P395" s="106"/>
      <c r="Q395" s="106"/>
      <c r="R395" s="106"/>
      <c r="S395" s="107"/>
      <c r="T395" s="106"/>
      <c r="U395" s="106"/>
      <c r="V395" s="108"/>
      <c r="W395" s="108"/>
      <c r="X395" s="108"/>
      <c r="Y395" s="108"/>
      <c r="Z395" s="109"/>
      <c r="AA395" s="109"/>
      <c r="AB395" s="109"/>
      <c r="AC395" s="109"/>
      <c r="AD395" s="110"/>
      <c r="AE395" s="110"/>
      <c r="AF395" s="110"/>
      <c r="AG395" s="110"/>
      <c r="AH395" s="110"/>
      <c r="AI395" s="110"/>
      <c r="AJ395" s="110"/>
      <c r="AK395" s="110"/>
      <c r="AL395" s="110"/>
      <c r="AM395" s="110"/>
      <c r="AN395" s="110"/>
      <c r="AO395" s="110"/>
      <c r="AP395" s="110"/>
      <c r="AQ395" s="111"/>
      <c r="AR395" s="110"/>
      <c r="AS395" s="111"/>
      <c r="AT395" s="112"/>
      <c r="AU395" s="112"/>
      <c r="AV395" s="112"/>
      <c r="AW395" s="112"/>
      <c r="AX395" s="112"/>
      <c r="AY395" s="112"/>
      <c r="AZ395" s="112"/>
      <c r="BA395" s="112"/>
      <c r="BB395" s="112"/>
      <c r="BC395" s="112"/>
      <c r="BD395" s="113"/>
      <c r="BE395" s="114"/>
      <c r="BF395" s="115"/>
      <c r="BG395" s="115"/>
      <c r="BH395" s="116" t="str">
        <f t="shared" si="19"/>
        <v/>
      </c>
      <c r="BI395" s="116" t="str">
        <f t="shared" si="20"/>
        <v/>
      </c>
      <c r="BJ395" s="116" t="str">
        <f>IF(AND($A395&lt;&gt;"",$D395=반별조회!$C$5),COUNTIFS($A$3:$A395,"&lt;&gt;",$D$3:$D395,반별조회!$C$5),"")</f>
        <v/>
      </c>
    </row>
    <row r="396" spans="1:62" ht="15" customHeight="1">
      <c r="A396" s="102"/>
      <c r="B396" s="102"/>
      <c r="C396" s="102"/>
      <c r="D396" s="101"/>
      <c r="E396" s="105"/>
      <c r="F396" s="105" t="str">
        <f t="shared" ca="1" si="18"/>
        <v/>
      </c>
      <c r="G396" s="105"/>
      <c r="H396" s="105"/>
      <c r="I396" s="105"/>
      <c r="J396" s="105"/>
      <c r="K396" s="105"/>
      <c r="L396" s="105"/>
      <c r="M396" s="105"/>
      <c r="N396" s="105"/>
      <c r="O396" s="105"/>
      <c r="P396" s="106"/>
      <c r="Q396" s="106"/>
      <c r="R396" s="106"/>
      <c r="S396" s="107"/>
      <c r="T396" s="106"/>
      <c r="U396" s="106"/>
      <c r="V396" s="108"/>
      <c r="W396" s="108"/>
      <c r="X396" s="108"/>
      <c r="Y396" s="108"/>
      <c r="Z396" s="109"/>
      <c r="AA396" s="109"/>
      <c r="AB396" s="109"/>
      <c r="AC396" s="109"/>
      <c r="AD396" s="110"/>
      <c r="AE396" s="110"/>
      <c r="AF396" s="110"/>
      <c r="AG396" s="110"/>
      <c r="AH396" s="110"/>
      <c r="AI396" s="110"/>
      <c r="AJ396" s="110"/>
      <c r="AK396" s="110"/>
      <c r="AL396" s="110"/>
      <c r="AM396" s="110"/>
      <c r="AN396" s="110"/>
      <c r="AO396" s="110"/>
      <c r="AP396" s="110"/>
      <c r="AQ396" s="111"/>
      <c r="AR396" s="110"/>
      <c r="AS396" s="111"/>
      <c r="AT396" s="112"/>
      <c r="AU396" s="112"/>
      <c r="AV396" s="112"/>
      <c r="AW396" s="112"/>
      <c r="AX396" s="112"/>
      <c r="AY396" s="112"/>
      <c r="AZ396" s="112"/>
      <c r="BA396" s="112"/>
      <c r="BB396" s="112"/>
      <c r="BC396" s="112"/>
      <c r="BD396" s="113"/>
      <c r="BE396" s="114"/>
      <c r="BF396" s="115"/>
      <c r="BG396" s="115"/>
      <c r="BH396" s="116" t="str">
        <f t="shared" si="19"/>
        <v/>
      </c>
      <c r="BI396" s="116" t="str">
        <f t="shared" si="20"/>
        <v/>
      </c>
      <c r="BJ396" s="116" t="str">
        <f>IF(AND($A396&lt;&gt;"",$D396=반별조회!$C$5),COUNTIFS($A$3:$A396,"&lt;&gt;",$D$3:$D396,반별조회!$C$5),"")</f>
        <v/>
      </c>
    </row>
    <row r="397" spans="1:62" ht="15" customHeight="1">
      <c r="A397" s="102"/>
      <c r="B397" s="102"/>
      <c r="C397" s="102"/>
      <c r="D397" s="101"/>
      <c r="E397" s="105"/>
      <c r="F397" s="105" t="str">
        <f t="shared" ca="1" si="18"/>
        <v/>
      </c>
      <c r="G397" s="105"/>
      <c r="H397" s="105"/>
      <c r="I397" s="105"/>
      <c r="J397" s="105"/>
      <c r="K397" s="105"/>
      <c r="L397" s="105"/>
      <c r="M397" s="105"/>
      <c r="N397" s="105"/>
      <c r="O397" s="105"/>
      <c r="P397" s="106"/>
      <c r="Q397" s="106"/>
      <c r="R397" s="106"/>
      <c r="S397" s="107"/>
      <c r="T397" s="106"/>
      <c r="U397" s="106"/>
      <c r="V397" s="108"/>
      <c r="W397" s="108"/>
      <c r="X397" s="108"/>
      <c r="Y397" s="108"/>
      <c r="Z397" s="109"/>
      <c r="AA397" s="109"/>
      <c r="AB397" s="109"/>
      <c r="AC397" s="109"/>
      <c r="AD397" s="110"/>
      <c r="AE397" s="110"/>
      <c r="AF397" s="110"/>
      <c r="AG397" s="110"/>
      <c r="AH397" s="110"/>
      <c r="AI397" s="110"/>
      <c r="AJ397" s="110"/>
      <c r="AK397" s="110"/>
      <c r="AL397" s="110"/>
      <c r="AM397" s="110"/>
      <c r="AN397" s="110"/>
      <c r="AO397" s="110"/>
      <c r="AP397" s="110"/>
      <c r="AQ397" s="111"/>
      <c r="AR397" s="110"/>
      <c r="AS397" s="111"/>
      <c r="AT397" s="112"/>
      <c r="AU397" s="112"/>
      <c r="AV397" s="112"/>
      <c r="AW397" s="112"/>
      <c r="AX397" s="112"/>
      <c r="AY397" s="112"/>
      <c r="AZ397" s="112"/>
      <c r="BA397" s="112"/>
      <c r="BB397" s="112"/>
      <c r="BC397" s="112"/>
      <c r="BD397" s="113"/>
      <c r="BE397" s="114"/>
      <c r="BF397" s="115"/>
      <c r="BG397" s="115"/>
      <c r="BH397" s="116" t="str">
        <f t="shared" si="19"/>
        <v/>
      </c>
      <c r="BI397" s="116" t="str">
        <f t="shared" si="20"/>
        <v/>
      </c>
      <c r="BJ397" s="116" t="str">
        <f>IF(AND($A397&lt;&gt;"",$D397=반별조회!$C$5),COUNTIFS($A$3:$A397,"&lt;&gt;",$D$3:$D397,반별조회!$C$5),"")</f>
        <v/>
      </c>
    </row>
    <row r="398" spans="1:62" ht="15" customHeight="1">
      <c r="A398" s="102"/>
      <c r="B398" s="102"/>
      <c r="C398" s="102"/>
      <c r="D398" s="101"/>
      <c r="E398" s="105"/>
      <c r="F398" s="105" t="str">
        <f t="shared" ca="1" si="18"/>
        <v/>
      </c>
      <c r="G398" s="105"/>
      <c r="H398" s="105"/>
      <c r="I398" s="105"/>
      <c r="J398" s="105"/>
      <c r="K398" s="105"/>
      <c r="L398" s="105"/>
      <c r="M398" s="105"/>
      <c r="N398" s="105"/>
      <c r="O398" s="105"/>
      <c r="P398" s="106"/>
      <c r="Q398" s="106"/>
      <c r="R398" s="106"/>
      <c r="S398" s="107"/>
      <c r="T398" s="106"/>
      <c r="U398" s="106"/>
      <c r="V398" s="108"/>
      <c r="W398" s="108"/>
      <c r="X398" s="108"/>
      <c r="Y398" s="108"/>
      <c r="Z398" s="109"/>
      <c r="AA398" s="109"/>
      <c r="AB398" s="109"/>
      <c r="AC398" s="109"/>
      <c r="AD398" s="110"/>
      <c r="AE398" s="110"/>
      <c r="AF398" s="110"/>
      <c r="AG398" s="110"/>
      <c r="AH398" s="110"/>
      <c r="AI398" s="110"/>
      <c r="AJ398" s="110"/>
      <c r="AK398" s="110"/>
      <c r="AL398" s="110"/>
      <c r="AM398" s="110"/>
      <c r="AN398" s="110"/>
      <c r="AO398" s="110"/>
      <c r="AP398" s="110"/>
      <c r="AQ398" s="111"/>
      <c r="AR398" s="110"/>
      <c r="AS398" s="111"/>
      <c r="AT398" s="112"/>
      <c r="AU398" s="112"/>
      <c r="AV398" s="112"/>
      <c r="AW398" s="112"/>
      <c r="AX398" s="112"/>
      <c r="AY398" s="112"/>
      <c r="AZ398" s="112"/>
      <c r="BA398" s="112"/>
      <c r="BB398" s="112"/>
      <c r="BC398" s="112"/>
      <c r="BD398" s="113"/>
      <c r="BE398" s="114"/>
      <c r="BF398" s="115"/>
      <c r="BG398" s="115"/>
      <c r="BH398" s="116" t="str">
        <f t="shared" si="19"/>
        <v/>
      </c>
      <c r="BI398" s="116" t="str">
        <f t="shared" si="20"/>
        <v/>
      </c>
      <c r="BJ398" s="116" t="str">
        <f>IF(AND($A398&lt;&gt;"",$D398=반별조회!$C$5),COUNTIFS($A$3:$A398,"&lt;&gt;",$D$3:$D398,반별조회!$C$5),"")</f>
        <v/>
      </c>
    </row>
    <row r="399" spans="1:62" ht="15" customHeight="1">
      <c r="A399" s="102"/>
      <c r="B399" s="102"/>
      <c r="C399" s="102"/>
      <c r="D399" s="101"/>
      <c r="E399" s="105"/>
      <c r="F399" s="105" t="str">
        <f t="shared" ca="1" si="18"/>
        <v/>
      </c>
      <c r="G399" s="105"/>
      <c r="H399" s="105"/>
      <c r="I399" s="105"/>
      <c r="J399" s="105"/>
      <c r="K399" s="105"/>
      <c r="L399" s="105"/>
      <c r="M399" s="105"/>
      <c r="N399" s="105"/>
      <c r="O399" s="105"/>
      <c r="P399" s="106"/>
      <c r="Q399" s="106"/>
      <c r="R399" s="106"/>
      <c r="S399" s="107"/>
      <c r="T399" s="106"/>
      <c r="U399" s="106"/>
      <c r="V399" s="108"/>
      <c r="W399" s="108"/>
      <c r="X399" s="108"/>
      <c r="Y399" s="108"/>
      <c r="Z399" s="109"/>
      <c r="AA399" s="109"/>
      <c r="AB399" s="109"/>
      <c r="AC399" s="109"/>
      <c r="AD399" s="110"/>
      <c r="AE399" s="110"/>
      <c r="AF399" s="110"/>
      <c r="AG399" s="110"/>
      <c r="AH399" s="110"/>
      <c r="AI399" s="110"/>
      <c r="AJ399" s="110"/>
      <c r="AK399" s="110"/>
      <c r="AL399" s="110"/>
      <c r="AM399" s="110"/>
      <c r="AN399" s="110"/>
      <c r="AO399" s="110"/>
      <c r="AP399" s="110"/>
      <c r="AQ399" s="111"/>
      <c r="AR399" s="110"/>
      <c r="AS399" s="111"/>
      <c r="AT399" s="112"/>
      <c r="AU399" s="112"/>
      <c r="AV399" s="112"/>
      <c r="AW399" s="112"/>
      <c r="AX399" s="112"/>
      <c r="AY399" s="112"/>
      <c r="AZ399" s="112"/>
      <c r="BA399" s="112"/>
      <c r="BB399" s="112"/>
      <c r="BC399" s="112"/>
      <c r="BD399" s="113"/>
      <c r="BE399" s="114"/>
      <c r="BF399" s="115"/>
      <c r="BG399" s="115"/>
      <c r="BH399" s="116" t="str">
        <f t="shared" si="19"/>
        <v/>
      </c>
      <c r="BI399" s="116" t="str">
        <f t="shared" si="20"/>
        <v/>
      </c>
      <c r="BJ399" s="116" t="str">
        <f>IF(AND($A399&lt;&gt;"",$D399=반별조회!$C$5),COUNTIFS($A$3:$A399,"&lt;&gt;",$D$3:$D399,반별조회!$C$5),"")</f>
        <v/>
      </c>
    </row>
    <row r="400" spans="1:62" ht="15" customHeight="1">
      <c r="A400" s="102"/>
      <c r="B400" s="102"/>
      <c r="C400" s="102"/>
      <c r="D400" s="101"/>
      <c r="E400" s="105"/>
      <c r="F400" s="105" t="str">
        <f t="shared" ca="1" si="18"/>
        <v/>
      </c>
      <c r="G400" s="105"/>
      <c r="H400" s="105"/>
      <c r="I400" s="105"/>
      <c r="J400" s="105"/>
      <c r="K400" s="105"/>
      <c r="L400" s="105"/>
      <c r="M400" s="105"/>
      <c r="N400" s="105"/>
      <c r="O400" s="105"/>
      <c r="P400" s="106"/>
      <c r="Q400" s="106"/>
      <c r="R400" s="106"/>
      <c r="S400" s="107"/>
      <c r="T400" s="106"/>
      <c r="U400" s="106"/>
      <c r="V400" s="108"/>
      <c r="W400" s="108"/>
      <c r="X400" s="108"/>
      <c r="Y400" s="108"/>
      <c r="Z400" s="109"/>
      <c r="AA400" s="109"/>
      <c r="AB400" s="109"/>
      <c r="AC400" s="109"/>
      <c r="AD400" s="110"/>
      <c r="AE400" s="110"/>
      <c r="AF400" s="110"/>
      <c r="AG400" s="110"/>
      <c r="AH400" s="110"/>
      <c r="AI400" s="110"/>
      <c r="AJ400" s="110"/>
      <c r="AK400" s="110"/>
      <c r="AL400" s="110"/>
      <c r="AM400" s="110"/>
      <c r="AN400" s="110"/>
      <c r="AO400" s="110"/>
      <c r="AP400" s="110"/>
      <c r="AQ400" s="111"/>
      <c r="AR400" s="110"/>
      <c r="AS400" s="111"/>
      <c r="AT400" s="112"/>
      <c r="AU400" s="112"/>
      <c r="AV400" s="112"/>
      <c r="AW400" s="112"/>
      <c r="AX400" s="112"/>
      <c r="AY400" s="112"/>
      <c r="AZ400" s="112"/>
      <c r="BA400" s="112"/>
      <c r="BB400" s="112"/>
      <c r="BC400" s="112"/>
      <c r="BD400" s="113"/>
      <c r="BE400" s="114"/>
      <c r="BF400" s="115"/>
      <c r="BG400" s="115"/>
      <c r="BH400" s="116" t="str">
        <f t="shared" si="19"/>
        <v/>
      </c>
      <c r="BI400" s="116" t="str">
        <f t="shared" si="20"/>
        <v/>
      </c>
      <c r="BJ400" s="116" t="str">
        <f>IF(AND($A400&lt;&gt;"",$D400=반별조회!$C$5),COUNTIFS($A$3:$A400,"&lt;&gt;",$D$3:$D400,반별조회!$C$5),"")</f>
        <v/>
      </c>
    </row>
    <row r="401" spans="1:62" ht="15" customHeight="1">
      <c r="A401" s="102"/>
      <c r="B401" s="102"/>
      <c r="C401" s="102"/>
      <c r="D401" s="101"/>
      <c r="E401" s="105"/>
      <c r="F401" s="105" t="str">
        <f t="shared" ca="1" si="18"/>
        <v/>
      </c>
      <c r="G401" s="105"/>
      <c r="H401" s="105"/>
      <c r="I401" s="105"/>
      <c r="J401" s="105"/>
      <c r="K401" s="105"/>
      <c r="L401" s="105"/>
      <c r="M401" s="105"/>
      <c r="N401" s="105"/>
      <c r="O401" s="105"/>
      <c r="P401" s="106"/>
      <c r="Q401" s="106"/>
      <c r="R401" s="106"/>
      <c r="S401" s="107"/>
      <c r="T401" s="106"/>
      <c r="U401" s="106"/>
      <c r="V401" s="108"/>
      <c r="W401" s="108"/>
      <c r="X401" s="108"/>
      <c r="Y401" s="108"/>
      <c r="Z401" s="109"/>
      <c r="AA401" s="109"/>
      <c r="AB401" s="109"/>
      <c r="AC401" s="109"/>
      <c r="AD401" s="110"/>
      <c r="AE401" s="110"/>
      <c r="AF401" s="110"/>
      <c r="AG401" s="110"/>
      <c r="AH401" s="110"/>
      <c r="AI401" s="110"/>
      <c r="AJ401" s="110"/>
      <c r="AK401" s="110"/>
      <c r="AL401" s="110"/>
      <c r="AM401" s="110"/>
      <c r="AN401" s="110"/>
      <c r="AO401" s="110"/>
      <c r="AP401" s="110"/>
      <c r="AQ401" s="111"/>
      <c r="AR401" s="110"/>
      <c r="AS401" s="111"/>
      <c r="AT401" s="112"/>
      <c r="AU401" s="112"/>
      <c r="AV401" s="112"/>
      <c r="AW401" s="112"/>
      <c r="AX401" s="112"/>
      <c r="AY401" s="112"/>
      <c r="AZ401" s="112"/>
      <c r="BA401" s="112"/>
      <c r="BB401" s="112"/>
      <c r="BC401" s="112"/>
      <c r="BD401" s="113"/>
      <c r="BE401" s="114"/>
      <c r="BF401" s="115"/>
      <c r="BG401" s="115"/>
      <c r="BH401" s="116" t="str">
        <f t="shared" si="19"/>
        <v/>
      </c>
      <c r="BI401" s="116" t="str">
        <f t="shared" si="20"/>
        <v/>
      </c>
      <c r="BJ401" s="116" t="str">
        <f>IF(AND($A401&lt;&gt;"",$D401=반별조회!$C$5),COUNTIFS($A$3:$A401,"&lt;&gt;",$D$3:$D401,반별조회!$C$5),"")</f>
        <v/>
      </c>
    </row>
    <row r="402" spans="1:62" ht="15" customHeight="1">
      <c r="A402" s="102"/>
      <c r="B402" s="102"/>
      <c r="C402" s="102"/>
      <c r="D402" s="101"/>
      <c r="E402" s="105"/>
      <c r="F402" s="105" t="str">
        <f t="shared" ca="1" si="18"/>
        <v/>
      </c>
      <c r="G402" s="105"/>
      <c r="H402" s="105"/>
      <c r="I402" s="105"/>
      <c r="J402" s="105"/>
      <c r="K402" s="105"/>
      <c r="L402" s="105"/>
      <c r="M402" s="105"/>
      <c r="N402" s="105"/>
      <c r="O402" s="105"/>
      <c r="P402" s="106"/>
      <c r="Q402" s="106"/>
      <c r="R402" s="106"/>
      <c r="S402" s="107"/>
      <c r="T402" s="106"/>
      <c r="U402" s="106"/>
      <c r="V402" s="108"/>
      <c r="W402" s="108"/>
      <c r="X402" s="108"/>
      <c r="Y402" s="108"/>
      <c r="Z402" s="109"/>
      <c r="AA402" s="109"/>
      <c r="AB402" s="109"/>
      <c r="AC402" s="109"/>
      <c r="AD402" s="110"/>
      <c r="AE402" s="110"/>
      <c r="AF402" s="110"/>
      <c r="AG402" s="110"/>
      <c r="AH402" s="110"/>
      <c r="AI402" s="110"/>
      <c r="AJ402" s="110"/>
      <c r="AK402" s="110"/>
      <c r="AL402" s="110"/>
      <c r="AM402" s="110"/>
      <c r="AN402" s="110"/>
      <c r="AO402" s="110"/>
      <c r="AP402" s="110"/>
      <c r="AQ402" s="111"/>
      <c r="AR402" s="110"/>
      <c r="AS402" s="111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3"/>
      <c r="BE402" s="114"/>
      <c r="BF402" s="115"/>
      <c r="BG402" s="115"/>
      <c r="BH402" s="116" t="str">
        <f t="shared" si="19"/>
        <v/>
      </c>
      <c r="BI402" s="116" t="str">
        <f t="shared" si="20"/>
        <v/>
      </c>
      <c r="BJ402" s="116" t="str">
        <f>IF(AND($A402&lt;&gt;"",$D402=반별조회!$C$5),COUNTIFS($A$3:$A402,"&lt;&gt;",$D$3:$D402,반별조회!$C$5),"")</f>
        <v/>
      </c>
    </row>
    <row r="403" spans="1:62" ht="15" customHeight="1">
      <c r="A403" s="102"/>
      <c r="B403" s="102"/>
      <c r="C403" s="102"/>
      <c r="D403" s="101"/>
      <c r="E403" s="105"/>
      <c r="F403" s="105" t="str">
        <f t="shared" ca="1" si="18"/>
        <v/>
      </c>
      <c r="G403" s="105"/>
      <c r="H403" s="105"/>
      <c r="I403" s="105"/>
      <c r="J403" s="105"/>
      <c r="K403" s="105"/>
      <c r="L403" s="105"/>
      <c r="M403" s="105"/>
      <c r="N403" s="105"/>
      <c r="O403" s="105"/>
      <c r="P403" s="106"/>
      <c r="Q403" s="106"/>
      <c r="R403" s="106"/>
      <c r="S403" s="107"/>
      <c r="T403" s="106"/>
      <c r="U403" s="106"/>
      <c r="V403" s="108"/>
      <c r="W403" s="108"/>
      <c r="X403" s="108"/>
      <c r="Y403" s="108"/>
      <c r="Z403" s="109"/>
      <c r="AA403" s="109"/>
      <c r="AB403" s="109"/>
      <c r="AC403" s="109"/>
      <c r="AD403" s="110"/>
      <c r="AE403" s="110"/>
      <c r="AF403" s="110"/>
      <c r="AG403" s="110"/>
      <c r="AH403" s="110"/>
      <c r="AI403" s="110"/>
      <c r="AJ403" s="110"/>
      <c r="AK403" s="110"/>
      <c r="AL403" s="110"/>
      <c r="AM403" s="110"/>
      <c r="AN403" s="110"/>
      <c r="AO403" s="110"/>
      <c r="AP403" s="110"/>
      <c r="AQ403" s="111"/>
      <c r="AR403" s="110"/>
      <c r="AS403" s="111"/>
      <c r="AT403" s="112"/>
      <c r="AU403" s="112"/>
      <c r="AV403" s="112"/>
      <c r="AW403" s="112"/>
      <c r="AX403" s="112"/>
      <c r="AY403" s="112"/>
      <c r="AZ403" s="112"/>
      <c r="BA403" s="112"/>
      <c r="BB403" s="112"/>
      <c r="BC403" s="112"/>
      <c r="BD403" s="113"/>
      <c r="BE403" s="114"/>
      <c r="BF403" s="115"/>
      <c r="BG403" s="115"/>
      <c r="BH403" s="116" t="str">
        <f t="shared" si="19"/>
        <v/>
      </c>
      <c r="BI403" s="116" t="str">
        <f t="shared" si="20"/>
        <v/>
      </c>
      <c r="BJ403" s="116" t="str">
        <f>IF(AND($A403&lt;&gt;"",$D403=반별조회!$C$5),COUNTIFS($A$3:$A403,"&lt;&gt;",$D$3:$D403,반별조회!$C$5),"")</f>
        <v/>
      </c>
    </row>
    <row r="404" spans="1:62" ht="15" customHeight="1">
      <c r="A404" s="102"/>
      <c r="B404" s="102"/>
      <c r="C404" s="102"/>
      <c r="D404" s="101"/>
      <c r="E404" s="105"/>
      <c r="F404" s="105" t="str">
        <f t="shared" ca="1" si="18"/>
        <v/>
      </c>
      <c r="G404" s="105"/>
      <c r="H404" s="105"/>
      <c r="I404" s="105"/>
      <c r="J404" s="105"/>
      <c r="K404" s="105"/>
      <c r="L404" s="105"/>
      <c r="M404" s="105"/>
      <c r="N404" s="105"/>
      <c r="O404" s="105"/>
      <c r="P404" s="106"/>
      <c r="Q404" s="106"/>
      <c r="R404" s="106"/>
      <c r="S404" s="107"/>
      <c r="T404" s="106"/>
      <c r="U404" s="106"/>
      <c r="V404" s="108"/>
      <c r="W404" s="108"/>
      <c r="X404" s="108"/>
      <c r="Y404" s="108"/>
      <c r="Z404" s="109"/>
      <c r="AA404" s="109"/>
      <c r="AB404" s="109"/>
      <c r="AC404" s="109"/>
      <c r="AD404" s="110"/>
      <c r="AE404" s="110"/>
      <c r="AF404" s="110"/>
      <c r="AG404" s="110"/>
      <c r="AH404" s="110"/>
      <c r="AI404" s="110"/>
      <c r="AJ404" s="110"/>
      <c r="AK404" s="110"/>
      <c r="AL404" s="110"/>
      <c r="AM404" s="110"/>
      <c r="AN404" s="110"/>
      <c r="AO404" s="110"/>
      <c r="AP404" s="110"/>
      <c r="AQ404" s="111"/>
      <c r="AR404" s="110"/>
      <c r="AS404" s="111"/>
      <c r="AT404" s="112"/>
      <c r="AU404" s="112"/>
      <c r="AV404" s="112"/>
      <c r="AW404" s="112"/>
      <c r="AX404" s="112"/>
      <c r="AY404" s="112"/>
      <c r="AZ404" s="112"/>
      <c r="BA404" s="112"/>
      <c r="BB404" s="112"/>
      <c r="BC404" s="112"/>
      <c r="BD404" s="113"/>
      <c r="BE404" s="114"/>
      <c r="BF404" s="115"/>
      <c r="BG404" s="115"/>
      <c r="BH404" s="116" t="str">
        <f t="shared" si="19"/>
        <v/>
      </c>
      <c r="BI404" s="116" t="str">
        <f t="shared" si="20"/>
        <v/>
      </c>
      <c r="BJ404" s="116" t="str">
        <f>IF(AND($A404&lt;&gt;"",$D404=반별조회!$C$5),COUNTIFS($A$3:$A404,"&lt;&gt;",$D$3:$D404,반별조회!$C$5),"")</f>
        <v/>
      </c>
    </row>
    <row r="405" spans="1:62" ht="15" customHeight="1">
      <c r="A405" s="102"/>
      <c r="B405" s="102"/>
      <c r="C405" s="102"/>
      <c r="D405" s="101"/>
      <c r="E405" s="105"/>
      <c r="F405" s="105" t="str">
        <f t="shared" ca="1" si="18"/>
        <v/>
      </c>
      <c r="G405" s="105"/>
      <c r="H405" s="105"/>
      <c r="I405" s="105"/>
      <c r="J405" s="105"/>
      <c r="K405" s="105"/>
      <c r="L405" s="105"/>
      <c r="M405" s="105"/>
      <c r="N405" s="105"/>
      <c r="O405" s="105"/>
      <c r="P405" s="106"/>
      <c r="Q405" s="106"/>
      <c r="R405" s="106"/>
      <c r="S405" s="107"/>
      <c r="T405" s="106"/>
      <c r="U405" s="106"/>
      <c r="V405" s="108"/>
      <c r="W405" s="108"/>
      <c r="X405" s="108"/>
      <c r="Y405" s="108"/>
      <c r="Z405" s="109"/>
      <c r="AA405" s="109"/>
      <c r="AB405" s="109"/>
      <c r="AC405" s="109"/>
      <c r="AD405" s="110"/>
      <c r="AE405" s="110"/>
      <c r="AF405" s="110"/>
      <c r="AG405" s="110"/>
      <c r="AH405" s="110"/>
      <c r="AI405" s="110"/>
      <c r="AJ405" s="110"/>
      <c r="AK405" s="110"/>
      <c r="AL405" s="110"/>
      <c r="AM405" s="110"/>
      <c r="AN405" s="110"/>
      <c r="AO405" s="110"/>
      <c r="AP405" s="110"/>
      <c r="AQ405" s="111"/>
      <c r="AR405" s="110"/>
      <c r="AS405" s="111"/>
      <c r="AT405" s="112"/>
      <c r="AU405" s="112"/>
      <c r="AV405" s="112"/>
      <c r="AW405" s="112"/>
      <c r="AX405" s="112"/>
      <c r="AY405" s="112"/>
      <c r="AZ405" s="112"/>
      <c r="BA405" s="112"/>
      <c r="BB405" s="112"/>
      <c r="BC405" s="112"/>
      <c r="BD405" s="113"/>
      <c r="BE405" s="114"/>
      <c r="BF405" s="115"/>
      <c r="BG405" s="115"/>
      <c r="BH405" s="116" t="str">
        <f t="shared" si="19"/>
        <v/>
      </c>
      <c r="BI405" s="116" t="str">
        <f t="shared" si="20"/>
        <v/>
      </c>
      <c r="BJ405" s="116" t="str">
        <f>IF(AND($A405&lt;&gt;"",$D405=반별조회!$C$5),COUNTIFS($A$3:$A405,"&lt;&gt;",$D$3:$D405,반별조회!$C$5),"")</f>
        <v/>
      </c>
    </row>
    <row r="406" spans="1:62" ht="15" customHeight="1">
      <c r="A406" s="102"/>
      <c r="B406" s="102"/>
      <c r="C406" s="102"/>
      <c r="D406" s="101"/>
      <c r="E406" s="105"/>
      <c r="F406" s="105" t="str">
        <f t="shared" ca="1" si="18"/>
        <v/>
      </c>
      <c r="G406" s="105"/>
      <c r="H406" s="105"/>
      <c r="I406" s="105"/>
      <c r="J406" s="105"/>
      <c r="K406" s="105"/>
      <c r="L406" s="105"/>
      <c r="M406" s="105"/>
      <c r="N406" s="105"/>
      <c r="O406" s="105"/>
      <c r="P406" s="106"/>
      <c r="Q406" s="106"/>
      <c r="R406" s="106"/>
      <c r="S406" s="107"/>
      <c r="T406" s="106"/>
      <c r="U406" s="106"/>
      <c r="V406" s="108"/>
      <c r="W406" s="108"/>
      <c r="X406" s="108"/>
      <c r="Y406" s="108"/>
      <c r="Z406" s="109"/>
      <c r="AA406" s="109"/>
      <c r="AB406" s="109"/>
      <c r="AC406" s="109"/>
      <c r="AD406" s="110"/>
      <c r="AE406" s="110"/>
      <c r="AF406" s="110"/>
      <c r="AG406" s="110"/>
      <c r="AH406" s="110"/>
      <c r="AI406" s="110"/>
      <c r="AJ406" s="110"/>
      <c r="AK406" s="110"/>
      <c r="AL406" s="110"/>
      <c r="AM406" s="110"/>
      <c r="AN406" s="110"/>
      <c r="AO406" s="110"/>
      <c r="AP406" s="110"/>
      <c r="AQ406" s="111"/>
      <c r="AR406" s="110"/>
      <c r="AS406" s="111"/>
      <c r="AT406" s="112"/>
      <c r="AU406" s="112"/>
      <c r="AV406" s="112"/>
      <c r="AW406" s="112"/>
      <c r="AX406" s="112"/>
      <c r="AY406" s="112"/>
      <c r="AZ406" s="112"/>
      <c r="BA406" s="112"/>
      <c r="BB406" s="112"/>
      <c r="BC406" s="112"/>
      <c r="BD406" s="113"/>
      <c r="BE406" s="114"/>
      <c r="BF406" s="115"/>
      <c r="BG406" s="115"/>
      <c r="BH406" s="116" t="str">
        <f t="shared" si="19"/>
        <v/>
      </c>
      <c r="BI406" s="116" t="str">
        <f t="shared" si="20"/>
        <v/>
      </c>
      <c r="BJ406" s="116" t="str">
        <f>IF(AND($A406&lt;&gt;"",$D406=반별조회!$C$5),COUNTIFS($A$3:$A406,"&lt;&gt;",$D$3:$D406,반별조회!$C$5),"")</f>
        <v/>
      </c>
    </row>
    <row r="407" spans="1:62" ht="15" customHeight="1">
      <c r="A407" s="102"/>
      <c r="B407" s="102"/>
      <c r="C407" s="102"/>
      <c r="D407" s="101"/>
      <c r="E407" s="105"/>
      <c r="F407" s="105" t="str">
        <f t="shared" ca="1" si="18"/>
        <v/>
      </c>
      <c r="G407" s="105"/>
      <c r="H407" s="105"/>
      <c r="I407" s="105"/>
      <c r="J407" s="105"/>
      <c r="K407" s="105"/>
      <c r="L407" s="105"/>
      <c r="M407" s="105"/>
      <c r="N407" s="105"/>
      <c r="O407" s="105"/>
      <c r="P407" s="106"/>
      <c r="Q407" s="106"/>
      <c r="R407" s="106"/>
      <c r="S407" s="107"/>
      <c r="T407" s="106"/>
      <c r="U407" s="106"/>
      <c r="V407" s="108"/>
      <c r="W407" s="108"/>
      <c r="X407" s="108"/>
      <c r="Y407" s="108"/>
      <c r="Z407" s="109"/>
      <c r="AA407" s="109"/>
      <c r="AB407" s="109"/>
      <c r="AC407" s="109"/>
      <c r="AD407" s="110"/>
      <c r="AE407" s="110"/>
      <c r="AF407" s="110"/>
      <c r="AG407" s="110"/>
      <c r="AH407" s="110"/>
      <c r="AI407" s="110"/>
      <c r="AJ407" s="110"/>
      <c r="AK407" s="110"/>
      <c r="AL407" s="110"/>
      <c r="AM407" s="110"/>
      <c r="AN407" s="110"/>
      <c r="AO407" s="110"/>
      <c r="AP407" s="110"/>
      <c r="AQ407" s="111"/>
      <c r="AR407" s="110"/>
      <c r="AS407" s="111"/>
      <c r="AT407" s="112"/>
      <c r="AU407" s="112"/>
      <c r="AV407" s="112"/>
      <c r="AW407" s="112"/>
      <c r="AX407" s="112"/>
      <c r="AY407" s="112"/>
      <c r="AZ407" s="112"/>
      <c r="BA407" s="112"/>
      <c r="BB407" s="112"/>
      <c r="BC407" s="112"/>
      <c r="BD407" s="113"/>
      <c r="BE407" s="114"/>
      <c r="BF407" s="115"/>
      <c r="BG407" s="115"/>
      <c r="BH407" s="116" t="str">
        <f t="shared" si="19"/>
        <v/>
      </c>
      <c r="BI407" s="116" t="str">
        <f t="shared" si="20"/>
        <v/>
      </c>
      <c r="BJ407" s="116" t="str">
        <f>IF(AND($A407&lt;&gt;"",$D407=반별조회!$C$5),COUNTIFS($A$3:$A407,"&lt;&gt;",$D$3:$D407,반별조회!$C$5),"")</f>
        <v/>
      </c>
    </row>
    <row r="408" spans="1:62" ht="15" customHeight="1">
      <c r="A408" s="102"/>
      <c r="B408" s="102"/>
      <c r="C408" s="102"/>
      <c r="D408" s="101"/>
      <c r="E408" s="105"/>
      <c r="F408" s="105" t="str">
        <f t="shared" ca="1" si="18"/>
        <v/>
      </c>
      <c r="G408" s="105"/>
      <c r="H408" s="105"/>
      <c r="I408" s="105"/>
      <c r="J408" s="105"/>
      <c r="K408" s="105"/>
      <c r="L408" s="105"/>
      <c r="M408" s="105"/>
      <c r="N408" s="105"/>
      <c r="O408" s="105"/>
      <c r="P408" s="106"/>
      <c r="Q408" s="106"/>
      <c r="R408" s="106"/>
      <c r="S408" s="107"/>
      <c r="T408" s="106"/>
      <c r="U408" s="106"/>
      <c r="V408" s="108"/>
      <c r="W408" s="108"/>
      <c r="X408" s="108"/>
      <c r="Y408" s="108"/>
      <c r="Z408" s="109"/>
      <c r="AA408" s="109"/>
      <c r="AB408" s="109"/>
      <c r="AC408" s="109"/>
      <c r="AD408" s="110"/>
      <c r="AE408" s="110"/>
      <c r="AF408" s="110"/>
      <c r="AG408" s="110"/>
      <c r="AH408" s="110"/>
      <c r="AI408" s="110"/>
      <c r="AJ408" s="110"/>
      <c r="AK408" s="110"/>
      <c r="AL408" s="110"/>
      <c r="AM408" s="110"/>
      <c r="AN408" s="110"/>
      <c r="AO408" s="110"/>
      <c r="AP408" s="110"/>
      <c r="AQ408" s="111"/>
      <c r="AR408" s="110"/>
      <c r="AS408" s="111"/>
      <c r="AT408" s="112"/>
      <c r="AU408" s="112"/>
      <c r="AV408" s="112"/>
      <c r="AW408" s="112"/>
      <c r="AX408" s="112"/>
      <c r="AY408" s="112"/>
      <c r="AZ408" s="112"/>
      <c r="BA408" s="112"/>
      <c r="BB408" s="112"/>
      <c r="BC408" s="112"/>
      <c r="BD408" s="113"/>
      <c r="BE408" s="114"/>
      <c r="BF408" s="115"/>
      <c r="BG408" s="115"/>
      <c r="BH408" s="116" t="str">
        <f t="shared" si="19"/>
        <v/>
      </c>
      <c r="BI408" s="116" t="str">
        <f t="shared" si="20"/>
        <v/>
      </c>
      <c r="BJ408" s="116" t="str">
        <f>IF(AND($A408&lt;&gt;"",$D408=반별조회!$C$5),COUNTIFS($A$3:$A408,"&lt;&gt;",$D$3:$D408,반별조회!$C$5),"")</f>
        <v/>
      </c>
    </row>
    <row r="409" spans="1:62" ht="15" customHeight="1">
      <c r="A409" s="102"/>
      <c r="B409" s="102"/>
      <c r="C409" s="102"/>
      <c r="D409" s="101"/>
      <c r="E409" s="105"/>
      <c r="F409" s="105" t="str">
        <f t="shared" ca="1" si="18"/>
        <v/>
      </c>
      <c r="G409" s="105"/>
      <c r="H409" s="105"/>
      <c r="I409" s="105"/>
      <c r="J409" s="105"/>
      <c r="K409" s="105"/>
      <c r="L409" s="105"/>
      <c r="M409" s="105"/>
      <c r="N409" s="105"/>
      <c r="O409" s="105"/>
      <c r="P409" s="106"/>
      <c r="Q409" s="106"/>
      <c r="R409" s="106"/>
      <c r="S409" s="107"/>
      <c r="T409" s="106"/>
      <c r="U409" s="106"/>
      <c r="V409" s="108"/>
      <c r="W409" s="108"/>
      <c r="X409" s="108"/>
      <c r="Y409" s="108"/>
      <c r="Z409" s="109"/>
      <c r="AA409" s="109"/>
      <c r="AB409" s="109"/>
      <c r="AC409" s="109"/>
      <c r="AD409" s="110"/>
      <c r="AE409" s="110"/>
      <c r="AF409" s="110"/>
      <c r="AG409" s="110"/>
      <c r="AH409" s="110"/>
      <c r="AI409" s="110"/>
      <c r="AJ409" s="110"/>
      <c r="AK409" s="110"/>
      <c r="AL409" s="110"/>
      <c r="AM409" s="110"/>
      <c r="AN409" s="110"/>
      <c r="AO409" s="110"/>
      <c r="AP409" s="110"/>
      <c r="AQ409" s="111"/>
      <c r="AR409" s="110"/>
      <c r="AS409" s="111"/>
      <c r="AT409" s="112"/>
      <c r="AU409" s="112"/>
      <c r="AV409" s="112"/>
      <c r="AW409" s="112"/>
      <c r="AX409" s="112"/>
      <c r="AY409" s="112"/>
      <c r="AZ409" s="112"/>
      <c r="BA409" s="112"/>
      <c r="BB409" s="112"/>
      <c r="BC409" s="112"/>
      <c r="BD409" s="113"/>
      <c r="BE409" s="114"/>
      <c r="BF409" s="115"/>
      <c r="BG409" s="115"/>
      <c r="BH409" s="116" t="str">
        <f t="shared" si="19"/>
        <v/>
      </c>
      <c r="BI409" s="116" t="str">
        <f t="shared" si="20"/>
        <v/>
      </c>
      <c r="BJ409" s="116" t="str">
        <f>IF(AND($A409&lt;&gt;"",$D409=반별조회!$C$5),COUNTIFS($A$3:$A409,"&lt;&gt;",$D$3:$D409,반별조회!$C$5),"")</f>
        <v/>
      </c>
    </row>
    <row r="410" spans="1:62" ht="15" customHeight="1">
      <c r="A410" s="102"/>
      <c r="B410" s="102"/>
      <c r="C410" s="102"/>
      <c r="D410" s="101"/>
      <c r="E410" s="105"/>
      <c r="F410" s="105" t="str">
        <f t="shared" ca="1" si="18"/>
        <v/>
      </c>
      <c r="G410" s="105"/>
      <c r="H410" s="105"/>
      <c r="I410" s="105"/>
      <c r="J410" s="105"/>
      <c r="K410" s="105"/>
      <c r="L410" s="105"/>
      <c r="M410" s="105"/>
      <c r="N410" s="105"/>
      <c r="O410" s="105"/>
      <c r="P410" s="106"/>
      <c r="Q410" s="106"/>
      <c r="R410" s="106"/>
      <c r="S410" s="107"/>
      <c r="T410" s="106"/>
      <c r="U410" s="106"/>
      <c r="V410" s="108"/>
      <c r="W410" s="108"/>
      <c r="X410" s="108"/>
      <c r="Y410" s="108"/>
      <c r="Z410" s="109"/>
      <c r="AA410" s="109"/>
      <c r="AB410" s="109"/>
      <c r="AC410" s="109"/>
      <c r="AD410" s="110"/>
      <c r="AE410" s="110"/>
      <c r="AF410" s="110"/>
      <c r="AG410" s="110"/>
      <c r="AH410" s="110"/>
      <c r="AI410" s="110"/>
      <c r="AJ410" s="110"/>
      <c r="AK410" s="110"/>
      <c r="AL410" s="110"/>
      <c r="AM410" s="110"/>
      <c r="AN410" s="110"/>
      <c r="AO410" s="110"/>
      <c r="AP410" s="110"/>
      <c r="AQ410" s="111"/>
      <c r="AR410" s="110"/>
      <c r="AS410" s="111"/>
      <c r="AT410" s="112"/>
      <c r="AU410" s="112"/>
      <c r="AV410" s="112"/>
      <c r="AW410" s="112"/>
      <c r="AX410" s="112"/>
      <c r="AY410" s="112"/>
      <c r="AZ410" s="112"/>
      <c r="BA410" s="112"/>
      <c r="BB410" s="112"/>
      <c r="BC410" s="112"/>
      <c r="BD410" s="113"/>
      <c r="BE410" s="114"/>
      <c r="BF410" s="115"/>
      <c r="BG410" s="115"/>
      <c r="BH410" s="116" t="str">
        <f t="shared" si="19"/>
        <v/>
      </c>
      <c r="BI410" s="116" t="str">
        <f t="shared" si="20"/>
        <v/>
      </c>
      <c r="BJ410" s="116" t="str">
        <f>IF(AND($A410&lt;&gt;"",$D410=반별조회!$C$5),COUNTIFS($A$3:$A410,"&lt;&gt;",$D$3:$D410,반별조회!$C$5),"")</f>
        <v/>
      </c>
    </row>
    <row r="411" spans="1:62" ht="15" customHeight="1">
      <c r="A411" s="102"/>
      <c r="B411" s="102"/>
      <c r="C411" s="102"/>
      <c r="D411" s="101"/>
      <c r="E411" s="105"/>
      <c r="F411" s="105" t="str">
        <f t="shared" ca="1" si="18"/>
        <v/>
      </c>
      <c r="G411" s="105"/>
      <c r="H411" s="105"/>
      <c r="I411" s="105"/>
      <c r="J411" s="105"/>
      <c r="K411" s="105"/>
      <c r="L411" s="105"/>
      <c r="M411" s="105"/>
      <c r="N411" s="105"/>
      <c r="O411" s="105"/>
      <c r="P411" s="106"/>
      <c r="Q411" s="106"/>
      <c r="R411" s="106"/>
      <c r="S411" s="107"/>
      <c r="T411" s="106"/>
      <c r="U411" s="106"/>
      <c r="V411" s="108"/>
      <c r="W411" s="108"/>
      <c r="X411" s="108"/>
      <c r="Y411" s="108"/>
      <c r="Z411" s="109"/>
      <c r="AA411" s="109"/>
      <c r="AB411" s="109"/>
      <c r="AC411" s="109"/>
      <c r="AD411" s="110"/>
      <c r="AE411" s="110"/>
      <c r="AF411" s="110"/>
      <c r="AG411" s="110"/>
      <c r="AH411" s="110"/>
      <c r="AI411" s="110"/>
      <c r="AJ411" s="110"/>
      <c r="AK411" s="110"/>
      <c r="AL411" s="110"/>
      <c r="AM411" s="110"/>
      <c r="AN411" s="110"/>
      <c r="AO411" s="110"/>
      <c r="AP411" s="110"/>
      <c r="AQ411" s="111"/>
      <c r="AR411" s="110"/>
      <c r="AS411" s="111"/>
      <c r="AT411" s="112"/>
      <c r="AU411" s="112"/>
      <c r="AV411" s="112"/>
      <c r="AW411" s="112"/>
      <c r="AX411" s="112"/>
      <c r="AY411" s="112"/>
      <c r="AZ411" s="112"/>
      <c r="BA411" s="112"/>
      <c r="BB411" s="112"/>
      <c r="BC411" s="112"/>
      <c r="BD411" s="113"/>
      <c r="BE411" s="114"/>
      <c r="BF411" s="115"/>
      <c r="BG411" s="115"/>
      <c r="BH411" s="116" t="str">
        <f t="shared" si="19"/>
        <v/>
      </c>
      <c r="BI411" s="116" t="str">
        <f t="shared" si="20"/>
        <v/>
      </c>
      <c r="BJ411" s="116" t="str">
        <f>IF(AND($A411&lt;&gt;"",$D411=반별조회!$C$5),COUNTIFS($A$3:$A411,"&lt;&gt;",$D$3:$D411,반별조회!$C$5),"")</f>
        <v/>
      </c>
    </row>
    <row r="412" spans="1:62" ht="15" customHeight="1">
      <c r="A412" s="102"/>
      <c r="B412" s="102"/>
      <c r="C412" s="102"/>
      <c r="D412" s="101"/>
      <c r="E412" s="105"/>
      <c r="F412" s="105" t="str">
        <f t="shared" ca="1" si="18"/>
        <v/>
      </c>
      <c r="G412" s="105"/>
      <c r="H412" s="105"/>
      <c r="I412" s="105"/>
      <c r="J412" s="105"/>
      <c r="K412" s="105"/>
      <c r="L412" s="105"/>
      <c r="M412" s="105"/>
      <c r="N412" s="105"/>
      <c r="O412" s="105"/>
      <c r="P412" s="106"/>
      <c r="Q412" s="106"/>
      <c r="R412" s="106"/>
      <c r="S412" s="107"/>
      <c r="T412" s="106"/>
      <c r="U412" s="106"/>
      <c r="V412" s="108"/>
      <c r="W412" s="108"/>
      <c r="X412" s="108"/>
      <c r="Y412" s="108"/>
      <c r="Z412" s="109"/>
      <c r="AA412" s="109"/>
      <c r="AB412" s="109"/>
      <c r="AC412" s="109"/>
      <c r="AD412" s="110"/>
      <c r="AE412" s="110"/>
      <c r="AF412" s="110"/>
      <c r="AG412" s="110"/>
      <c r="AH412" s="110"/>
      <c r="AI412" s="110"/>
      <c r="AJ412" s="110"/>
      <c r="AK412" s="110"/>
      <c r="AL412" s="110"/>
      <c r="AM412" s="110"/>
      <c r="AN412" s="110"/>
      <c r="AO412" s="110"/>
      <c r="AP412" s="110"/>
      <c r="AQ412" s="111"/>
      <c r="AR412" s="110"/>
      <c r="AS412" s="111"/>
      <c r="AT412" s="112"/>
      <c r="AU412" s="112"/>
      <c r="AV412" s="112"/>
      <c r="AW412" s="112"/>
      <c r="AX412" s="112"/>
      <c r="AY412" s="112"/>
      <c r="AZ412" s="112"/>
      <c r="BA412" s="112"/>
      <c r="BB412" s="112"/>
      <c r="BC412" s="112"/>
      <c r="BD412" s="113"/>
      <c r="BE412" s="114"/>
      <c r="BF412" s="115"/>
      <c r="BG412" s="115"/>
      <c r="BH412" s="116" t="str">
        <f t="shared" si="19"/>
        <v/>
      </c>
      <c r="BI412" s="116" t="str">
        <f t="shared" si="20"/>
        <v/>
      </c>
      <c r="BJ412" s="116" t="str">
        <f>IF(AND($A412&lt;&gt;"",$D412=반별조회!$C$5),COUNTIFS($A$3:$A412,"&lt;&gt;",$D$3:$D412,반별조회!$C$5),"")</f>
        <v/>
      </c>
    </row>
    <row r="413" spans="1:62" ht="15" customHeight="1">
      <c r="A413" s="102"/>
      <c r="B413" s="102"/>
      <c r="C413" s="102"/>
      <c r="D413" s="101"/>
      <c r="E413" s="105"/>
      <c r="F413" s="105" t="str">
        <f t="shared" ca="1" si="18"/>
        <v/>
      </c>
      <c r="G413" s="105"/>
      <c r="H413" s="105"/>
      <c r="I413" s="105"/>
      <c r="J413" s="105"/>
      <c r="K413" s="105"/>
      <c r="L413" s="105"/>
      <c r="M413" s="105"/>
      <c r="N413" s="105"/>
      <c r="O413" s="105"/>
      <c r="P413" s="106"/>
      <c r="Q413" s="106"/>
      <c r="R413" s="106"/>
      <c r="S413" s="107"/>
      <c r="T413" s="106"/>
      <c r="U413" s="106"/>
      <c r="V413" s="108"/>
      <c r="W413" s="108"/>
      <c r="X413" s="108"/>
      <c r="Y413" s="108"/>
      <c r="Z413" s="109"/>
      <c r="AA413" s="109"/>
      <c r="AB413" s="109"/>
      <c r="AC413" s="109"/>
      <c r="AD413" s="110"/>
      <c r="AE413" s="110"/>
      <c r="AF413" s="110"/>
      <c r="AG413" s="110"/>
      <c r="AH413" s="110"/>
      <c r="AI413" s="110"/>
      <c r="AJ413" s="110"/>
      <c r="AK413" s="110"/>
      <c r="AL413" s="110"/>
      <c r="AM413" s="110"/>
      <c r="AN413" s="110"/>
      <c r="AO413" s="110"/>
      <c r="AP413" s="110"/>
      <c r="AQ413" s="111"/>
      <c r="AR413" s="110"/>
      <c r="AS413" s="111"/>
      <c r="AT413" s="112"/>
      <c r="AU413" s="112"/>
      <c r="AV413" s="112"/>
      <c r="AW413" s="112"/>
      <c r="AX413" s="112"/>
      <c r="AY413" s="112"/>
      <c r="AZ413" s="112"/>
      <c r="BA413" s="112"/>
      <c r="BB413" s="112"/>
      <c r="BC413" s="112"/>
      <c r="BD413" s="113"/>
      <c r="BE413" s="114"/>
      <c r="BF413" s="115"/>
      <c r="BG413" s="115"/>
      <c r="BH413" s="116" t="str">
        <f t="shared" si="19"/>
        <v/>
      </c>
      <c r="BI413" s="116" t="str">
        <f t="shared" si="20"/>
        <v/>
      </c>
      <c r="BJ413" s="116" t="str">
        <f>IF(AND($A413&lt;&gt;"",$D413=반별조회!$C$5),COUNTIFS($A$3:$A413,"&lt;&gt;",$D$3:$D413,반별조회!$C$5),"")</f>
        <v/>
      </c>
    </row>
    <row r="414" spans="1:62" ht="15" customHeight="1">
      <c r="A414" s="102"/>
      <c r="B414" s="102"/>
      <c r="C414" s="102"/>
      <c r="D414" s="101"/>
      <c r="E414" s="105"/>
      <c r="F414" s="105" t="str">
        <f t="shared" ca="1" si="18"/>
        <v/>
      </c>
      <c r="G414" s="105"/>
      <c r="H414" s="105"/>
      <c r="I414" s="105"/>
      <c r="J414" s="105"/>
      <c r="K414" s="105"/>
      <c r="L414" s="105"/>
      <c r="M414" s="105"/>
      <c r="N414" s="105"/>
      <c r="O414" s="105"/>
      <c r="P414" s="106"/>
      <c r="Q414" s="106"/>
      <c r="R414" s="106"/>
      <c r="S414" s="107"/>
      <c r="T414" s="106"/>
      <c r="U414" s="106"/>
      <c r="V414" s="108"/>
      <c r="W414" s="108"/>
      <c r="X414" s="108"/>
      <c r="Y414" s="108"/>
      <c r="Z414" s="109"/>
      <c r="AA414" s="109"/>
      <c r="AB414" s="109"/>
      <c r="AC414" s="109"/>
      <c r="AD414" s="110"/>
      <c r="AE414" s="110"/>
      <c r="AF414" s="110"/>
      <c r="AG414" s="110"/>
      <c r="AH414" s="110"/>
      <c r="AI414" s="110"/>
      <c r="AJ414" s="110"/>
      <c r="AK414" s="110"/>
      <c r="AL414" s="110"/>
      <c r="AM414" s="110"/>
      <c r="AN414" s="110"/>
      <c r="AO414" s="110"/>
      <c r="AP414" s="110"/>
      <c r="AQ414" s="111"/>
      <c r="AR414" s="110"/>
      <c r="AS414" s="111"/>
      <c r="AT414" s="112"/>
      <c r="AU414" s="112"/>
      <c r="AV414" s="112"/>
      <c r="AW414" s="112"/>
      <c r="AX414" s="112"/>
      <c r="AY414" s="112"/>
      <c r="AZ414" s="112"/>
      <c r="BA414" s="112"/>
      <c r="BB414" s="112"/>
      <c r="BC414" s="112"/>
      <c r="BD414" s="113"/>
      <c r="BE414" s="114"/>
      <c r="BF414" s="115"/>
      <c r="BG414" s="115"/>
      <c r="BH414" s="116" t="str">
        <f t="shared" si="19"/>
        <v/>
      </c>
      <c r="BI414" s="116" t="str">
        <f t="shared" si="20"/>
        <v/>
      </c>
      <c r="BJ414" s="116" t="str">
        <f>IF(AND($A414&lt;&gt;"",$D414=반별조회!$C$5),COUNTIFS($A$3:$A414,"&lt;&gt;",$D$3:$D414,반별조회!$C$5),"")</f>
        <v/>
      </c>
    </row>
    <row r="415" spans="1:62" ht="15" customHeight="1">
      <c r="A415" s="102"/>
      <c r="B415" s="102"/>
      <c r="C415" s="102"/>
      <c r="D415" s="101"/>
      <c r="E415" s="105"/>
      <c r="F415" s="105" t="str">
        <f t="shared" ca="1" si="18"/>
        <v/>
      </c>
      <c r="G415" s="105"/>
      <c r="H415" s="105"/>
      <c r="I415" s="105"/>
      <c r="J415" s="105"/>
      <c r="K415" s="105"/>
      <c r="L415" s="105"/>
      <c r="M415" s="105"/>
      <c r="N415" s="105"/>
      <c r="O415" s="105"/>
      <c r="P415" s="106"/>
      <c r="Q415" s="106"/>
      <c r="R415" s="106"/>
      <c r="S415" s="107"/>
      <c r="T415" s="106"/>
      <c r="U415" s="106"/>
      <c r="V415" s="108"/>
      <c r="W415" s="108"/>
      <c r="X415" s="108"/>
      <c r="Y415" s="108"/>
      <c r="Z415" s="109"/>
      <c r="AA415" s="109"/>
      <c r="AB415" s="109"/>
      <c r="AC415" s="109"/>
      <c r="AD415" s="110"/>
      <c r="AE415" s="110"/>
      <c r="AF415" s="110"/>
      <c r="AG415" s="110"/>
      <c r="AH415" s="110"/>
      <c r="AI415" s="110"/>
      <c r="AJ415" s="110"/>
      <c r="AK415" s="110"/>
      <c r="AL415" s="110"/>
      <c r="AM415" s="110"/>
      <c r="AN415" s="110"/>
      <c r="AO415" s="110"/>
      <c r="AP415" s="110"/>
      <c r="AQ415" s="111"/>
      <c r="AR415" s="110"/>
      <c r="AS415" s="111"/>
      <c r="AT415" s="112"/>
      <c r="AU415" s="112"/>
      <c r="AV415" s="112"/>
      <c r="AW415" s="112"/>
      <c r="AX415" s="112"/>
      <c r="AY415" s="112"/>
      <c r="AZ415" s="112"/>
      <c r="BA415" s="112"/>
      <c r="BB415" s="112"/>
      <c r="BC415" s="112"/>
      <c r="BD415" s="113"/>
      <c r="BE415" s="114"/>
      <c r="BF415" s="115"/>
      <c r="BG415" s="115"/>
      <c r="BH415" s="116" t="str">
        <f t="shared" si="19"/>
        <v/>
      </c>
      <c r="BI415" s="116" t="str">
        <f t="shared" si="20"/>
        <v/>
      </c>
      <c r="BJ415" s="116" t="str">
        <f>IF(AND($A415&lt;&gt;"",$D415=반별조회!$C$5),COUNTIFS($A$3:$A415,"&lt;&gt;",$D$3:$D415,반별조회!$C$5),"")</f>
        <v/>
      </c>
    </row>
    <row r="416" spans="1:62" ht="15" customHeight="1">
      <c r="A416" s="102"/>
      <c r="B416" s="102"/>
      <c r="C416" s="102"/>
      <c r="D416" s="101"/>
      <c r="E416" s="105"/>
      <c r="F416" s="105" t="str">
        <f t="shared" ca="1" si="18"/>
        <v/>
      </c>
      <c r="G416" s="105"/>
      <c r="H416" s="105"/>
      <c r="I416" s="105"/>
      <c r="J416" s="105"/>
      <c r="K416" s="105"/>
      <c r="L416" s="105"/>
      <c r="M416" s="105"/>
      <c r="N416" s="105"/>
      <c r="O416" s="105"/>
      <c r="P416" s="106"/>
      <c r="Q416" s="106"/>
      <c r="R416" s="106"/>
      <c r="S416" s="107"/>
      <c r="T416" s="106"/>
      <c r="U416" s="106"/>
      <c r="V416" s="108"/>
      <c r="W416" s="108"/>
      <c r="X416" s="108"/>
      <c r="Y416" s="108"/>
      <c r="Z416" s="109"/>
      <c r="AA416" s="109"/>
      <c r="AB416" s="109"/>
      <c r="AC416" s="109"/>
      <c r="AD416" s="110"/>
      <c r="AE416" s="110"/>
      <c r="AF416" s="110"/>
      <c r="AG416" s="110"/>
      <c r="AH416" s="110"/>
      <c r="AI416" s="110"/>
      <c r="AJ416" s="110"/>
      <c r="AK416" s="110"/>
      <c r="AL416" s="110"/>
      <c r="AM416" s="110"/>
      <c r="AN416" s="110"/>
      <c r="AO416" s="110"/>
      <c r="AP416" s="110"/>
      <c r="AQ416" s="111"/>
      <c r="AR416" s="110"/>
      <c r="AS416" s="111"/>
      <c r="AT416" s="112"/>
      <c r="AU416" s="112"/>
      <c r="AV416" s="112"/>
      <c r="AW416" s="112"/>
      <c r="AX416" s="112"/>
      <c r="AY416" s="112"/>
      <c r="AZ416" s="112"/>
      <c r="BA416" s="112"/>
      <c r="BB416" s="112"/>
      <c r="BC416" s="112"/>
      <c r="BD416" s="113"/>
      <c r="BE416" s="114"/>
      <c r="BF416" s="115"/>
      <c r="BG416" s="115"/>
      <c r="BH416" s="116" t="str">
        <f t="shared" si="19"/>
        <v/>
      </c>
      <c r="BI416" s="116" t="str">
        <f t="shared" si="20"/>
        <v/>
      </c>
      <c r="BJ416" s="116" t="str">
        <f>IF(AND($A416&lt;&gt;"",$D416=반별조회!$C$5),COUNTIFS($A$3:$A416,"&lt;&gt;",$D$3:$D416,반별조회!$C$5),"")</f>
        <v/>
      </c>
    </row>
    <row r="417" spans="1:62" ht="15" customHeight="1">
      <c r="A417" s="102"/>
      <c r="B417" s="102"/>
      <c r="C417" s="102"/>
      <c r="D417" s="101"/>
      <c r="E417" s="105"/>
      <c r="F417" s="105" t="str">
        <f t="shared" ca="1" si="18"/>
        <v/>
      </c>
      <c r="G417" s="105"/>
      <c r="H417" s="105"/>
      <c r="I417" s="105"/>
      <c r="J417" s="105"/>
      <c r="K417" s="105"/>
      <c r="L417" s="105"/>
      <c r="M417" s="105"/>
      <c r="N417" s="105"/>
      <c r="O417" s="105"/>
      <c r="P417" s="106"/>
      <c r="Q417" s="106"/>
      <c r="R417" s="106"/>
      <c r="S417" s="107"/>
      <c r="T417" s="106"/>
      <c r="U417" s="106"/>
      <c r="V417" s="108"/>
      <c r="W417" s="108"/>
      <c r="X417" s="108"/>
      <c r="Y417" s="108"/>
      <c r="Z417" s="109"/>
      <c r="AA417" s="109"/>
      <c r="AB417" s="109"/>
      <c r="AC417" s="109"/>
      <c r="AD417" s="110"/>
      <c r="AE417" s="110"/>
      <c r="AF417" s="110"/>
      <c r="AG417" s="110"/>
      <c r="AH417" s="110"/>
      <c r="AI417" s="110"/>
      <c r="AJ417" s="110"/>
      <c r="AK417" s="110"/>
      <c r="AL417" s="110"/>
      <c r="AM417" s="110"/>
      <c r="AN417" s="110"/>
      <c r="AO417" s="110"/>
      <c r="AP417" s="110"/>
      <c r="AQ417" s="111"/>
      <c r="AR417" s="110"/>
      <c r="AS417" s="111"/>
      <c r="AT417" s="112"/>
      <c r="AU417" s="112"/>
      <c r="AV417" s="112"/>
      <c r="AW417" s="112"/>
      <c r="AX417" s="112"/>
      <c r="AY417" s="112"/>
      <c r="AZ417" s="112"/>
      <c r="BA417" s="112"/>
      <c r="BB417" s="112"/>
      <c r="BC417" s="112"/>
      <c r="BD417" s="113"/>
      <c r="BE417" s="114"/>
      <c r="BF417" s="115"/>
      <c r="BG417" s="115"/>
      <c r="BH417" s="116" t="str">
        <f t="shared" si="19"/>
        <v/>
      </c>
      <c r="BI417" s="116" t="str">
        <f t="shared" si="20"/>
        <v/>
      </c>
      <c r="BJ417" s="116" t="str">
        <f>IF(AND($A417&lt;&gt;"",$D417=반별조회!$C$5),COUNTIFS($A$3:$A417,"&lt;&gt;",$D$3:$D417,반별조회!$C$5),"")</f>
        <v/>
      </c>
    </row>
    <row r="418" spans="1:62" ht="15" customHeight="1">
      <c r="A418" s="102"/>
      <c r="B418" s="102"/>
      <c r="C418" s="102"/>
      <c r="D418" s="101"/>
      <c r="E418" s="105"/>
      <c r="F418" s="105" t="str">
        <f t="shared" ca="1" si="18"/>
        <v/>
      </c>
      <c r="G418" s="105"/>
      <c r="H418" s="105"/>
      <c r="I418" s="105"/>
      <c r="J418" s="105"/>
      <c r="K418" s="105"/>
      <c r="L418" s="105"/>
      <c r="M418" s="105"/>
      <c r="N418" s="105"/>
      <c r="O418" s="105"/>
      <c r="P418" s="106"/>
      <c r="Q418" s="106"/>
      <c r="R418" s="106"/>
      <c r="S418" s="107"/>
      <c r="T418" s="106"/>
      <c r="U418" s="106"/>
      <c r="V418" s="108"/>
      <c r="W418" s="108"/>
      <c r="X418" s="108"/>
      <c r="Y418" s="108"/>
      <c r="Z418" s="109"/>
      <c r="AA418" s="109"/>
      <c r="AB418" s="109"/>
      <c r="AC418" s="109"/>
      <c r="AD418" s="110"/>
      <c r="AE418" s="110"/>
      <c r="AF418" s="110"/>
      <c r="AG418" s="110"/>
      <c r="AH418" s="110"/>
      <c r="AI418" s="110"/>
      <c r="AJ418" s="110"/>
      <c r="AK418" s="110"/>
      <c r="AL418" s="110"/>
      <c r="AM418" s="110"/>
      <c r="AN418" s="110"/>
      <c r="AO418" s="110"/>
      <c r="AP418" s="110"/>
      <c r="AQ418" s="111"/>
      <c r="AR418" s="110"/>
      <c r="AS418" s="111"/>
      <c r="AT418" s="112"/>
      <c r="AU418" s="112"/>
      <c r="AV418" s="112"/>
      <c r="AW418" s="112"/>
      <c r="AX418" s="112"/>
      <c r="AY418" s="112"/>
      <c r="AZ418" s="112"/>
      <c r="BA418" s="112"/>
      <c r="BB418" s="112"/>
      <c r="BC418" s="112"/>
      <c r="BD418" s="113"/>
      <c r="BE418" s="114"/>
      <c r="BF418" s="115"/>
      <c r="BG418" s="115"/>
      <c r="BH418" s="116" t="str">
        <f t="shared" si="19"/>
        <v/>
      </c>
      <c r="BI418" s="116" t="str">
        <f t="shared" si="20"/>
        <v/>
      </c>
      <c r="BJ418" s="116" t="str">
        <f>IF(AND($A418&lt;&gt;"",$D418=반별조회!$C$5),COUNTIFS($A$3:$A418,"&lt;&gt;",$D$3:$D418,반별조회!$C$5),"")</f>
        <v/>
      </c>
    </row>
    <row r="419" spans="1:62" ht="15" customHeight="1">
      <c r="A419" s="102"/>
      <c r="B419" s="102"/>
      <c r="C419" s="102"/>
      <c r="D419" s="101"/>
      <c r="E419" s="105"/>
      <c r="F419" s="105" t="str">
        <f t="shared" ca="1" si="18"/>
        <v/>
      </c>
      <c r="G419" s="105"/>
      <c r="H419" s="105"/>
      <c r="I419" s="105"/>
      <c r="J419" s="105"/>
      <c r="K419" s="105"/>
      <c r="L419" s="105"/>
      <c r="M419" s="105"/>
      <c r="N419" s="105"/>
      <c r="O419" s="105"/>
      <c r="P419" s="106"/>
      <c r="Q419" s="106"/>
      <c r="R419" s="106"/>
      <c r="S419" s="107"/>
      <c r="T419" s="106"/>
      <c r="U419" s="106"/>
      <c r="V419" s="108"/>
      <c r="W419" s="108"/>
      <c r="X419" s="108"/>
      <c r="Y419" s="108"/>
      <c r="Z419" s="109"/>
      <c r="AA419" s="109"/>
      <c r="AB419" s="109"/>
      <c r="AC419" s="109"/>
      <c r="AD419" s="110"/>
      <c r="AE419" s="110"/>
      <c r="AF419" s="110"/>
      <c r="AG419" s="110"/>
      <c r="AH419" s="110"/>
      <c r="AI419" s="110"/>
      <c r="AJ419" s="110"/>
      <c r="AK419" s="110"/>
      <c r="AL419" s="110"/>
      <c r="AM419" s="110"/>
      <c r="AN419" s="110"/>
      <c r="AO419" s="110"/>
      <c r="AP419" s="110"/>
      <c r="AQ419" s="111"/>
      <c r="AR419" s="110"/>
      <c r="AS419" s="111"/>
      <c r="AT419" s="112"/>
      <c r="AU419" s="112"/>
      <c r="AV419" s="112"/>
      <c r="AW419" s="112"/>
      <c r="AX419" s="112"/>
      <c r="AY419" s="112"/>
      <c r="AZ419" s="112"/>
      <c r="BA419" s="112"/>
      <c r="BB419" s="112"/>
      <c r="BC419" s="112"/>
      <c r="BD419" s="113"/>
      <c r="BE419" s="114"/>
      <c r="BF419" s="115"/>
      <c r="BG419" s="115"/>
      <c r="BH419" s="116" t="str">
        <f t="shared" si="19"/>
        <v/>
      </c>
      <c r="BI419" s="116" t="str">
        <f t="shared" si="20"/>
        <v/>
      </c>
      <c r="BJ419" s="116" t="str">
        <f>IF(AND($A419&lt;&gt;"",$D419=반별조회!$C$5),COUNTIFS($A$3:$A419,"&lt;&gt;",$D$3:$D419,반별조회!$C$5),"")</f>
        <v/>
      </c>
    </row>
    <row r="420" spans="1:62" ht="15" customHeight="1">
      <c r="A420" s="102"/>
      <c r="B420" s="102"/>
      <c r="C420" s="102"/>
      <c r="D420" s="101"/>
      <c r="E420" s="105"/>
      <c r="F420" s="105" t="str">
        <f t="shared" ca="1" si="18"/>
        <v/>
      </c>
      <c r="G420" s="105"/>
      <c r="H420" s="105"/>
      <c r="I420" s="105"/>
      <c r="J420" s="105"/>
      <c r="K420" s="105"/>
      <c r="L420" s="105"/>
      <c r="M420" s="105"/>
      <c r="N420" s="105"/>
      <c r="O420" s="105"/>
      <c r="P420" s="106"/>
      <c r="Q420" s="106"/>
      <c r="R420" s="106"/>
      <c r="S420" s="107"/>
      <c r="T420" s="106"/>
      <c r="U420" s="106"/>
      <c r="V420" s="108"/>
      <c r="W420" s="108"/>
      <c r="X420" s="108"/>
      <c r="Y420" s="108"/>
      <c r="Z420" s="109"/>
      <c r="AA420" s="109"/>
      <c r="AB420" s="109"/>
      <c r="AC420" s="109"/>
      <c r="AD420" s="110"/>
      <c r="AE420" s="110"/>
      <c r="AF420" s="110"/>
      <c r="AG420" s="110"/>
      <c r="AH420" s="110"/>
      <c r="AI420" s="110"/>
      <c r="AJ420" s="110"/>
      <c r="AK420" s="110"/>
      <c r="AL420" s="110"/>
      <c r="AM420" s="110"/>
      <c r="AN420" s="110"/>
      <c r="AO420" s="110"/>
      <c r="AP420" s="110"/>
      <c r="AQ420" s="111"/>
      <c r="AR420" s="110"/>
      <c r="AS420" s="111"/>
      <c r="AT420" s="112"/>
      <c r="AU420" s="112"/>
      <c r="AV420" s="112"/>
      <c r="AW420" s="112"/>
      <c r="AX420" s="112"/>
      <c r="AY420" s="112"/>
      <c r="AZ420" s="112"/>
      <c r="BA420" s="112"/>
      <c r="BB420" s="112"/>
      <c r="BC420" s="112"/>
      <c r="BD420" s="113"/>
      <c r="BE420" s="114"/>
      <c r="BF420" s="115"/>
      <c r="BG420" s="115"/>
      <c r="BH420" s="116" t="str">
        <f t="shared" si="19"/>
        <v/>
      </c>
      <c r="BI420" s="116" t="str">
        <f t="shared" si="20"/>
        <v/>
      </c>
      <c r="BJ420" s="116" t="str">
        <f>IF(AND($A420&lt;&gt;"",$D420=반별조회!$C$5),COUNTIFS($A$3:$A420,"&lt;&gt;",$D$3:$D420,반별조회!$C$5),"")</f>
        <v/>
      </c>
    </row>
    <row r="421" spans="1:62" ht="15" customHeight="1">
      <c r="A421" s="102"/>
      <c r="B421" s="102"/>
      <c r="C421" s="102"/>
      <c r="D421" s="101"/>
      <c r="E421" s="105"/>
      <c r="F421" s="105" t="str">
        <f t="shared" ca="1" si="18"/>
        <v/>
      </c>
      <c r="G421" s="105"/>
      <c r="H421" s="105"/>
      <c r="I421" s="105"/>
      <c r="J421" s="105"/>
      <c r="K421" s="105"/>
      <c r="L421" s="105"/>
      <c r="M421" s="105"/>
      <c r="N421" s="105"/>
      <c r="O421" s="105"/>
      <c r="P421" s="106"/>
      <c r="Q421" s="106"/>
      <c r="R421" s="106"/>
      <c r="S421" s="107"/>
      <c r="T421" s="106"/>
      <c r="U421" s="106"/>
      <c r="V421" s="108"/>
      <c r="W421" s="108"/>
      <c r="X421" s="108"/>
      <c r="Y421" s="108"/>
      <c r="Z421" s="109"/>
      <c r="AA421" s="109"/>
      <c r="AB421" s="109"/>
      <c r="AC421" s="109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1"/>
      <c r="AR421" s="110"/>
      <c r="AS421" s="111"/>
      <c r="AT421" s="112"/>
      <c r="AU421" s="112"/>
      <c r="AV421" s="112"/>
      <c r="AW421" s="112"/>
      <c r="AX421" s="112"/>
      <c r="AY421" s="112"/>
      <c r="AZ421" s="112"/>
      <c r="BA421" s="112"/>
      <c r="BB421" s="112"/>
      <c r="BC421" s="112"/>
      <c r="BD421" s="113"/>
      <c r="BE421" s="114"/>
      <c r="BF421" s="115"/>
      <c r="BG421" s="115"/>
      <c r="BH421" s="116" t="str">
        <f t="shared" si="19"/>
        <v/>
      </c>
      <c r="BI421" s="116" t="str">
        <f t="shared" si="20"/>
        <v/>
      </c>
      <c r="BJ421" s="116" t="str">
        <f>IF(AND($A421&lt;&gt;"",$D421=반별조회!$C$5),COUNTIFS($A$3:$A421,"&lt;&gt;",$D$3:$D421,반별조회!$C$5),"")</f>
        <v/>
      </c>
    </row>
    <row r="422" spans="1:62" ht="15" customHeight="1">
      <c r="A422" s="102"/>
      <c r="B422" s="102"/>
      <c r="C422" s="102"/>
      <c r="D422" s="101"/>
      <c r="E422" s="105"/>
      <c r="F422" s="105" t="str">
        <f t="shared" ca="1" si="18"/>
        <v/>
      </c>
      <c r="G422" s="105"/>
      <c r="H422" s="105"/>
      <c r="I422" s="105"/>
      <c r="J422" s="105"/>
      <c r="K422" s="105"/>
      <c r="L422" s="105"/>
      <c r="M422" s="105"/>
      <c r="N422" s="105"/>
      <c r="O422" s="105"/>
      <c r="P422" s="106"/>
      <c r="Q422" s="106"/>
      <c r="R422" s="106"/>
      <c r="S422" s="107"/>
      <c r="T422" s="106"/>
      <c r="U422" s="106"/>
      <c r="V422" s="108"/>
      <c r="W422" s="108"/>
      <c r="X422" s="108"/>
      <c r="Y422" s="108"/>
      <c r="Z422" s="109"/>
      <c r="AA422" s="109"/>
      <c r="AB422" s="109"/>
      <c r="AC422" s="109"/>
      <c r="AD422" s="110"/>
      <c r="AE422" s="110"/>
      <c r="AF422" s="110"/>
      <c r="AG422" s="110"/>
      <c r="AH422" s="110"/>
      <c r="AI422" s="110"/>
      <c r="AJ422" s="110"/>
      <c r="AK422" s="110"/>
      <c r="AL422" s="110"/>
      <c r="AM422" s="110"/>
      <c r="AN422" s="110"/>
      <c r="AO422" s="110"/>
      <c r="AP422" s="110"/>
      <c r="AQ422" s="111"/>
      <c r="AR422" s="110"/>
      <c r="AS422" s="111"/>
      <c r="AT422" s="112"/>
      <c r="AU422" s="112"/>
      <c r="AV422" s="112"/>
      <c r="AW422" s="112"/>
      <c r="AX422" s="112"/>
      <c r="AY422" s="112"/>
      <c r="AZ422" s="112"/>
      <c r="BA422" s="112"/>
      <c r="BB422" s="112"/>
      <c r="BC422" s="112"/>
      <c r="BD422" s="113"/>
      <c r="BE422" s="114"/>
      <c r="BF422" s="115"/>
      <c r="BG422" s="115"/>
      <c r="BH422" s="116" t="str">
        <f t="shared" si="19"/>
        <v/>
      </c>
      <c r="BI422" s="116" t="str">
        <f t="shared" si="20"/>
        <v/>
      </c>
      <c r="BJ422" s="116" t="str">
        <f>IF(AND($A422&lt;&gt;"",$D422=반별조회!$C$5),COUNTIFS($A$3:$A422,"&lt;&gt;",$D$3:$D422,반별조회!$C$5),"")</f>
        <v/>
      </c>
    </row>
    <row r="423" spans="1:62" ht="15" customHeight="1">
      <c r="A423" s="102"/>
      <c r="B423" s="102"/>
      <c r="C423" s="102"/>
      <c r="D423" s="101"/>
      <c r="E423" s="105"/>
      <c r="F423" s="105" t="str">
        <f t="shared" ca="1" si="18"/>
        <v/>
      </c>
      <c r="G423" s="105"/>
      <c r="H423" s="105"/>
      <c r="I423" s="105"/>
      <c r="J423" s="105"/>
      <c r="K423" s="105"/>
      <c r="L423" s="105"/>
      <c r="M423" s="105"/>
      <c r="N423" s="105"/>
      <c r="O423" s="105"/>
      <c r="P423" s="106"/>
      <c r="Q423" s="106"/>
      <c r="R423" s="106"/>
      <c r="S423" s="107"/>
      <c r="T423" s="106"/>
      <c r="U423" s="106"/>
      <c r="V423" s="108"/>
      <c r="W423" s="108"/>
      <c r="X423" s="108"/>
      <c r="Y423" s="108"/>
      <c r="Z423" s="109"/>
      <c r="AA423" s="109"/>
      <c r="AB423" s="109"/>
      <c r="AC423" s="109"/>
      <c r="AD423" s="110"/>
      <c r="AE423" s="110"/>
      <c r="AF423" s="110"/>
      <c r="AG423" s="110"/>
      <c r="AH423" s="110"/>
      <c r="AI423" s="110"/>
      <c r="AJ423" s="110"/>
      <c r="AK423" s="110"/>
      <c r="AL423" s="110"/>
      <c r="AM423" s="110"/>
      <c r="AN423" s="110"/>
      <c r="AO423" s="110"/>
      <c r="AP423" s="110"/>
      <c r="AQ423" s="111"/>
      <c r="AR423" s="110"/>
      <c r="AS423" s="111"/>
      <c r="AT423" s="112"/>
      <c r="AU423" s="112"/>
      <c r="AV423" s="112"/>
      <c r="AW423" s="112"/>
      <c r="AX423" s="112"/>
      <c r="AY423" s="112"/>
      <c r="AZ423" s="112"/>
      <c r="BA423" s="112"/>
      <c r="BB423" s="112"/>
      <c r="BC423" s="112"/>
      <c r="BD423" s="113"/>
      <c r="BE423" s="114"/>
      <c r="BF423" s="115"/>
      <c r="BG423" s="115"/>
      <c r="BH423" s="116" t="str">
        <f t="shared" si="19"/>
        <v/>
      </c>
      <c r="BI423" s="116" t="str">
        <f t="shared" si="20"/>
        <v/>
      </c>
      <c r="BJ423" s="116" t="str">
        <f>IF(AND($A423&lt;&gt;"",$D423=반별조회!$C$5),COUNTIFS($A$3:$A423,"&lt;&gt;",$D$3:$D423,반별조회!$C$5),"")</f>
        <v/>
      </c>
    </row>
    <row r="424" spans="1:62" ht="15" customHeight="1">
      <c r="A424" s="102"/>
      <c r="B424" s="102"/>
      <c r="C424" s="102"/>
      <c r="D424" s="101"/>
      <c r="E424" s="105"/>
      <c r="F424" s="105" t="str">
        <f t="shared" ca="1" si="18"/>
        <v/>
      </c>
      <c r="G424" s="105"/>
      <c r="H424" s="105"/>
      <c r="I424" s="105"/>
      <c r="J424" s="105"/>
      <c r="K424" s="105"/>
      <c r="L424" s="105"/>
      <c r="M424" s="105"/>
      <c r="N424" s="105"/>
      <c r="O424" s="105"/>
      <c r="P424" s="106"/>
      <c r="Q424" s="106"/>
      <c r="R424" s="106"/>
      <c r="S424" s="107"/>
      <c r="T424" s="106"/>
      <c r="U424" s="106"/>
      <c r="V424" s="108"/>
      <c r="W424" s="108"/>
      <c r="X424" s="108"/>
      <c r="Y424" s="108"/>
      <c r="Z424" s="109"/>
      <c r="AA424" s="109"/>
      <c r="AB424" s="109"/>
      <c r="AC424" s="109"/>
      <c r="AD424" s="110"/>
      <c r="AE424" s="110"/>
      <c r="AF424" s="110"/>
      <c r="AG424" s="110"/>
      <c r="AH424" s="110"/>
      <c r="AI424" s="110"/>
      <c r="AJ424" s="110"/>
      <c r="AK424" s="110"/>
      <c r="AL424" s="110"/>
      <c r="AM424" s="110"/>
      <c r="AN424" s="110"/>
      <c r="AO424" s="110"/>
      <c r="AP424" s="110"/>
      <c r="AQ424" s="111"/>
      <c r="AR424" s="110"/>
      <c r="AS424" s="111"/>
      <c r="AT424" s="112"/>
      <c r="AU424" s="112"/>
      <c r="AV424" s="112"/>
      <c r="AW424" s="112"/>
      <c r="AX424" s="112"/>
      <c r="AY424" s="112"/>
      <c r="AZ424" s="112"/>
      <c r="BA424" s="112"/>
      <c r="BB424" s="112"/>
      <c r="BC424" s="112"/>
      <c r="BD424" s="113"/>
      <c r="BE424" s="114"/>
      <c r="BF424" s="115"/>
      <c r="BG424" s="115"/>
      <c r="BH424" s="116" t="str">
        <f t="shared" si="19"/>
        <v/>
      </c>
      <c r="BI424" s="116" t="str">
        <f t="shared" si="20"/>
        <v/>
      </c>
      <c r="BJ424" s="116" t="str">
        <f>IF(AND($A424&lt;&gt;"",$D424=반별조회!$C$5),COUNTIFS($A$3:$A424,"&lt;&gt;",$D$3:$D424,반별조회!$C$5),"")</f>
        <v/>
      </c>
    </row>
    <row r="425" spans="1:62" ht="15" customHeight="1">
      <c r="A425" s="102"/>
      <c r="B425" s="102"/>
      <c r="C425" s="102"/>
      <c r="D425" s="101"/>
      <c r="E425" s="105"/>
      <c r="F425" s="105" t="str">
        <f t="shared" ca="1" si="18"/>
        <v/>
      </c>
      <c r="G425" s="105"/>
      <c r="H425" s="105"/>
      <c r="I425" s="105"/>
      <c r="J425" s="105"/>
      <c r="K425" s="105"/>
      <c r="L425" s="105"/>
      <c r="M425" s="105"/>
      <c r="N425" s="105"/>
      <c r="O425" s="105"/>
      <c r="P425" s="106"/>
      <c r="Q425" s="106"/>
      <c r="R425" s="106"/>
      <c r="S425" s="107"/>
      <c r="T425" s="106"/>
      <c r="U425" s="106"/>
      <c r="V425" s="108"/>
      <c r="W425" s="108"/>
      <c r="X425" s="108"/>
      <c r="Y425" s="108"/>
      <c r="Z425" s="109"/>
      <c r="AA425" s="109"/>
      <c r="AB425" s="109"/>
      <c r="AC425" s="109"/>
      <c r="AD425" s="110"/>
      <c r="AE425" s="110"/>
      <c r="AF425" s="110"/>
      <c r="AG425" s="110"/>
      <c r="AH425" s="110"/>
      <c r="AI425" s="110"/>
      <c r="AJ425" s="110"/>
      <c r="AK425" s="110"/>
      <c r="AL425" s="110"/>
      <c r="AM425" s="110"/>
      <c r="AN425" s="110"/>
      <c r="AO425" s="110"/>
      <c r="AP425" s="110"/>
      <c r="AQ425" s="111"/>
      <c r="AR425" s="110"/>
      <c r="AS425" s="111"/>
      <c r="AT425" s="112"/>
      <c r="AU425" s="112"/>
      <c r="AV425" s="112"/>
      <c r="AW425" s="112"/>
      <c r="AX425" s="112"/>
      <c r="AY425" s="112"/>
      <c r="AZ425" s="112"/>
      <c r="BA425" s="112"/>
      <c r="BB425" s="112"/>
      <c r="BC425" s="112"/>
      <c r="BD425" s="113"/>
      <c r="BE425" s="114"/>
      <c r="BF425" s="115"/>
      <c r="BG425" s="115"/>
      <c r="BH425" s="116" t="str">
        <f t="shared" si="19"/>
        <v/>
      </c>
      <c r="BI425" s="116" t="str">
        <f t="shared" si="20"/>
        <v/>
      </c>
      <c r="BJ425" s="116" t="str">
        <f>IF(AND($A425&lt;&gt;"",$D425=반별조회!$C$5),COUNTIFS($A$3:$A425,"&lt;&gt;",$D$3:$D425,반별조회!$C$5),"")</f>
        <v/>
      </c>
    </row>
    <row r="426" spans="1:62" ht="15" customHeight="1">
      <c r="A426" s="102"/>
      <c r="B426" s="102"/>
      <c r="C426" s="102"/>
      <c r="D426" s="101"/>
      <c r="E426" s="105"/>
      <c r="F426" s="105" t="str">
        <f t="shared" ca="1" si="18"/>
        <v/>
      </c>
      <c r="G426" s="105"/>
      <c r="H426" s="105"/>
      <c r="I426" s="105"/>
      <c r="J426" s="105"/>
      <c r="K426" s="105"/>
      <c r="L426" s="105"/>
      <c r="M426" s="105"/>
      <c r="N426" s="105"/>
      <c r="O426" s="105"/>
      <c r="P426" s="106"/>
      <c r="Q426" s="106"/>
      <c r="R426" s="106"/>
      <c r="S426" s="107"/>
      <c r="T426" s="106"/>
      <c r="U426" s="106"/>
      <c r="V426" s="108"/>
      <c r="W426" s="108"/>
      <c r="X426" s="108"/>
      <c r="Y426" s="108"/>
      <c r="Z426" s="109"/>
      <c r="AA426" s="109"/>
      <c r="AB426" s="109"/>
      <c r="AC426" s="109"/>
      <c r="AD426" s="110"/>
      <c r="AE426" s="110"/>
      <c r="AF426" s="110"/>
      <c r="AG426" s="110"/>
      <c r="AH426" s="110"/>
      <c r="AI426" s="110"/>
      <c r="AJ426" s="110"/>
      <c r="AK426" s="110"/>
      <c r="AL426" s="110"/>
      <c r="AM426" s="110"/>
      <c r="AN426" s="110"/>
      <c r="AO426" s="110"/>
      <c r="AP426" s="110"/>
      <c r="AQ426" s="111"/>
      <c r="AR426" s="110"/>
      <c r="AS426" s="111"/>
      <c r="AT426" s="112"/>
      <c r="AU426" s="112"/>
      <c r="AV426" s="112"/>
      <c r="AW426" s="112"/>
      <c r="AX426" s="112"/>
      <c r="AY426" s="112"/>
      <c r="AZ426" s="112"/>
      <c r="BA426" s="112"/>
      <c r="BB426" s="112"/>
      <c r="BC426" s="112"/>
      <c r="BD426" s="113"/>
      <c r="BE426" s="114"/>
      <c r="BF426" s="115"/>
      <c r="BG426" s="115"/>
      <c r="BH426" s="116" t="str">
        <f t="shared" si="19"/>
        <v/>
      </c>
      <c r="BI426" s="116" t="str">
        <f t="shared" si="20"/>
        <v/>
      </c>
      <c r="BJ426" s="116" t="str">
        <f>IF(AND($A426&lt;&gt;"",$D426=반별조회!$C$5),COUNTIFS($A$3:$A426,"&lt;&gt;",$D$3:$D426,반별조회!$C$5),"")</f>
        <v/>
      </c>
    </row>
    <row r="427" spans="1:62" ht="15" customHeight="1">
      <c r="A427" s="102"/>
      <c r="B427" s="102"/>
      <c r="C427" s="102"/>
      <c r="D427" s="101"/>
      <c r="E427" s="105"/>
      <c r="F427" s="105" t="str">
        <f t="shared" ca="1" si="18"/>
        <v/>
      </c>
      <c r="G427" s="105"/>
      <c r="H427" s="105"/>
      <c r="I427" s="105"/>
      <c r="J427" s="105"/>
      <c r="K427" s="105"/>
      <c r="L427" s="105"/>
      <c r="M427" s="105"/>
      <c r="N427" s="105"/>
      <c r="O427" s="105"/>
      <c r="P427" s="106"/>
      <c r="Q427" s="106"/>
      <c r="R427" s="106"/>
      <c r="S427" s="107"/>
      <c r="T427" s="106"/>
      <c r="U427" s="106"/>
      <c r="V427" s="108"/>
      <c r="W427" s="108"/>
      <c r="X427" s="108"/>
      <c r="Y427" s="108"/>
      <c r="Z427" s="109"/>
      <c r="AA427" s="109"/>
      <c r="AB427" s="109"/>
      <c r="AC427" s="109"/>
      <c r="AD427" s="110"/>
      <c r="AE427" s="110"/>
      <c r="AF427" s="110"/>
      <c r="AG427" s="110"/>
      <c r="AH427" s="110"/>
      <c r="AI427" s="110"/>
      <c r="AJ427" s="110"/>
      <c r="AK427" s="110"/>
      <c r="AL427" s="110"/>
      <c r="AM427" s="110"/>
      <c r="AN427" s="110"/>
      <c r="AO427" s="110"/>
      <c r="AP427" s="110"/>
      <c r="AQ427" s="111"/>
      <c r="AR427" s="110"/>
      <c r="AS427" s="111"/>
      <c r="AT427" s="112"/>
      <c r="AU427" s="112"/>
      <c r="AV427" s="112"/>
      <c r="AW427" s="112"/>
      <c r="AX427" s="112"/>
      <c r="AY427" s="112"/>
      <c r="AZ427" s="112"/>
      <c r="BA427" s="112"/>
      <c r="BB427" s="112"/>
      <c r="BC427" s="112"/>
      <c r="BD427" s="113"/>
      <c r="BE427" s="114"/>
      <c r="BF427" s="115"/>
      <c r="BG427" s="115"/>
      <c r="BH427" s="116" t="str">
        <f t="shared" si="19"/>
        <v/>
      </c>
      <c r="BI427" s="116" t="str">
        <f t="shared" si="20"/>
        <v/>
      </c>
      <c r="BJ427" s="116" t="str">
        <f>IF(AND($A427&lt;&gt;"",$D427=반별조회!$C$5),COUNTIFS($A$3:$A427,"&lt;&gt;",$D$3:$D427,반별조회!$C$5),"")</f>
        <v/>
      </c>
    </row>
    <row r="428" spans="1:62" ht="15" customHeight="1">
      <c r="A428" s="102"/>
      <c r="B428" s="102"/>
      <c r="C428" s="102"/>
      <c r="D428" s="101"/>
      <c r="E428" s="105"/>
      <c r="F428" s="105" t="str">
        <f t="shared" ca="1" si="18"/>
        <v/>
      </c>
      <c r="G428" s="105"/>
      <c r="H428" s="105"/>
      <c r="I428" s="105"/>
      <c r="J428" s="105"/>
      <c r="K428" s="105"/>
      <c r="L428" s="105"/>
      <c r="M428" s="105"/>
      <c r="N428" s="105"/>
      <c r="O428" s="105"/>
      <c r="P428" s="106"/>
      <c r="Q428" s="106"/>
      <c r="R428" s="106"/>
      <c r="S428" s="107"/>
      <c r="T428" s="106"/>
      <c r="U428" s="106"/>
      <c r="V428" s="108"/>
      <c r="W428" s="108"/>
      <c r="X428" s="108"/>
      <c r="Y428" s="108"/>
      <c r="Z428" s="109"/>
      <c r="AA428" s="109"/>
      <c r="AB428" s="109"/>
      <c r="AC428" s="109"/>
      <c r="AD428" s="110"/>
      <c r="AE428" s="110"/>
      <c r="AF428" s="110"/>
      <c r="AG428" s="110"/>
      <c r="AH428" s="110"/>
      <c r="AI428" s="110"/>
      <c r="AJ428" s="110"/>
      <c r="AK428" s="110"/>
      <c r="AL428" s="110"/>
      <c r="AM428" s="110"/>
      <c r="AN428" s="110"/>
      <c r="AO428" s="110"/>
      <c r="AP428" s="110"/>
      <c r="AQ428" s="111"/>
      <c r="AR428" s="110"/>
      <c r="AS428" s="111"/>
      <c r="AT428" s="112"/>
      <c r="AU428" s="112"/>
      <c r="AV428" s="112"/>
      <c r="AW428" s="112"/>
      <c r="AX428" s="112"/>
      <c r="AY428" s="112"/>
      <c r="AZ428" s="112"/>
      <c r="BA428" s="112"/>
      <c r="BB428" s="112"/>
      <c r="BC428" s="112"/>
      <c r="BD428" s="113"/>
      <c r="BE428" s="114"/>
      <c r="BF428" s="115"/>
      <c r="BG428" s="115"/>
      <c r="BH428" s="116" t="str">
        <f t="shared" si="19"/>
        <v/>
      </c>
      <c r="BI428" s="116" t="str">
        <f t="shared" si="20"/>
        <v/>
      </c>
      <c r="BJ428" s="116" t="str">
        <f>IF(AND($A428&lt;&gt;"",$D428=반별조회!$C$5),COUNTIFS($A$3:$A428,"&lt;&gt;",$D$3:$D428,반별조회!$C$5),"")</f>
        <v/>
      </c>
    </row>
    <row r="429" spans="1:62" ht="15" customHeight="1">
      <c r="A429" s="102"/>
      <c r="B429" s="102"/>
      <c r="C429" s="102"/>
      <c r="D429" s="101"/>
      <c r="E429" s="105"/>
      <c r="F429" s="105" t="str">
        <f t="shared" ca="1" si="18"/>
        <v/>
      </c>
      <c r="G429" s="105"/>
      <c r="H429" s="105"/>
      <c r="I429" s="105"/>
      <c r="J429" s="105"/>
      <c r="K429" s="105"/>
      <c r="L429" s="105"/>
      <c r="M429" s="105"/>
      <c r="N429" s="105"/>
      <c r="O429" s="105"/>
      <c r="P429" s="106"/>
      <c r="Q429" s="106"/>
      <c r="R429" s="106"/>
      <c r="S429" s="107"/>
      <c r="T429" s="106"/>
      <c r="U429" s="106"/>
      <c r="V429" s="108"/>
      <c r="W429" s="108"/>
      <c r="X429" s="108"/>
      <c r="Y429" s="108"/>
      <c r="Z429" s="109"/>
      <c r="AA429" s="109"/>
      <c r="AB429" s="109"/>
      <c r="AC429" s="109"/>
      <c r="AD429" s="110"/>
      <c r="AE429" s="110"/>
      <c r="AF429" s="110"/>
      <c r="AG429" s="110"/>
      <c r="AH429" s="110"/>
      <c r="AI429" s="110"/>
      <c r="AJ429" s="110"/>
      <c r="AK429" s="110"/>
      <c r="AL429" s="110"/>
      <c r="AM429" s="110"/>
      <c r="AN429" s="110"/>
      <c r="AO429" s="110"/>
      <c r="AP429" s="110"/>
      <c r="AQ429" s="111"/>
      <c r="AR429" s="110"/>
      <c r="AS429" s="111"/>
      <c r="AT429" s="112"/>
      <c r="AU429" s="112"/>
      <c r="AV429" s="112"/>
      <c r="AW429" s="112"/>
      <c r="AX429" s="112"/>
      <c r="AY429" s="112"/>
      <c r="AZ429" s="112"/>
      <c r="BA429" s="112"/>
      <c r="BB429" s="112"/>
      <c r="BC429" s="112"/>
      <c r="BD429" s="113"/>
      <c r="BE429" s="114"/>
      <c r="BF429" s="115"/>
      <c r="BG429" s="115"/>
      <c r="BH429" s="116" t="str">
        <f t="shared" si="19"/>
        <v/>
      </c>
      <c r="BI429" s="116" t="str">
        <f t="shared" si="20"/>
        <v/>
      </c>
      <c r="BJ429" s="116" t="str">
        <f>IF(AND($A429&lt;&gt;"",$D429=반별조회!$C$5),COUNTIFS($A$3:$A429,"&lt;&gt;",$D$3:$D429,반별조회!$C$5),"")</f>
        <v/>
      </c>
    </row>
    <row r="430" spans="1:62" ht="15" customHeight="1">
      <c r="A430" s="102"/>
      <c r="B430" s="102"/>
      <c r="C430" s="102"/>
      <c r="D430" s="101"/>
      <c r="E430" s="105"/>
      <c r="F430" s="105" t="str">
        <f t="shared" ca="1" si="18"/>
        <v/>
      </c>
      <c r="G430" s="105"/>
      <c r="H430" s="105"/>
      <c r="I430" s="105"/>
      <c r="J430" s="105"/>
      <c r="K430" s="105"/>
      <c r="L430" s="105"/>
      <c r="M430" s="105"/>
      <c r="N430" s="105"/>
      <c r="O430" s="105"/>
      <c r="P430" s="106"/>
      <c r="Q430" s="106"/>
      <c r="R430" s="106"/>
      <c r="S430" s="107"/>
      <c r="T430" s="106"/>
      <c r="U430" s="106"/>
      <c r="V430" s="108"/>
      <c r="W430" s="108"/>
      <c r="X430" s="108"/>
      <c r="Y430" s="108"/>
      <c r="Z430" s="109"/>
      <c r="AA430" s="109"/>
      <c r="AB430" s="109"/>
      <c r="AC430" s="109"/>
      <c r="AD430" s="110"/>
      <c r="AE430" s="110"/>
      <c r="AF430" s="110"/>
      <c r="AG430" s="110"/>
      <c r="AH430" s="110"/>
      <c r="AI430" s="110"/>
      <c r="AJ430" s="110"/>
      <c r="AK430" s="110"/>
      <c r="AL430" s="110"/>
      <c r="AM430" s="110"/>
      <c r="AN430" s="110"/>
      <c r="AO430" s="110"/>
      <c r="AP430" s="110"/>
      <c r="AQ430" s="111"/>
      <c r="AR430" s="110"/>
      <c r="AS430" s="111"/>
      <c r="AT430" s="112"/>
      <c r="AU430" s="112"/>
      <c r="AV430" s="112"/>
      <c r="AW430" s="112"/>
      <c r="AX430" s="112"/>
      <c r="AY430" s="112"/>
      <c r="AZ430" s="112"/>
      <c r="BA430" s="112"/>
      <c r="BB430" s="112"/>
      <c r="BC430" s="112"/>
      <c r="BD430" s="113"/>
      <c r="BE430" s="114"/>
      <c r="BF430" s="115"/>
      <c r="BG430" s="115"/>
      <c r="BH430" s="116" t="str">
        <f t="shared" si="19"/>
        <v/>
      </c>
      <c r="BI430" s="116" t="str">
        <f t="shared" si="20"/>
        <v/>
      </c>
      <c r="BJ430" s="116" t="str">
        <f>IF(AND($A430&lt;&gt;"",$D430=반별조회!$C$5),COUNTIFS($A$3:$A430,"&lt;&gt;",$D$3:$D430,반별조회!$C$5),"")</f>
        <v/>
      </c>
    </row>
    <row r="431" spans="1:62" ht="15" customHeight="1">
      <c r="A431" s="102"/>
      <c r="B431" s="102"/>
      <c r="C431" s="102"/>
      <c r="D431" s="101"/>
      <c r="E431" s="105"/>
      <c r="F431" s="105" t="str">
        <f t="shared" ca="1" si="18"/>
        <v/>
      </c>
      <c r="G431" s="105"/>
      <c r="H431" s="105"/>
      <c r="I431" s="105"/>
      <c r="J431" s="105"/>
      <c r="K431" s="105"/>
      <c r="L431" s="105"/>
      <c r="M431" s="105"/>
      <c r="N431" s="105"/>
      <c r="O431" s="105"/>
      <c r="P431" s="106"/>
      <c r="Q431" s="106"/>
      <c r="R431" s="106"/>
      <c r="S431" s="107"/>
      <c r="T431" s="106"/>
      <c r="U431" s="106"/>
      <c r="V431" s="108"/>
      <c r="W431" s="108"/>
      <c r="X431" s="108"/>
      <c r="Y431" s="108"/>
      <c r="Z431" s="109"/>
      <c r="AA431" s="109"/>
      <c r="AB431" s="109"/>
      <c r="AC431" s="109"/>
      <c r="AD431" s="110"/>
      <c r="AE431" s="110"/>
      <c r="AF431" s="110"/>
      <c r="AG431" s="110"/>
      <c r="AH431" s="110"/>
      <c r="AI431" s="110"/>
      <c r="AJ431" s="110"/>
      <c r="AK431" s="110"/>
      <c r="AL431" s="110"/>
      <c r="AM431" s="110"/>
      <c r="AN431" s="110"/>
      <c r="AO431" s="110"/>
      <c r="AP431" s="110"/>
      <c r="AQ431" s="111"/>
      <c r="AR431" s="110"/>
      <c r="AS431" s="111"/>
      <c r="AT431" s="112"/>
      <c r="AU431" s="112"/>
      <c r="AV431" s="112"/>
      <c r="AW431" s="112"/>
      <c r="AX431" s="112"/>
      <c r="AY431" s="112"/>
      <c r="AZ431" s="112"/>
      <c r="BA431" s="112"/>
      <c r="BB431" s="112"/>
      <c r="BC431" s="112"/>
      <c r="BD431" s="113"/>
      <c r="BE431" s="114"/>
      <c r="BF431" s="115"/>
      <c r="BG431" s="115"/>
      <c r="BH431" s="116" t="str">
        <f t="shared" si="19"/>
        <v/>
      </c>
      <c r="BI431" s="116" t="str">
        <f t="shared" si="20"/>
        <v/>
      </c>
      <c r="BJ431" s="116" t="str">
        <f>IF(AND($A431&lt;&gt;"",$D431=반별조회!$C$5),COUNTIFS($A$3:$A431,"&lt;&gt;",$D$3:$D431,반별조회!$C$5),"")</f>
        <v/>
      </c>
    </row>
    <row r="432" spans="1:62" ht="15" customHeight="1">
      <c r="A432" s="102"/>
      <c r="B432" s="102"/>
      <c r="C432" s="102"/>
      <c r="D432" s="101"/>
      <c r="E432" s="105"/>
      <c r="F432" s="105" t="str">
        <f t="shared" ca="1" si="18"/>
        <v/>
      </c>
      <c r="G432" s="105"/>
      <c r="H432" s="105"/>
      <c r="I432" s="105"/>
      <c r="J432" s="105"/>
      <c r="K432" s="105"/>
      <c r="L432" s="105"/>
      <c r="M432" s="105"/>
      <c r="N432" s="105"/>
      <c r="O432" s="105"/>
      <c r="P432" s="106"/>
      <c r="Q432" s="106"/>
      <c r="R432" s="106"/>
      <c r="S432" s="107"/>
      <c r="T432" s="106"/>
      <c r="U432" s="106"/>
      <c r="V432" s="108"/>
      <c r="W432" s="108"/>
      <c r="X432" s="108"/>
      <c r="Y432" s="108"/>
      <c r="Z432" s="109"/>
      <c r="AA432" s="109"/>
      <c r="AB432" s="109"/>
      <c r="AC432" s="109"/>
      <c r="AD432" s="110"/>
      <c r="AE432" s="110"/>
      <c r="AF432" s="110"/>
      <c r="AG432" s="110"/>
      <c r="AH432" s="110"/>
      <c r="AI432" s="110"/>
      <c r="AJ432" s="110"/>
      <c r="AK432" s="110"/>
      <c r="AL432" s="110"/>
      <c r="AM432" s="110"/>
      <c r="AN432" s="110"/>
      <c r="AO432" s="110"/>
      <c r="AP432" s="110"/>
      <c r="AQ432" s="111"/>
      <c r="AR432" s="110"/>
      <c r="AS432" s="111"/>
      <c r="AT432" s="112"/>
      <c r="AU432" s="112"/>
      <c r="AV432" s="112"/>
      <c r="AW432" s="112"/>
      <c r="AX432" s="112"/>
      <c r="AY432" s="112"/>
      <c r="AZ432" s="112"/>
      <c r="BA432" s="112"/>
      <c r="BB432" s="112"/>
      <c r="BC432" s="112"/>
      <c r="BD432" s="113"/>
      <c r="BE432" s="114"/>
      <c r="BF432" s="115"/>
      <c r="BG432" s="115"/>
      <c r="BH432" s="116" t="str">
        <f t="shared" si="19"/>
        <v/>
      </c>
      <c r="BI432" s="116" t="str">
        <f t="shared" si="20"/>
        <v/>
      </c>
      <c r="BJ432" s="116" t="str">
        <f>IF(AND($A432&lt;&gt;"",$D432=반별조회!$C$5),COUNTIFS($A$3:$A432,"&lt;&gt;",$D$3:$D432,반별조회!$C$5),"")</f>
        <v/>
      </c>
    </row>
    <row r="433" spans="1:62" ht="15" customHeight="1">
      <c r="A433" s="102"/>
      <c r="B433" s="102"/>
      <c r="C433" s="102"/>
      <c r="D433" s="101"/>
      <c r="E433" s="105"/>
      <c r="F433" s="105" t="str">
        <f t="shared" ca="1" si="18"/>
        <v/>
      </c>
      <c r="G433" s="105"/>
      <c r="H433" s="105"/>
      <c r="I433" s="105"/>
      <c r="J433" s="105"/>
      <c r="K433" s="105"/>
      <c r="L433" s="105"/>
      <c r="M433" s="105"/>
      <c r="N433" s="105"/>
      <c r="O433" s="105"/>
      <c r="P433" s="106"/>
      <c r="Q433" s="106"/>
      <c r="R433" s="106"/>
      <c r="S433" s="107"/>
      <c r="T433" s="106"/>
      <c r="U433" s="106"/>
      <c r="V433" s="108"/>
      <c r="W433" s="108"/>
      <c r="X433" s="108"/>
      <c r="Y433" s="108"/>
      <c r="Z433" s="109"/>
      <c r="AA433" s="109"/>
      <c r="AB433" s="109"/>
      <c r="AC433" s="109"/>
      <c r="AD433" s="110"/>
      <c r="AE433" s="110"/>
      <c r="AF433" s="110"/>
      <c r="AG433" s="110"/>
      <c r="AH433" s="110"/>
      <c r="AI433" s="110"/>
      <c r="AJ433" s="110"/>
      <c r="AK433" s="110"/>
      <c r="AL433" s="110"/>
      <c r="AM433" s="110"/>
      <c r="AN433" s="110"/>
      <c r="AO433" s="110"/>
      <c r="AP433" s="110"/>
      <c r="AQ433" s="111"/>
      <c r="AR433" s="110"/>
      <c r="AS433" s="111"/>
      <c r="AT433" s="112"/>
      <c r="AU433" s="112"/>
      <c r="AV433" s="112"/>
      <c r="AW433" s="112"/>
      <c r="AX433" s="112"/>
      <c r="AY433" s="112"/>
      <c r="AZ433" s="112"/>
      <c r="BA433" s="112"/>
      <c r="BB433" s="112"/>
      <c r="BC433" s="112"/>
      <c r="BD433" s="113"/>
      <c r="BE433" s="114"/>
      <c r="BF433" s="115"/>
      <c r="BG433" s="115"/>
      <c r="BH433" s="116" t="str">
        <f t="shared" si="19"/>
        <v/>
      </c>
      <c r="BI433" s="116" t="str">
        <f t="shared" si="20"/>
        <v/>
      </c>
      <c r="BJ433" s="116" t="str">
        <f>IF(AND($A433&lt;&gt;"",$D433=반별조회!$C$5),COUNTIFS($A$3:$A433,"&lt;&gt;",$D$3:$D433,반별조회!$C$5),"")</f>
        <v/>
      </c>
    </row>
    <row r="434" spans="1:62" ht="15" customHeight="1">
      <c r="A434" s="102"/>
      <c r="B434" s="102"/>
      <c r="C434" s="102"/>
      <c r="D434" s="101"/>
      <c r="E434" s="105"/>
      <c r="F434" s="105" t="str">
        <f t="shared" ca="1" si="18"/>
        <v/>
      </c>
      <c r="G434" s="105"/>
      <c r="H434" s="105"/>
      <c r="I434" s="105"/>
      <c r="J434" s="105"/>
      <c r="K434" s="105"/>
      <c r="L434" s="105"/>
      <c r="M434" s="105"/>
      <c r="N434" s="105"/>
      <c r="O434" s="105"/>
      <c r="P434" s="106"/>
      <c r="Q434" s="106"/>
      <c r="R434" s="106"/>
      <c r="S434" s="107"/>
      <c r="T434" s="106"/>
      <c r="U434" s="106"/>
      <c r="V434" s="108"/>
      <c r="W434" s="108"/>
      <c r="X434" s="108"/>
      <c r="Y434" s="108"/>
      <c r="Z434" s="109"/>
      <c r="AA434" s="109"/>
      <c r="AB434" s="109"/>
      <c r="AC434" s="109"/>
      <c r="AD434" s="110"/>
      <c r="AE434" s="110"/>
      <c r="AF434" s="110"/>
      <c r="AG434" s="110"/>
      <c r="AH434" s="110"/>
      <c r="AI434" s="110"/>
      <c r="AJ434" s="110"/>
      <c r="AK434" s="110"/>
      <c r="AL434" s="110"/>
      <c r="AM434" s="110"/>
      <c r="AN434" s="110"/>
      <c r="AO434" s="110"/>
      <c r="AP434" s="110"/>
      <c r="AQ434" s="111"/>
      <c r="AR434" s="110"/>
      <c r="AS434" s="111"/>
      <c r="AT434" s="112"/>
      <c r="AU434" s="112"/>
      <c r="AV434" s="112"/>
      <c r="AW434" s="112"/>
      <c r="AX434" s="112"/>
      <c r="AY434" s="112"/>
      <c r="AZ434" s="112"/>
      <c r="BA434" s="112"/>
      <c r="BB434" s="112"/>
      <c r="BC434" s="112"/>
      <c r="BD434" s="113"/>
      <c r="BE434" s="114"/>
      <c r="BF434" s="115"/>
      <c r="BG434" s="115"/>
      <c r="BH434" s="116" t="str">
        <f t="shared" si="19"/>
        <v/>
      </c>
      <c r="BI434" s="116" t="str">
        <f t="shared" si="20"/>
        <v/>
      </c>
      <c r="BJ434" s="116" t="str">
        <f>IF(AND($A434&lt;&gt;"",$D434=반별조회!$C$5),COUNTIFS($A$3:$A434,"&lt;&gt;",$D$3:$D434,반별조회!$C$5),"")</f>
        <v/>
      </c>
    </row>
    <row r="435" spans="1:62" ht="15" customHeight="1">
      <c r="A435" s="102"/>
      <c r="B435" s="102"/>
      <c r="C435" s="102"/>
      <c r="D435" s="101"/>
      <c r="E435" s="105"/>
      <c r="F435" s="105" t="str">
        <f t="shared" ca="1" si="18"/>
        <v/>
      </c>
      <c r="G435" s="105"/>
      <c r="H435" s="105"/>
      <c r="I435" s="105"/>
      <c r="J435" s="105"/>
      <c r="K435" s="105"/>
      <c r="L435" s="105"/>
      <c r="M435" s="105"/>
      <c r="N435" s="105"/>
      <c r="O435" s="105"/>
      <c r="P435" s="106"/>
      <c r="Q435" s="106"/>
      <c r="R435" s="106"/>
      <c r="S435" s="107"/>
      <c r="T435" s="106"/>
      <c r="U435" s="106"/>
      <c r="V435" s="108"/>
      <c r="W435" s="108"/>
      <c r="X435" s="108"/>
      <c r="Y435" s="108"/>
      <c r="Z435" s="109"/>
      <c r="AA435" s="109"/>
      <c r="AB435" s="109"/>
      <c r="AC435" s="109"/>
      <c r="AD435" s="110"/>
      <c r="AE435" s="110"/>
      <c r="AF435" s="110"/>
      <c r="AG435" s="110"/>
      <c r="AH435" s="110"/>
      <c r="AI435" s="110"/>
      <c r="AJ435" s="110"/>
      <c r="AK435" s="110"/>
      <c r="AL435" s="110"/>
      <c r="AM435" s="110"/>
      <c r="AN435" s="110"/>
      <c r="AO435" s="110"/>
      <c r="AP435" s="110"/>
      <c r="AQ435" s="111"/>
      <c r="AR435" s="110"/>
      <c r="AS435" s="111"/>
      <c r="AT435" s="112"/>
      <c r="AU435" s="112"/>
      <c r="AV435" s="112"/>
      <c r="AW435" s="112"/>
      <c r="AX435" s="112"/>
      <c r="AY435" s="112"/>
      <c r="AZ435" s="112"/>
      <c r="BA435" s="112"/>
      <c r="BB435" s="112"/>
      <c r="BC435" s="112"/>
      <c r="BD435" s="113"/>
      <c r="BE435" s="114"/>
      <c r="BF435" s="115"/>
      <c r="BG435" s="115"/>
      <c r="BH435" s="116" t="str">
        <f t="shared" si="19"/>
        <v/>
      </c>
      <c r="BI435" s="116" t="str">
        <f t="shared" si="20"/>
        <v/>
      </c>
      <c r="BJ435" s="116" t="str">
        <f>IF(AND($A435&lt;&gt;"",$D435=반별조회!$C$5),COUNTIFS($A$3:$A435,"&lt;&gt;",$D$3:$D435,반별조회!$C$5),"")</f>
        <v/>
      </c>
    </row>
    <row r="436" spans="1:62" ht="15" customHeight="1">
      <c r="A436" s="102"/>
      <c r="B436" s="102"/>
      <c r="C436" s="102"/>
      <c r="D436" s="101"/>
      <c r="E436" s="105"/>
      <c r="F436" s="105" t="str">
        <f t="shared" ca="1" si="18"/>
        <v/>
      </c>
      <c r="G436" s="105"/>
      <c r="H436" s="105"/>
      <c r="I436" s="105"/>
      <c r="J436" s="105"/>
      <c r="K436" s="105"/>
      <c r="L436" s="105"/>
      <c r="M436" s="105"/>
      <c r="N436" s="105"/>
      <c r="O436" s="105"/>
      <c r="P436" s="106"/>
      <c r="Q436" s="106"/>
      <c r="R436" s="106"/>
      <c r="S436" s="107"/>
      <c r="T436" s="106"/>
      <c r="U436" s="106"/>
      <c r="V436" s="108"/>
      <c r="W436" s="108"/>
      <c r="X436" s="108"/>
      <c r="Y436" s="108"/>
      <c r="Z436" s="109"/>
      <c r="AA436" s="109"/>
      <c r="AB436" s="109"/>
      <c r="AC436" s="109"/>
      <c r="AD436" s="110"/>
      <c r="AE436" s="110"/>
      <c r="AF436" s="110"/>
      <c r="AG436" s="110"/>
      <c r="AH436" s="110"/>
      <c r="AI436" s="110"/>
      <c r="AJ436" s="110"/>
      <c r="AK436" s="110"/>
      <c r="AL436" s="110"/>
      <c r="AM436" s="110"/>
      <c r="AN436" s="110"/>
      <c r="AO436" s="110"/>
      <c r="AP436" s="110"/>
      <c r="AQ436" s="111"/>
      <c r="AR436" s="110"/>
      <c r="AS436" s="111"/>
      <c r="AT436" s="112"/>
      <c r="AU436" s="112"/>
      <c r="AV436" s="112"/>
      <c r="AW436" s="112"/>
      <c r="AX436" s="112"/>
      <c r="AY436" s="112"/>
      <c r="AZ436" s="112"/>
      <c r="BA436" s="112"/>
      <c r="BB436" s="112"/>
      <c r="BC436" s="112"/>
      <c r="BD436" s="113"/>
      <c r="BE436" s="114"/>
      <c r="BF436" s="115"/>
      <c r="BG436" s="115"/>
      <c r="BH436" s="116" t="str">
        <f t="shared" si="19"/>
        <v/>
      </c>
      <c r="BI436" s="116" t="str">
        <f t="shared" si="20"/>
        <v/>
      </c>
      <c r="BJ436" s="116" t="str">
        <f>IF(AND($A436&lt;&gt;"",$D436=반별조회!$C$5),COUNTIFS($A$3:$A436,"&lt;&gt;",$D$3:$D436,반별조회!$C$5),"")</f>
        <v/>
      </c>
    </row>
    <row r="437" spans="1:62" ht="15" customHeight="1">
      <c r="A437" s="102"/>
      <c r="B437" s="102"/>
      <c r="C437" s="102"/>
      <c r="D437" s="101"/>
      <c r="E437" s="105"/>
      <c r="F437" s="105" t="str">
        <f t="shared" ca="1" si="18"/>
        <v/>
      </c>
      <c r="G437" s="105"/>
      <c r="H437" s="105"/>
      <c r="I437" s="105"/>
      <c r="J437" s="105"/>
      <c r="K437" s="105"/>
      <c r="L437" s="105"/>
      <c r="M437" s="105"/>
      <c r="N437" s="105"/>
      <c r="O437" s="105"/>
      <c r="P437" s="106"/>
      <c r="Q437" s="106"/>
      <c r="R437" s="106"/>
      <c r="S437" s="107"/>
      <c r="T437" s="106"/>
      <c r="U437" s="106"/>
      <c r="V437" s="108"/>
      <c r="W437" s="108"/>
      <c r="X437" s="108"/>
      <c r="Y437" s="108"/>
      <c r="Z437" s="109"/>
      <c r="AA437" s="109"/>
      <c r="AB437" s="109"/>
      <c r="AC437" s="109"/>
      <c r="AD437" s="110"/>
      <c r="AE437" s="110"/>
      <c r="AF437" s="110"/>
      <c r="AG437" s="110"/>
      <c r="AH437" s="110"/>
      <c r="AI437" s="110"/>
      <c r="AJ437" s="110"/>
      <c r="AK437" s="110"/>
      <c r="AL437" s="110"/>
      <c r="AM437" s="110"/>
      <c r="AN437" s="110"/>
      <c r="AO437" s="110"/>
      <c r="AP437" s="110"/>
      <c r="AQ437" s="111"/>
      <c r="AR437" s="110"/>
      <c r="AS437" s="111"/>
      <c r="AT437" s="112"/>
      <c r="AU437" s="112"/>
      <c r="AV437" s="112"/>
      <c r="AW437" s="112"/>
      <c r="AX437" s="112"/>
      <c r="AY437" s="112"/>
      <c r="AZ437" s="112"/>
      <c r="BA437" s="112"/>
      <c r="BB437" s="112"/>
      <c r="BC437" s="112"/>
      <c r="BD437" s="113"/>
      <c r="BE437" s="114"/>
      <c r="BF437" s="115"/>
      <c r="BG437" s="115"/>
      <c r="BH437" s="116" t="str">
        <f t="shared" si="19"/>
        <v/>
      </c>
      <c r="BI437" s="116" t="str">
        <f t="shared" si="20"/>
        <v/>
      </c>
      <c r="BJ437" s="116" t="str">
        <f>IF(AND($A437&lt;&gt;"",$D437=반별조회!$C$5),COUNTIFS($A$3:$A437,"&lt;&gt;",$D$3:$D437,반별조회!$C$5),"")</f>
        <v/>
      </c>
    </row>
    <row r="438" spans="1:62" ht="15" customHeight="1">
      <c r="A438" s="102"/>
      <c r="B438" s="102"/>
      <c r="C438" s="102"/>
      <c r="D438" s="101"/>
      <c r="E438" s="105"/>
      <c r="F438" s="105" t="str">
        <f t="shared" ca="1" si="18"/>
        <v/>
      </c>
      <c r="G438" s="105"/>
      <c r="H438" s="105"/>
      <c r="I438" s="105"/>
      <c r="J438" s="105"/>
      <c r="K438" s="105"/>
      <c r="L438" s="105"/>
      <c r="M438" s="105"/>
      <c r="N438" s="105"/>
      <c r="O438" s="105"/>
      <c r="P438" s="106"/>
      <c r="Q438" s="106"/>
      <c r="R438" s="106"/>
      <c r="S438" s="107"/>
      <c r="T438" s="106"/>
      <c r="U438" s="106"/>
      <c r="V438" s="108"/>
      <c r="W438" s="108"/>
      <c r="X438" s="108"/>
      <c r="Y438" s="108"/>
      <c r="Z438" s="109"/>
      <c r="AA438" s="109"/>
      <c r="AB438" s="109"/>
      <c r="AC438" s="109"/>
      <c r="AD438" s="110"/>
      <c r="AE438" s="110"/>
      <c r="AF438" s="110"/>
      <c r="AG438" s="110"/>
      <c r="AH438" s="110"/>
      <c r="AI438" s="110"/>
      <c r="AJ438" s="110"/>
      <c r="AK438" s="110"/>
      <c r="AL438" s="110"/>
      <c r="AM438" s="110"/>
      <c r="AN438" s="110"/>
      <c r="AO438" s="110"/>
      <c r="AP438" s="110"/>
      <c r="AQ438" s="111"/>
      <c r="AR438" s="110"/>
      <c r="AS438" s="111"/>
      <c r="AT438" s="112"/>
      <c r="AU438" s="112"/>
      <c r="AV438" s="112"/>
      <c r="AW438" s="112"/>
      <c r="AX438" s="112"/>
      <c r="AY438" s="112"/>
      <c r="AZ438" s="112"/>
      <c r="BA438" s="112"/>
      <c r="BB438" s="112"/>
      <c r="BC438" s="112"/>
      <c r="BD438" s="113"/>
      <c r="BE438" s="114"/>
      <c r="BF438" s="115"/>
      <c r="BG438" s="115"/>
      <c r="BH438" s="116" t="str">
        <f t="shared" si="19"/>
        <v/>
      </c>
      <c r="BI438" s="116" t="str">
        <f t="shared" si="20"/>
        <v/>
      </c>
      <c r="BJ438" s="116" t="str">
        <f>IF(AND($A438&lt;&gt;"",$D438=반별조회!$C$5),COUNTIFS($A$3:$A438,"&lt;&gt;",$D$3:$D438,반별조회!$C$5),"")</f>
        <v/>
      </c>
    </row>
    <row r="439" spans="1:62" ht="15" customHeight="1">
      <c r="A439" s="102"/>
      <c r="B439" s="102"/>
      <c r="C439" s="102"/>
      <c r="D439" s="101"/>
      <c r="E439" s="105"/>
      <c r="F439" s="105" t="str">
        <f t="shared" ca="1" si="18"/>
        <v/>
      </c>
      <c r="G439" s="105"/>
      <c r="H439" s="105"/>
      <c r="I439" s="105"/>
      <c r="J439" s="105"/>
      <c r="K439" s="105"/>
      <c r="L439" s="105"/>
      <c r="M439" s="105"/>
      <c r="N439" s="105"/>
      <c r="O439" s="105"/>
      <c r="P439" s="106"/>
      <c r="Q439" s="106"/>
      <c r="R439" s="106"/>
      <c r="S439" s="107"/>
      <c r="T439" s="106"/>
      <c r="U439" s="106"/>
      <c r="V439" s="108"/>
      <c r="W439" s="108"/>
      <c r="X439" s="108"/>
      <c r="Y439" s="108"/>
      <c r="Z439" s="109"/>
      <c r="AA439" s="109"/>
      <c r="AB439" s="109"/>
      <c r="AC439" s="109"/>
      <c r="AD439" s="110"/>
      <c r="AE439" s="110"/>
      <c r="AF439" s="110"/>
      <c r="AG439" s="110"/>
      <c r="AH439" s="110"/>
      <c r="AI439" s="110"/>
      <c r="AJ439" s="110"/>
      <c r="AK439" s="110"/>
      <c r="AL439" s="110"/>
      <c r="AM439" s="110"/>
      <c r="AN439" s="110"/>
      <c r="AO439" s="110"/>
      <c r="AP439" s="110"/>
      <c r="AQ439" s="111"/>
      <c r="AR439" s="110"/>
      <c r="AS439" s="111"/>
      <c r="AT439" s="112"/>
      <c r="AU439" s="112"/>
      <c r="AV439" s="112"/>
      <c r="AW439" s="112"/>
      <c r="AX439" s="112"/>
      <c r="AY439" s="112"/>
      <c r="AZ439" s="112"/>
      <c r="BA439" s="112"/>
      <c r="BB439" s="112"/>
      <c r="BC439" s="112"/>
      <c r="BD439" s="113"/>
      <c r="BE439" s="114"/>
      <c r="BF439" s="115"/>
      <c r="BG439" s="115"/>
      <c r="BH439" s="116" t="str">
        <f t="shared" si="19"/>
        <v/>
      </c>
      <c r="BI439" s="116" t="str">
        <f t="shared" si="20"/>
        <v/>
      </c>
      <c r="BJ439" s="116" t="str">
        <f>IF(AND($A439&lt;&gt;"",$D439=반별조회!$C$5),COUNTIFS($A$3:$A439,"&lt;&gt;",$D$3:$D439,반별조회!$C$5),"")</f>
        <v/>
      </c>
    </row>
    <row r="440" spans="1:62" ht="15" customHeight="1">
      <c r="A440" s="102"/>
      <c r="B440" s="102"/>
      <c r="C440" s="102"/>
      <c r="D440" s="101"/>
      <c r="E440" s="105"/>
      <c r="F440" s="105" t="str">
        <f t="shared" ca="1" si="18"/>
        <v/>
      </c>
      <c r="G440" s="105"/>
      <c r="H440" s="105"/>
      <c r="I440" s="105"/>
      <c r="J440" s="105"/>
      <c r="K440" s="105"/>
      <c r="L440" s="105"/>
      <c r="M440" s="105"/>
      <c r="N440" s="105"/>
      <c r="O440" s="105"/>
      <c r="P440" s="106"/>
      <c r="Q440" s="106"/>
      <c r="R440" s="106"/>
      <c r="S440" s="107"/>
      <c r="T440" s="106"/>
      <c r="U440" s="106"/>
      <c r="V440" s="108"/>
      <c r="W440" s="108"/>
      <c r="X440" s="108"/>
      <c r="Y440" s="108"/>
      <c r="Z440" s="109"/>
      <c r="AA440" s="109"/>
      <c r="AB440" s="109"/>
      <c r="AC440" s="109"/>
      <c r="AD440" s="110"/>
      <c r="AE440" s="110"/>
      <c r="AF440" s="110"/>
      <c r="AG440" s="110"/>
      <c r="AH440" s="110"/>
      <c r="AI440" s="110"/>
      <c r="AJ440" s="110"/>
      <c r="AK440" s="110"/>
      <c r="AL440" s="110"/>
      <c r="AM440" s="110"/>
      <c r="AN440" s="110"/>
      <c r="AO440" s="110"/>
      <c r="AP440" s="110"/>
      <c r="AQ440" s="111"/>
      <c r="AR440" s="110"/>
      <c r="AS440" s="111"/>
      <c r="AT440" s="112"/>
      <c r="AU440" s="112"/>
      <c r="AV440" s="112"/>
      <c r="AW440" s="112"/>
      <c r="AX440" s="112"/>
      <c r="AY440" s="112"/>
      <c r="AZ440" s="112"/>
      <c r="BA440" s="112"/>
      <c r="BB440" s="112"/>
      <c r="BC440" s="112"/>
      <c r="BD440" s="113"/>
      <c r="BE440" s="114"/>
      <c r="BF440" s="115"/>
      <c r="BG440" s="115"/>
      <c r="BH440" s="116" t="str">
        <f t="shared" si="19"/>
        <v/>
      </c>
      <c r="BI440" s="116" t="str">
        <f t="shared" si="20"/>
        <v/>
      </c>
      <c r="BJ440" s="116" t="str">
        <f>IF(AND($A440&lt;&gt;"",$D440=반별조회!$C$5),COUNTIFS($A$3:$A440,"&lt;&gt;",$D$3:$D440,반별조회!$C$5),"")</f>
        <v/>
      </c>
    </row>
    <row r="441" spans="1:62" ht="15" customHeight="1">
      <c r="A441" s="102"/>
      <c r="B441" s="102"/>
      <c r="C441" s="102"/>
      <c r="D441" s="101"/>
      <c r="E441" s="105"/>
      <c r="F441" s="105" t="str">
        <f t="shared" ca="1" si="18"/>
        <v/>
      </c>
      <c r="G441" s="105"/>
      <c r="H441" s="105"/>
      <c r="I441" s="105"/>
      <c r="J441" s="105"/>
      <c r="K441" s="105"/>
      <c r="L441" s="105"/>
      <c r="M441" s="105"/>
      <c r="N441" s="105"/>
      <c r="O441" s="105"/>
      <c r="P441" s="106"/>
      <c r="Q441" s="106"/>
      <c r="R441" s="106"/>
      <c r="S441" s="107"/>
      <c r="T441" s="106"/>
      <c r="U441" s="106"/>
      <c r="V441" s="108"/>
      <c r="W441" s="108"/>
      <c r="X441" s="108"/>
      <c r="Y441" s="108"/>
      <c r="Z441" s="109"/>
      <c r="AA441" s="109"/>
      <c r="AB441" s="109"/>
      <c r="AC441" s="109"/>
      <c r="AD441" s="110"/>
      <c r="AE441" s="110"/>
      <c r="AF441" s="110"/>
      <c r="AG441" s="110"/>
      <c r="AH441" s="110"/>
      <c r="AI441" s="110"/>
      <c r="AJ441" s="110"/>
      <c r="AK441" s="110"/>
      <c r="AL441" s="110"/>
      <c r="AM441" s="110"/>
      <c r="AN441" s="110"/>
      <c r="AO441" s="110"/>
      <c r="AP441" s="110"/>
      <c r="AQ441" s="111"/>
      <c r="AR441" s="110"/>
      <c r="AS441" s="111"/>
      <c r="AT441" s="112"/>
      <c r="AU441" s="112"/>
      <c r="AV441" s="112"/>
      <c r="AW441" s="112"/>
      <c r="AX441" s="112"/>
      <c r="AY441" s="112"/>
      <c r="AZ441" s="112"/>
      <c r="BA441" s="112"/>
      <c r="BB441" s="112"/>
      <c r="BC441" s="112"/>
      <c r="BD441" s="113"/>
      <c r="BE441" s="114"/>
      <c r="BF441" s="115"/>
      <c r="BG441" s="115"/>
      <c r="BH441" s="116" t="str">
        <f t="shared" si="19"/>
        <v/>
      </c>
      <c r="BI441" s="116" t="str">
        <f t="shared" si="20"/>
        <v/>
      </c>
      <c r="BJ441" s="116" t="str">
        <f>IF(AND($A441&lt;&gt;"",$D441=반별조회!$C$5),COUNTIFS($A$3:$A441,"&lt;&gt;",$D$3:$D441,반별조회!$C$5),"")</f>
        <v/>
      </c>
    </row>
    <row r="442" spans="1:62" ht="15" customHeight="1">
      <c r="A442" s="102"/>
      <c r="B442" s="102"/>
      <c r="C442" s="102"/>
      <c r="D442" s="101"/>
      <c r="E442" s="105"/>
      <c r="F442" s="105" t="str">
        <f t="shared" ca="1" si="18"/>
        <v/>
      </c>
      <c r="G442" s="105"/>
      <c r="H442" s="105"/>
      <c r="I442" s="105"/>
      <c r="J442" s="105"/>
      <c r="K442" s="105"/>
      <c r="L442" s="105"/>
      <c r="M442" s="105"/>
      <c r="N442" s="105"/>
      <c r="O442" s="105"/>
      <c r="P442" s="106"/>
      <c r="Q442" s="106"/>
      <c r="R442" s="106"/>
      <c r="S442" s="107"/>
      <c r="T442" s="106"/>
      <c r="U442" s="106"/>
      <c r="V442" s="108"/>
      <c r="W442" s="108"/>
      <c r="X442" s="108"/>
      <c r="Y442" s="108"/>
      <c r="Z442" s="109"/>
      <c r="AA442" s="109"/>
      <c r="AB442" s="109"/>
      <c r="AC442" s="109"/>
      <c r="AD442" s="110"/>
      <c r="AE442" s="110"/>
      <c r="AF442" s="110"/>
      <c r="AG442" s="110"/>
      <c r="AH442" s="110"/>
      <c r="AI442" s="110"/>
      <c r="AJ442" s="110"/>
      <c r="AK442" s="110"/>
      <c r="AL442" s="110"/>
      <c r="AM442" s="110"/>
      <c r="AN442" s="110"/>
      <c r="AO442" s="110"/>
      <c r="AP442" s="110"/>
      <c r="AQ442" s="111"/>
      <c r="AR442" s="110"/>
      <c r="AS442" s="111"/>
      <c r="AT442" s="112"/>
      <c r="AU442" s="112"/>
      <c r="AV442" s="112"/>
      <c r="AW442" s="112"/>
      <c r="AX442" s="112"/>
      <c r="AY442" s="112"/>
      <c r="AZ442" s="112"/>
      <c r="BA442" s="112"/>
      <c r="BB442" s="112"/>
      <c r="BC442" s="112"/>
      <c r="BD442" s="113"/>
      <c r="BE442" s="114"/>
      <c r="BF442" s="115"/>
      <c r="BG442" s="115"/>
      <c r="BH442" s="116" t="str">
        <f t="shared" si="19"/>
        <v/>
      </c>
      <c r="BI442" s="116" t="str">
        <f t="shared" si="20"/>
        <v/>
      </c>
      <c r="BJ442" s="116" t="str">
        <f>IF(AND($A442&lt;&gt;"",$D442=반별조회!$C$5),COUNTIFS($A$3:$A442,"&lt;&gt;",$D$3:$D442,반별조회!$C$5),"")</f>
        <v/>
      </c>
    </row>
    <row r="443" spans="1:62" ht="15" customHeight="1">
      <c r="A443" s="102"/>
      <c r="B443" s="102"/>
      <c r="C443" s="102"/>
      <c r="D443" s="101"/>
      <c r="E443" s="105"/>
      <c r="F443" s="105" t="str">
        <f t="shared" ca="1" si="18"/>
        <v/>
      </c>
      <c r="G443" s="105"/>
      <c r="H443" s="105"/>
      <c r="I443" s="105"/>
      <c r="J443" s="105"/>
      <c r="K443" s="105"/>
      <c r="L443" s="105"/>
      <c r="M443" s="105"/>
      <c r="N443" s="105"/>
      <c r="O443" s="105"/>
      <c r="P443" s="106"/>
      <c r="Q443" s="106"/>
      <c r="R443" s="106"/>
      <c r="S443" s="107"/>
      <c r="T443" s="106"/>
      <c r="U443" s="106"/>
      <c r="V443" s="108"/>
      <c r="W443" s="108"/>
      <c r="X443" s="108"/>
      <c r="Y443" s="108"/>
      <c r="Z443" s="109"/>
      <c r="AA443" s="109"/>
      <c r="AB443" s="109"/>
      <c r="AC443" s="109"/>
      <c r="AD443" s="110"/>
      <c r="AE443" s="110"/>
      <c r="AF443" s="110"/>
      <c r="AG443" s="110"/>
      <c r="AH443" s="110"/>
      <c r="AI443" s="110"/>
      <c r="AJ443" s="110"/>
      <c r="AK443" s="110"/>
      <c r="AL443" s="110"/>
      <c r="AM443" s="110"/>
      <c r="AN443" s="110"/>
      <c r="AO443" s="110"/>
      <c r="AP443" s="110"/>
      <c r="AQ443" s="111"/>
      <c r="AR443" s="110"/>
      <c r="AS443" s="111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3"/>
      <c r="BE443" s="114"/>
      <c r="BF443" s="115"/>
      <c r="BG443" s="115"/>
      <c r="BH443" s="116" t="str">
        <f t="shared" si="19"/>
        <v/>
      </c>
      <c r="BI443" s="116" t="str">
        <f t="shared" si="20"/>
        <v/>
      </c>
      <c r="BJ443" s="116" t="str">
        <f>IF(AND($A443&lt;&gt;"",$D443=반별조회!$C$5),COUNTIFS($A$3:$A443,"&lt;&gt;",$D$3:$D443,반별조회!$C$5),"")</f>
        <v/>
      </c>
    </row>
    <row r="444" spans="1:62" ht="15" customHeight="1">
      <c r="A444" s="102"/>
      <c r="B444" s="102"/>
      <c r="C444" s="102"/>
      <c r="D444" s="101"/>
      <c r="E444" s="105"/>
      <c r="F444" s="105" t="str">
        <f t="shared" ca="1" si="18"/>
        <v/>
      </c>
      <c r="G444" s="105"/>
      <c r="H444" s="105"/>
      <c r="I444" s="105"/>
      <c r="J444" s="105"/>
      <c r="K444" s="105"/>
      <c r="L444" s="105"/>
      <c r="M444" s="105"/>
      <c r="N444" s="105"/>
      <c r="O444" s="105"/>
      <c r="P444" s="106"/>
      <c r="Q444" s="106"/>
      <c r="R444" s="106"/>
      <c r="S444" s="107"/>
      <c r="T444" s="106"/>
      <c r="U444" s="106"/>
      <c r="V444" s="108"/>
      <c r="W444" s="108"/>
      <c r="X444" s="108"/>
      <c r="Y444" s="108"/>
      <c r="Z444" s="109"/>
      <c r="AA444" s="109"/>
      <c r="AB444" s="109"/>
      <c r="AC444" s="109"/>
      <c r="AD444" s="110"/>
      <c r="AE444" s="110"/>
      <c r="AF444" s="110"/>
      <c r="AG444" s="110"/>
      <c r="AH444" s="110"/>
      <c r="AI444" s="110"/>
      <c r="AJ444" s="110"/>
      <c r="AK444" s="110"/>
      <c r="AL444" s="110"/>
      <c r="AM444" s="110"/>
      <c r="AN444" s="110"/>
      <c r="AO444" s="110"/>
      <c r="AP444" s="110"/>
      <c r="AQ444" s="111"/>
      <c r="AR444" s="110"/>
      <c r="AS444" s="111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3"/>
      <c r="BE444" s="114"/>
      <c r="BF444" s="115"/>
      <c r="BG444" s="115"/>
      <c r="BH444" s="116" t="str">
        <f t="shared" si="19"/>
        <v/>
      </c>
      <c r="BI444" s="116" t="str">
        <f t="shared" si="20"/>
        <v/>
      </c>
      <c r="BJ444" s="116" t="str">
        <f>IF(AND($A444&lt;&gt;"",$D444=반별조회!$C$5),COUNTIFS($A$3:$A444,"&lt;&gt;",$D$3:$D444,반별조회!$C$5),"")</f>
        <v/>
      </c>
    </row>
    <row r="445" spans="1:62" ht="15" customHeight="1">
      <c r="A445" s="102"/>
      <c r="B445" s="102"/>
      <c r="C445" s="102"/>
      <c r="D445" s="101"/>
      <c r="E445" s="105"/>
      <c r="F445" s="105" t="str">
        <f t="shared" ca="1" si="18"/>
        <v/>
      </c>
      <c r="G445" s="105"/>
      <c r="H445" s="105"/>
      <c r="I445" s="105"/>
      <c r="J445" s="105"/>
      <c r="K445" s="105"/>
      <c r="L445" s="105"/>
      <c r="M445" s="105"/>
      <c r="N445" s="105"/>
      <c r="O445" s="105"/>
      <c r="P445" s="106"/>
      <c r="Q445" s="106"/>
      <c r="R445" s="106"/>
      <c r="S445" s="107"/>
      <c r="T445" s="106"/>
      <c r="U445" s="106"/>
      <c r="V445" s="108"/>
      <c r="W445" s="108"/>
      <c r="X445" s="108"/>
      <c r="Y445" s="108"/>
      <c r="Z445" s="109"/>
      <c r="AA445" s="109"/>
      <c r="AB445" s="109"/>
      <c r="AC445" s="109"/>
      <c r="AD445" s="110"/>
      <c r="AE445" s="110"/>
      <c r="AF445" s="110"/>
      <c r="AG445" s="110"/>
      <c r="AH445" s="110"/>
      <c r="AI445" s="110"/>
      <c r="AJ445" s="110"/>
      <c r="AK445" s="110"/>
      <c r="AL445" s="110"/>
      <c r="AM445" s="110"/>
      <c r="AN445" s="110"/>
      <c r="AO445" s="110"/>
      <c r="AP445" s="110"/>
      <c r="AQ445" s="111"/>
      <c r="AR445" s="110"/>
      <c r="AS445" s="111"/>
      <c r="AT445" s="112"/>
      <c r="AU445" s="112"/>
      <c r="AV445" s="112"/>
      <c r="AW445" s="112"/>
      <c r="AX445" s="112"/>
      <c r="AY445" s="112"/>
      <c r="AZ445" s="112"/>
      <c r="BA445" s="112"/>
      <c r="BB445" s="112"/>
      <c r="BC445" s="112"/>
      <c r="BD445" s="113"/>
      <c r="BE445" s="114"/>
      <c r="BF445" s="115"/>
      <c r="BG445" s="115"/>
      <c r="BH445" s="116" t="str">
        <f t="shared" si="19"/>
        <v/>
      </c>
      <c r="BI445" s="116" t="str">
        <f t="shared" si="20"/>
        <v/>
      </c>
      <c r="BJ445" s="116" t="str">
        <f>IF(AND($A445&lt;&gt;"",$D445=반별조회!$C$5),COUNTIFS($A$3:$A445,"&lt;&gt;",$D$3:$D445,반별조회!$C$5),"")</f>
        <v/>
      </c>
    </row>
    <row r="446" spans="1:62" ht="15" customHeight="1">
      <c r="A446" s="102"/>
      <c r="B446" s="102"/>
      <c r="C446" s="102"/>
      <c r="D446" s="101"/>
      <c r="E446" s="105"/>
      <c r="F446" s="105" t="str">
        <f t="shared" ca="1" si="18"/>
        <v/>
      </c>
      <c r="G446" s="105"/>
      <c r="H446" s="105"/>
      <c r="I446" s="105"/>
      <c r="J446" s="105"/>
      <c r="K446" s="105"/>
      <c r="L446" s="105"/>
      <c r="M446" s="105"/>
      <c r="N446" s="105"/>
      <c r="O446" s="105"/>
      <c r="P446" s="106"/>
      <c r="Q446" s="106"/>
      <c r="R446" s="106"/>
      <c r="S446" s="107"/>
      <c r="T446" s="106"/>
      <c r="U446" s="106"/>
      <c r="V446" s="108"/>
      <c r="W446" s="108"/>
      <c r="X446" s="108"/>
      <c r="Y446" s="108"/>
      <c r="Z446" s="109"/>
      <c r="AA446" s="109"/>
      <c r="AB446" s="109"/>
      <c r="AC446" s="109"/>
      <c r="AD446" s="110"/>
      <c r="AE446" s="110"/>
      <c r="AF446" s="110"/>
      <c r="AG446" s="110"/>
      <c r="AH446" s="110"/>
      <c r="AI446" s="110"/>
      <c r="AJ446" s="110"/>
      <c r="AK446" s="110"/>
      <c r="AL446" s="110"/>
      <c r="AM446" s="110"/>
      <c r="AN446" s="110"/>
      <c r="AO446" s="110"/>
      <c r="AP446" s="110"/>
      <c r="AQ446" s="111"/>
      <c r="AR446" s="110"/>
      <c r="AS446" s="111"/>
      <c r="AT446" s="112"/>
      <c r="AU446" s="112"/>
      <c r="AV446" s="112"/>
      <c r="AW446" s="112"/>
      <c r="AX446" s="112"/>
      <c r="AY446" s="112"/>
      <c r="AZ446" s="112"/>
      <c r="BA446" s="112"/>
      <c r="BB446" s="112"/>
      <c r="BC446" s="112"/>
      <c r="BD446" s="113"/>
      <c r="BE446" s="114"/>
      <c r="BF446" s="115"/>
      <c r="BG446" s="115"/>
      <c r="BH446" s="116" t="str">
        <f t="shared" si="19"/>
        <v/>
      </c>
      <c r="BI446" s="116" t="str">
        <f t="shared" si="20"/>
        <v/>
      </c>
      <c r="BJ446" s="116" t="str">
        <f>IF(AND($A446&lt;&gt;"",$D446=반별조회!$C$5),COUNTIFS($A$3:$A446,"&lt;&gt;",$D$3:$D446,반별조회!$C$5),"")</f>
        <v/>
      </c>
    </row>
    <row r="447" spans="1:62" ht="15" customHeight="1">
      <c r="A447" s="102"/>
      <c r="B447" s="102"/>
      <c r="C447" s="102"/>
      <c r="D447" s="101"/>
      <c r="E447" s="105"/>
      <c r="F447" s="105" t="str">
        <f t="shared" ca="1" si="18"/>
        <v/>
      </c>
      <c r="G447" s="105"/>
      <c r="H447" s="105"/>
      <c r="I447" s="105"/>
      <c r="J447" s="105"/>
      <c r="K447" s="105"/>
      <c r="L447" s="105"/>
      <c r="M447" s="105"/>
      <c r="N447" s="105"/>
      <c r="O447" s="105"/>
      <c r="P447" s="106"/>
      <c r="Q447" s="106"/>
      <c r="R447" s="106"/>
      <c r="S447" s="107"/>
      <c r="T447" s="106"/>
      <c r="U447" s="106"/>
      <c r="V447" s="108"/>
      <c r="W447" s="108"/>
      <c r="X447" s="108"/>
      <c r="Y447" s="108"/>
      <c r="Z447" s="109"/>
      <c r="AA447" s="109"/>
      <c r="AB447" s="109"/>
      <c r="AC447" s="109"/>
      <c r="AD447" s="110"/>
      <c r="AE447" s="110"/>
      <c r="AF447" s="110"/>
      <c r="AG447" s="110"/>
      <c r="AH447" s="110"/>
      <c r="AI447" s="110"/>
      <c r="AJ447" s="110"/>
      <c r="AK447" s="110"/>
      <c r="AL447" s="110"/>
      <c r="AM447" s="110"/>
      <c r="AN447" s="110"/>
      <c r="AO447" s="110"/>
      <c r="AP447" s="110"/>
      <c r="AQ447" s="111"/>
      <c r="AR447" s="110"/>
      <c r="AS447" s="111"/>
      <c r="AT447" s="112"/>
      <c r="AU447" s="112"/>
      <c r="AV447" s="112"/>
      <c r="AW447" s="112"/>
      <c r="AX447" s="112"/>
      <c r="AY447" s="112"/>
      <c r="AZ447" s="112"/>
      <c r="BA447" s="112"/>
      <c r="BB447" s="112"/>
      <c r="BC447" s="112"/>
      <c r="BD447" s="113"/>
      <c r="BE447" s="114"/>
      <c r="BF447" s="115"/>
      <c r="BG447" s="115"/>
      <c r="BH447" s="116" t="str">
        <f t="shared" si="19"/>
        <v/>
      </c>
      <c r="BI447" s="116" t="str">
        <f t="shared" si="20"/>
        <v/>
      </c>
      <c r="BJ447" s="116" t="str">
        <f>IF(AND($A447&lt;&gt;"",$D447=반별조회!$C$5),COUNTIFS($A$3:$A447,"&lt;&gt;",$D$3:$D447,반별조회!$C$5),"")</f>
        <v/>
      </c>
    </row>
    <row r="448" spans="1:62" ht="15" customHeight="1">
      <c r="A448" s="102"/>
      <c r="B448" s="102"/>
      <c r="C448" s="102"/>
      <c r="D448" s="101"/>
      <c r="E448" s="105"/>
      <c r="F448" s="105" t="str">
        <f t="shared" ca="1" si="18"/>
        <v/>
      </c>
      <c r="G448" s="105"/>
      <c r="H448" s="105"/>
      <c r="I448" s="105"/>
      <c r="J448" s="105"/>
      <c r="K448" s="105"/>
      <c r="L448" s="105"/>
      <c r="M448" s="105"/>
      <c r="N448" s="105"/>
      <c r="O448" s="105"/>
      <c r="P448" s="106"/>
      <c r="Q448" s="106"/>
      <c r="R448" s="106"/>
      <c r="S448" s="107"/>
      <c r="T448" s="106"/>
      <c r="U448" s="106"/>
      <c r="V448" s="108"/>
      <c r="W448" s="108"/>
      <c r="X448" s="108"/>
      <c r="Y448" s="108"/>
      <c r="Z448" s="109"/>
      <c r="AA448" s="109"/>
      <c r="AB448" s="109"/>
      <c r="AC448" s="109"/>
      <c r="AD448" s="110"/>
      <c r="AE448" s="110"/>
      <c r="AF448" s="110"/>
      <c r="AG448" s="110"/>
      <c r="AH448" s="110"/>
      <c r="AI448" s="110"/>
      <c r="AJ448" s="110"/>
      <c r="AK448" s="110"/>
      <c r="AL448" s="110"/>
      <c r="AM448" s="110"/>
      <c r="AN448" s="110"/>
      <c r="AO448" s="110"/>
      <c r="AP448" s="110"/>
      <c r="AQ448" s="111"/>
      <c r="AR448" s="110"/>
      <c r="AS448" s="111"/>
      <c r="AT448" s="112"/>
      <c r="AU448" s="112"/>
      <c r="AV448" s="112"/>
      <c r="AW448" s="112"/>
      <c r="AX448" s="112"/>
      <c r="AY448" s="112"/>
      <c r="AZ448" s="112"/>
      <c r="BA448" s="112"/>
      <c r="BB448" s="112"/>
      <c r="BC448" s="112"/>
      <c r="BD448" s="113"/>
      <c r="BE448" s="114"/>
      <c r="BF448" s="115"/>
      <c r="BG448" s="115"/>
      <c r="BH448" s="116" t="str">
        <f t="shared" si="19"/>
        <v/>
      </c>
      <c r="BI448" s="116" t="str">
        <f t="shared" si="20"/>
        <v/>
      </c>
      <c r="BJ448" s="116" t="str">
        <f>IF(AND($A448&lt;&gt;"",$D448=반별조회!$C$5),COUNTIFS($A$3:$A448,"&lt;&gt;",$D$3:$D448,반별조회!$C$5),"")</f>
        <v/>
      </c>
    </row>
    <row r="449" spans="1:62" ht="15" customHeight="1">
      <c r="A449" s="102"/>
      <c r="B449" s="102"/>
      <c r="C449" s="102"/>
      <c r="D449" s="101"/>
      <c r="E449" s="105"/>
      <c r="F449" s="105" t="str">
        <f t="shared" ca="1" si="18"/>
        <v/>
      </c>
      <c r="G449" s="105"/>
      <c r="H449" s="105"/>
      <c r="I449" s="105"/>
      <c r="J449" s="105"/>
      <c r="K449" s="105"/>
      <c r="L449" s="105"/>
      <c r="M449" s="105"/>
      <c r="N449" s="105"/>
      <c r="O449" s="105"/>
      <c r="P449" s="106"/>
      <c r="Q449" s="106"/>
      <c r="R449" s="106"/>
      <c r="S449" s="107"/>
      <c r="T449" s="106"/>
      <c r="U449" s="106"/>
      <c r="V449" s="108"/>
      <c r="W449" s="108"/>
      <c r="X449" s="108"/>
      <c r="Y449" s="108"/>
      <c r="Z449" s="109"/>
      <c r="AA449" s="109"/>
      <c r="AB449" s="109"/>
      <c r="AC449" s="109"/>
      <c r="AD449" s="110"/>
      <c r="AE449" s="110"/>
      <c r="AF449" s="110"/>
      <c r="AG449" s="110"/>
      <c r="AH449" s="110"/>
      <c r="AI449" s="110"/>
      <c r="AJ449" s="110"/>
      <c r="AK449" s="110"/>
      <c r="AL449" s="110"/>
      <c r="AM449" s="110"/>
      <c r="AN449" s="110"/>
      <c r="AO449" s="110"/>
      <c r="AP449" s="110"/>
      <c r="AQ449" s="111"/>
      <c r="AR449" s="110"/>
      <c r="AS449" s="111"/>
      <c r="AT449" s="112"/>
      <c r="AU449" s="112"/>
      <c r="AV449" s="112"/>
      <c r="AW449" s="112"/>
      <c r="AX449" s="112"/>
      <c r="AY449" s="112"/>
      <c r="AZ449" s="112"/>
      <c r="BA449" s="112"/>
      <c r="BB449" s="112"/>
      <c r="BC449" s="112"/>
      <c r="BD449" s="113"/>
      <c r="BE449" s="114"/>
      <c r="BF449" s="115"/>
      <c r="BG449" s="115"/>
      <c r="BH449" s="116" t="str">
        <f t="shared" si="19"/>
        <v/>
      </c>
      <c r="BI449" s="116" t="str">
        <f t="shared" si="20"/>
        <v/>
      </c>
      <c r="BJ449" s="116" t="str">
        <f>IF(AND($A449&lt;&gt;"",$D449=반별조회!$C$5),COUNTIFS($A$3:$A449,"&lt;&gt;",$D$3:$D449,반별조회!$C$5),"")</f>
        <v/>
      </c>
    </row>
    <row r="450" spans="1:62" ht="15" customHeight="1">
      <c r="A450" s="102"/>
      <c r="B450" s="102"/>
      <c r="C450" s="102"/>
      <c r="D450" s="101"/>
      <c r="E450" s="105"/>
      <c r="F450" s="105" t="str">
        <f t="shared" ca="1" si="18"/>
        <v/>
      </c>
      <c r="G450" s="105"/>
      <c r="H450" s="105"/>
      <c r="I450" s="105"/>
      <c r="J450" s="105"/>
      <c r="K450" s="105"/>
      <c r="L450" s="105"/>
      <c r="M450" s="105"/>
      <c r="N450" s="105"/>
      <c r="O450" s="105"/>
      <c r="P450" s="106"/>
      <c r="Q450" s="106"/>
      <c r="R450" s="106"/>
      <c r="S450" s="107"/>
      <c r="T450" s="106"/>
      <c r="U450" s="106"/>
      <c r="V450" s="108"/>
      <c r="W450" s="108"/>
      <c r="X450" s="108"/>
      <c r="Y450" s="108"/>
      <c r="Z450" s="109"/>
      <c r="AA450" s="109"/>
      <c r="AB450" s="109"/>
      <c r="AC450" s="109"/>
      <c r="AD450" s="110"/>
      <c r="AE450" s="110"/>
      <c r="AF450" s="110"/>
      <c r="AG450" s="110"/>
      <c r="AH450" s="110"/>
      <c r="AI450" s="110"/>
      <c r="AJ450" s="110"/>
      <c r="AK450" s="110"/>
      <c r="AL450" s="110"/>
      <c r="AM450" s="110"/>
      <c r="AN450" s="110"/>
      <c r="AO450" s="110"/>
      <c r="AP450" s="110"/>
      <c r="AQ450" s="111"/>
      <c r="AR450" s="110"/>
      <c r="AS450" s="111"/>
      <c r="AT450" s="112"/>
      <c r="AU450" s="112"/>
      <c r="AV450" s="112"/>
      <c r="AW450" s="112"/>
      <c r="AX450" s="112"/>
      <c r="AY450" s="112"/>
      <c r="AZ450" s="112"/>
      <c r="BA450" s="112"/>
      <c r="BB450" s="112"/>
      <c r="BC450" s="112"/>
      <c r="BD450" s="113"/>
      <c r="BE450" s="114"/>
      <c r="BF450" s="115"/>
      <c r="BG450" s="115"/>
      <c r="BH450" s="116" t="str">
        <f t="shared" si="19"/>
        <v/>
      </c>
      <c r="BI450" s="116" t="str">
        <f t="shared" si="20"/>
        <v/>
      </c>
      <c r="BJ450" s="116" t="str">
        <f>IF(AND($A450&lt;&gt;"",$D450=반별조회!$C$5),COUNTIFS($A$3:$A450,"&lt;&gt;",$D$3:$D450,반별조회!$C$5),"")</f>
        <v/>
      </c>
    </row>
    <row r="451" spans="1:62" ht="15" customHeight="1">
      <c r="A451" s="102"/>
      <c r="B451" s="102"/>
      <c r="C451" s="102"/>
      <c r="D451" s="101"/>
      <c r="E451" s="105"/>
      <c r="F451" s="105" t="str">
        <f t="shared" ref="F451:F502" ca="1" si="21">IF($E451="","",INT((TODAY()-$E451)/365.25))</f>
        <v/>
      </c>
      <c r="G451" s="105"/>
      <c r="H451" s="105"/>
      <c r="I451" s="105"/>
      <c r="J451" s="105"/>
      <c r="K451" s="105"/>
      <c r="L451" s="105"/>
      <c r="M451" s="105"/>
      <c r="N451" s="105"/>
      <c r="O451" s="105"/>
      <c r="P451" s="106"/>
      <c r="Q451" s="106"/>
      <c r="R451" s="106"/>
      <c r="S451" s="107"/>
      <c r="T451" s="106"/>
      <c r="U451" s="106"/>
      <c r="V451" s="108"/>
      <c r="W451" s="108"/>
      <c r="X451" s="108"/>
      <c r="Y451" s="108"/>
      <c r="Z451" s="109"/>
      <c r="AA451" s="109"/>
      <c r="AB451" s="109"/>
      <c r="AC451" s="109"/>
      <c r="AD451" s="110"/>
      <c r="AE451" s="110"/>
      <c r="AF451" s="110"/>
      <c r="AG451" s="110"/>
      <c r="AH451" s="110"/>
      <c r="AI451" s="110"/>
      <c r="AJ451" s="110"/>
      <c r="AK451" s="110"/>
      <c r="AL451" s="110"/>
      <c r="AM451" s="110"/>
      <c r="AN451" s="110"/>
      <c r="AO451" s="110"/>
      <c r="AP451" s="110"/>
      <c r="AQ451" s="111"/>
      <c r="AR451" s="110"/>
      <c r="AS451" s="111"/>
      <c r="AT451" s="112"/>
      <c r="AU451" s="112"/>
      <c r="AV451" s="112"/>
      <c r="AW451" s="112"/>
      <c r="AX451" s="112"/>
      <c r="AY451" s="112"/>
      <c r="AZ451" s="112"/>
      <c r="BA451" s="112"/>
      <c r="BB451" s="112"/>
      <c r="BC451" s="112"/>
      <c r="BD451" s="113"/>
      <c r="BE451" s="114"/>
      <c r="BF451" s="115"/>
      <c r="BG451" s="115"/>
      <c r="BH451" s="116" t="str">
        <f t="shared" ref="BH451:BH502" si="22">IF($A451="","","SYNK-"&amp;TEXT(ROW()-2,"000"))</f>
        <v/>
      </c>
      <c r="BI451" s="116" t="str">
        <f t="shared" ref="BI451:BI502" si="23">IF(A451="","",TRIM(IF(AA451="거절","⚠비자거절 ","")&amp;IF(AS451="설득필요","⚠가족설득필요 ","")&amp;IF(AND(W451="5~6급",OR(S451="완전초보",S451="기초")),"⚠목표-수준괴리 ","")&amp;IF(AND(AQ451="빠듯함",AS451="설득필요"),"⚠재정리스크 ","")))</f>
        <v/>
      </c>
      <c r="BJ451" s="116" t="str">
        <f>IF(AND($A451&lt;&gt;"",$D451=반별조회!$C$5),COUNTIFS($A$3:$A451,"&lt;&gt;",$D$3:$D451,반별조회!$C$5),"")</f>
        <v/>
      </c>
    </row>
    <row r="452" spans="1:62" ht="15" customHeight="1">
      <c r="A452" s="102"/>
      <c r="B452" s="102"/>
      <c r="C452" s="102"/>
      <c r="D452" s="101"/>
      <c r="E452" s="105"/>
      <c r="F452" s="105" t="str">
        <f t="shared" ca="1" si="21"/>
        <v/>
      </c>
      <c r="G452" s="105"/>
      <c r="H452" s="105"/>
      <c r="I452" s="105"/>
      <c r="J452" s="105"/>
      <c r="K452" s="105"/>
      <c r="L452" s="105"/>
      <c r="M452" s="105"/>
      <c r="N452" s="105"/>
      <c r="O452" s="105"/>
      <c r="P452" s="106"/>
      <c r="Q452" s="106"/>
      <c r="R452" s="106"/>
      <c r="S452" s="107"/>
      <c r="T452" s="106"/>
      <c r="U452" s="106"/>
      <c r="V452" s="108"/>
      <c r="W452" s="108"/>
      <c r="X452" s="108"/>
      <c r="Y452" s="108"/>
      <c r="Z452" s="109"/>
      <c r="AA452" s="109"/>
      <c r="AB452" s="109"/>
      <c r="AC452" s="109"/>
      <c r="AD452" s="110"/>
      <c r="AE452" s="110"/>
      <c r="AF452" s="110"/>
      <c r="AG452" s="110"/>
      <c r="AH452" s="110"/>
      <c r="AI452" s="110"/>
      <c r="AJ452" s="110"/>
      <c r="AK452" s="110"/>
      <c r="AL452" s="110"/>
      <c r="AM452" s="110"/>
      <c r="AN452" s="110"/>
      <c r="AO452" s="110"/>
      <c r="AP452" s="110"/>
      <c r="AQ452" s="111"/>
      <c r="AR452" s="110"/>
      <c r="AS452" s="111"/>
      <c r="AT452" s="112"/>
      <c r="AU452" s="112"/>
      <c r="AV452" s="112"/>
      <c r="AW452" s="112"/>
      <c r="AX452" s="112"/>
      <c r="AY452" s="112"/>
      <c r="AZ452" s="112"/>
      <c r="BA452" s="112"/>
      <c r="BB452" s="112"/>
      <c r="BC452" s="112"/>
      <c r="BD452" s="113"/>
      <c r="BE452" s="114"/>
      <c r="BF452" s="115"/>
      <c r="BG452" s="115"/>
      <c r="BH452" s="116" t="str">
        <f t="shared" si="22"/>
        <v/>
      </c>
      <c r="BI452" s="116" t="str">
        <f t="shared" si="23"/>
        <v/>
      </c>
      <c r="BJ452" s="116" t="str">
        <f>IF(AND($A452&lt;&gt;"",$D452=반별조회!$C$5),COUNTIFS($A$3:$A452,"&lt;&gt;",$D$3:$D452,반별조회!$C$5),"")</f>
        <v/>
      </c>
    </row>
    <row r="453" spans="1:62" ht="15" customHeight="1">
      <c r="A453" s="102"/>
      <c r="B453" s="102"/>
      <c r="C453" s="102"/>
      <c r="D453" s="101"/>
      <c r="E453" s="105"/>
      <c r="F453" s="105" t="str">
        <f t="shared" ca="1" si="21"/>
        <v/>
      </c>
      <c r="G453" s="105"/>
      <c r="H453" s="105"/>
      <c r="I453" s="105"/>
      <c r="J453" s="105"/>
      <c r="K453" s="105"/>
      <c r="L453" s="105"/>
      <c r="M453" s="105"/>
      <c r="N453" s="105"/>
      <c r="O453" s="105"/>
      <c r="P453" s="106"/>
      <c r="Q453" s="106"/>
      <c r="R453" s="106"/>
      <c r="S453" s="107"/>
      <c r="T453" s="106"/>
      <c r="U453" s="106"/>
      <c r="V453" s="108"/>
      <c r="W453" s="108"/>
      <c r="X453" s="108"/>
      <c r="Y453" s="108"/>
      <c r="Z453" s="109"/>
      <c r="AA453" s="109"/>
      <c r="AB453" s="109"/>
      <c r="AC453" s="109"/>
      <c r="AD453" s="110"/>
      <c r="AE453" s="110"/>
      <c r="AF453" s="110"/>
      <c r="AG453" s="110"/>
      <c r="AH453" s="110"/>
      <c r="AI453" s="110"/>
      <c r="AJ453" s="110"/>
      <c r="AK453" s="110"/>
      <c r="AL453" s="110"/>
      <c r="AM453" s="110"/>
      <c r="AN453" s="110"/>
      <c r="AO453" s="110"/>
      <c r="AP453" s="110"/>
      <c r="AQ453" s="111"/>
      <c r="AR453" s="110"/>
      <c r="AS453" s="111"/>
      <c r="AT453" s="112"/>
      <c r="AU453" s="112"/>
      <c r="AV453" s="112"/>
      <c r="AW453" s="112"/>
      <c r="AX453" s="112"/>
      <c r="AY453" s="112"/>
      <c r="AZ453" s="112"/>
      <c r="BA453" s="112"/>
      <c r="BB453" s="112"/>
      <c r="BC453" s="112"/>
      <c r="BD453" s="113"/>
      <c r="BE453" s="114"/>
      <c r="BF453" s="115"/>
      <c r="BG453" s="115"/>
      <c r="BH453" s="116" t="str">
        <f t="shared" si="22"/>
        <v/>
      </c>
      <c r="BI453" s="116" t="str">
        <f t="shared" si="23"/>
        <v/>
      </c>
      <c r="BJ453" s="116" t="str">
        <f>IF(AND($A453&lt;&gt;"",$D453=반별조회!$C$5),COUNTIFS($A$3:$A453,"&lt;&gt;",$D$3:$D453,반별조회!$C$5),"")</f>
        <v/>
      </c>
    </row>
    <row r="454" spans="1:62" ht="15" customHeight="1">
      <c r="A454" s="102"/>
      <c r="B454" s="102"/>
      <c r="C454" s="102"/>
      <c r="D454" s="101"/>
      <c r="E454" s="105"/>
      <c r="F454" s="105" t="str">
        <f t="shared" ca="1" si="21"/>
        <v/>
      </c>
      <c r="G454" s="105"/>
      <c r="H454" s="105"/>
      <c r="I454" s="105"/>
      <c r="J454" s="105"/>
      <c r="K454" s="105"/>
      <c r="L454" s="105"/>
      <c r="M454" s="105"/>
      <c r="N454" s="105"/>
      <c r="O454" s="105"/>
      <c r="P454" s="106"/>
      <c r="Q454" s="106"/>
      <c r="R454" s="106"/>
      <c r="S454" s="107"/>
      <c r="T454" s="106"/>
      <c r="U454" s="106"/>
      <c r="V454" s="108"/>
      <c r="W454" s="108"/>
      <c r="X454" s="108"/>
      <c r="Y454" s="108"/>
      <c r="Z454" s="109"/>
      <c r="AA454" s="109"/>
      <c r="AB454" s="109"/>
      <c r="AC454" s="109"/>
      <c r="AD454" s="110"/>
      <c r="AE454" s="110"/>
      <c r="AF454" s="110"/>
      <c r="AG454" s="110"/>
      <c r="AH454" s="110"/>
      <c r="AI454" s="110"/>
      <c r="AJ454" s="110"/>
      <c r="AK454" s="110"/>
      <c r="AL454" s="110"/>
      <c r="AM454" s="110"/>
      <c r="AN454" s="110"/>
      <c r="AO454" s="110"/>
      <c r="AP454" s="110"/>
      <c r="AQ454" s="111"/>
      <c r="AR454" s="110"/>
      <c r="AS454" s="111"/>
      <c r="AT454" s="112"/>
      <c r="AU454" s="112"/>
      <c r="AV454" s="112"/>
      <c r="AW454" s="112"/>
      <c r="AX454" s="112"/>
      <c r="AY454" s="112"/>
      <c r="AZ454" s="112"/>
      <c r="BA454" s="112"/>
      <c r="BB454" s="112"/>
      <c r="BC454" s="112"/>
      <c r="BD454" s="113"/>
      <c r="BE454" s="114"/>
      <c r="BF454" s="115"/>
      <c r="BG454" s="115"/>
      <c r="BH454" s="116" t="str">
        <f t="shared" si="22"/>
        <v/>
      </c>
      <c r="BI454" s="116" t="str">
        <f t="shared" si="23"/>
        <v/>
      </c>
      <c r="BJ454" s="116" t="str">
        <f>IF(AND($A454&lt;&gt;"",$D454=반별조회!$C$5),COUNTIFS($A$3:$A454,"&lt;&gt;",$D$3:$D454,반별조회!$C$5),"")</f>
        <v/>
      </c>
    </row>
    <row r="455" spans="1:62" ht="15" customHeight="1">
      <c r="A455" s="102"/>
      <c r="B455" s="102"/>
      <c r="C455" s="102"/>
      <c r="D455" s="101"/>
      <c r="E455" s="105"/>
      <c r="F455" s="105" t="str">
        <f t="shared" ca="1" si="21"/>
        <v/>
      </c>
      <c r="G455" s="105"/>
      <c r="H455" s="105"/>
      <c r="I455" s="105"/>
      <c r="J455" s="105"/>
      <c r="K455" s="105"/>
      <c r="L455" s="105"/>
      <c r="M455" s="105"/>
      <c r="N455" s="105"/>
      <c r="O455" s="105"/>
      <c r="P455" s="106"/>
      <c r="Q455" s="106"/>
      <c r="R455" s="106"/>
      <c r="S455" s="107"/>
      <c r="T455" s="106"/>
      <c r="U455" s="106"/>
      <c r="V455" s="108"/>
      <c r="W455" s="108"/>
      <c r="X455" s="108"/>
      <c r="Y455" s="108"/>
      <c r="Z455" s="109"/>
      <c r="AA455" s="109"/>
      <c r="AB455" s="109"/>
      <c r="AC455" s="109"/>
      <c r="AD455" s="110"/>
      <c r="AE455" s="110"/>
      <c r="AF455" s="110"/>
      <c r="AG455" s="110"/>
      <c r="AH455" s="110"/>
      <c r="AI455" s="110"/>
      <c r="AJ455" s="110"/>
      <c r="AK455" s="110"/>
      <c r="AL455" s="110"/>
      <c r="AM455" s="110"/>
      <c r="AN455" s="110"/>
      <c r="AO455" s="110"/>
      <c r="AP455" s="110"/>
      <c r="AQ455" s="111"/>
      <c r="AR455" s="110"/>
      <c r="AS455" s="111"/>
      <c r="AT455" s="112"/>
      <c r="AU455" s="112"/>
      <c r="AV455" s="112"/>
      <c r="AW455" s="112"/>
      <c r="AX455" s="112"/>
      <c r="AY455" s="112"/>
      <c r="AZ455" s="112"/>
      <c r="BA455" s="112"/>
      <c r="BB455" s="112"/>
      <c r="BC455" s="112"/>
      <c r="BD455" s="113"/>
      <c r="BE455" s="114"/>
      <c r="BF455" s="115"/>
      <c r="BG455" s="115"/>
      <c r="BH455" s="116" t="str">
        <f t="shared" si="22"/>
        <v/>
      </c>
      <c r="BI455" s="116" t="str">
        <f t="shared" si="23"/>
        <v/>
      </c>
      <c r="BJ455" s="116" t="str">
        <f>IF(AND($A455&lt;&gt;"",$D455=반별조회!$C$5),COUNTIFS($A$3:$A455,"&lt;&gt;",$D$3:$D455,반별조회!$C$5),"")</f>
        <v/>
      </c>
    </row>
    <row r="456" spans="1:62" ht="15" customHeight="1">
      <c r="A456" s="102"/>
      <c r="B456" s="102"/>
      <c r="C456" s="102"/>
      <c r="D456" s="101"/>
      <c r="E456" s="105"/>
      <c r="F456" s="105" t="str">
        <f t="shared" ca="1" si="21"/>
        <v/>
      </c>
      <c r="G456" s="105"/>
      <c r="H456" s="105"/>
      <c r="I456" s="105"/>
      <c r="J456" s="105"/>
      <c r="K456" s="105"/>
      <c r="L456" s="105"/>
      <c r="M456" s="105"/>
      <c r="N456" s="105"/>
      <c r="O456" s="105"/>
      <c r="P456" s="106"/>
      <c r="Q456" s="106"/>
      <c r="R456" s="106"/>
      <c r="S456" s="107"/>
      <c r="T456" s="106"/>
      <c r="U456" s="106"/>
      <c r="V456" s="108"/>
      <c r="W456" s="108"/>
      <c r="X456" s="108"/>
      <c r="Y456" s="108"/>
      <c r="Z456" s="109"/>
      <c r="AA456" s="109"/>
      <c r="AB456" s="109"/>
      <c r="AC456" s="109"/>
      <c r="AD456" s="110"/>
      <c r="AE456" s="110"/>
      <c r="AF456" s="110"/>
      <c r="AG456" s="110"/>
      <c r="AH456" s="110"/>
      <c r="AI456" s="110"/>
      <c r="AJ456" s="110"/>
      <c r="AK456" s="110"/>
      <c r="AL456" s="110"/>
      <c r="AM456" s="110"/>
      <c r="AN456" s="110"/>
      <c r="AO456" s="110"/>
      <c r="AP456" s="110"/>
      <c r="AQ456" s="111"/>
      <c r="AR456" s="110"/>
      <c r="AS456" s="111"/>
      <c r="AT456" s="112"/>
      <c r="AU456" s="112"/>
      <c r="AV456" s="112"/>
      <c r="AW456" s="112"/>
      <c r="AX456" s="112"/>
      <c r="AY456" s="112"/>
      <c r="AZ456" s="112"/>
      <c r="BA456" s="112"/>
      <c r="BB456" s="112"/>
      <c r="BC456" s="112"/>
      <c r="BD456" s="113"/>
      <c r="BE456" s="114"/>
      <c r="BF456" s="115"/>
      <c r="BG456" s="115"/>
      <c r="BH456" s="116" t="str">
        <f t="shared" si="22"/>
        <v/>
      </c>
      <c r="BI456" s="116" t="str">
        <f t="shared" si="23"/>
        <v/>
      </c>
      <c r="BJ456" s="116" t="str">
        <f>IF(AND($A456&lt;&gt;"",$D456=반별조회!$C$5),COUNTIFS($A$3:$A456,"&lt;&gt;",$D$3:$D456,반별조회!$C$5),"")</f>
        <v/>
      </c>
    </row>
    <row r="457" spans="1:62" ht="15" customHeight="1">
      <c r="A457" s="102"/>
      <c r="B457" s="102"/>
      <c r="C457" s="102"/>
      <c r="D457" s="101"/>
      <c r="E457" s="105"/>
      <c r="F457" s="105" t="str">
        <f t="shared" ca="1" si="21"/>
        <v/>
      </c>
      <c r="G457" s="105"/>
      <c r="H457" s="105"/>
      <c r="I457" s="105"/>
      <c r="J457" s="105"/>
      <c r="K457" s="105"/>
      <c r="L457" s="105"/>
      <c r="M457" s="105"/>
      <c r="N457" s="105"/>
      <c r="O457" s="105"/>
      <c r="P457" s="106"/>
      <c r="Q457" s="106"/>
      <c r="R457" s="106"/>
      <c r="S457" s="107"/>
      <c r="T457" s="106"/>
      <c r="U457" s="106"/>
      <c r="V457" s="108"/>
      <c r="W457" s="108"/>
      <c r="X457" s="108"/>
      <c r="Y457" s="108"/>
      <c r="Z457" s="109"/>
      <c r="AA457" s="109"/>
      <c r="AB457" s="109"/>
      <c r="AC457" s="109"/>
      <c r="AD457" s="110"/>
      <c r="AE457" s="110"/>
      <c r="AF457" s="110"/>
      <c r="AG457" s="110"/>
      <c r="AH457" s="110"/>
      <c r="AI457" s="110"/>
      <c r="AJ457" s="110"/>
      <c r="AK457" s="110"/>
      <c r="AL457" s="110"/>
      <c r="AM457" s="110"/>
      <c r="AN457" s="110"/>
      <c r="AO457" s="110"/>
      <c r="AP457" s="110"/>
      <c r="AQ457" s="111"/>
      <c r="AR457" s="110"/>
      <c r="AS457" s="111"/>
      <c r="AT457" s="112"/>
      <c r="AU457" s="112"/>
      <c r="AV457" s="112"/>
      <c r="AW457" s="112"/>
      <c r="AX457" s="112"/>
      <c r="AY457" s="112"/>
      <c r="AZ457" s="112"/>
      <c r="BA457" s="112"/>
      <c r="BB457" s="112"/>
      <c r="BC457" s="112"/>
      <c r="BD457" s="113"/>
      <c r="BE457" s="114"/>
      <c r="BF457" s="115"/>
      <c r="BG457" s="115"/>
      <c r="BH457" s="116" t="str">
        <f t="shared" si="22"/>
        <v/>
      </c>
      <c r="BI457" s="116" t="str">
        <f t="shared" si="23"/>
        <v/>
      </c>
      <c r="BJ457" s="116" t="str">
        <f>IF(AND($A457&lt;&gt;"",$D457=반별조회!$C$5),COUNTIFS($A$3:$A457,"&lt;&gt;",$D$3:$D457,반별조회!$C$5),"")</f>
        <v/>
      </c>
    </row>
    <row r="458" spans="1:62" ht="15" customHeight="1">
      <c r="A458" s="102"/>
      <c r="B458" s="102"/>
      <c r="C458" s="102"/>
      <c r="D458" s="101"/>
      <c r="E458" s="105"/>
      <c r="F458" s="105" t="str">
        <f t="shared" ca="1" si="21"/>
        <v/>
      </c>
      <c r="G458" s="105"/>
      <c r="H458" s="105"/>
      <c r="I458" s="105"/>
      <c r="J458" s="105"/>
      <c r="K458" s="105"/>
      <c r="L458" s="105"/>
      <c r="M458" s="105"/>
      <c r="N458" s="105"/>
      <c r="O458" s="105"/>
      <c r="P458" s="106"/>
      <c r="Q458" s="106"/>
      <c r="R458" s="106"/>
      <c r="S458" s="107"/>
      <c r="T458" s="106"/>
      <c r="U458" s="106"/>
      <c r="V458" s="108"/>
      <c r="W458" s="108"/>
      <c r="X458" s="108"/>
      <c r="Y458" s="108"/>
      <c r="Z458" s="109"/>
      <c r="AA458" s="109"/>
      <c r="AB458" s="109"/>
      <c r="AC458" s="109"/>
      <c r="AD458" s="110"/>
      <c r="AE458" s="110"/>
      <c r="AF458" s="110"/>
      <c r="AG458" s="110"/>
      <c r="AH458" s="110"/>
      <c r="AI458" s="110"/>
      <c r="AJ458" s="110"/>
      <c r="AK458" s="110"/>
      <c r="AL458" s="110"/>
      <c r="AM458" s="110"/>
      <c r="AN458" s="110"/>
      <c r="AO458" s="110"/>
      <c r="AP458" s="110"/>
      <c r="AQ458" s="111"/>
      <c r="AR458" s="110"/>
      <c r="AS458" s="111"/>
      <c r="AT458" s="112"/>
      <c r="AU458" s="112"/>
      <c r="AV458" s="112"/>
      <c r="AW458" s="112"/>
      <c r="AX458" s="112"/>
      <c r="AY458" s="112"/>
      <c r="AZ458" s="112"/>
      <c r="BA458" s="112"/>
      <c r="BB458" s="112"/>
      <c r="BC458" s="112"/>
      <c r="BD458" s="113"/>
      <c r="BE458" s="114"/>
      <c r="BF458" s="115"/>
      <c r="BG458" s="115"/>
      <c r="BH458" s="116" t="str">
        <f t="shared" si="22"/>
        <v/>
      </c>
      <c r="BI458" s="116" t="str">
        <f t="shared" si="23"/>
        <v/>
      </c>
      <c r="BJ458" s="116" t="str">
        <f>IF(AND($A458&lt;&gt;"",$D458=반별조회!$C$5),COUNTIFS($A$3:$A458,"&lt;&gt;",$D$3:$D458,반별조회!$C$5),"")</f>
        <v/>
      </c>
    </row>
    <row r="459" spans="1:62" ht="15" customHeight="1">
      <c r="A459" s="102"/>
      <c r="B459" s="102"/>
      <c r="C459" s="102"/>
      <c r="D459" s="101"/>
      <c r="E459" s="105"/>
      <c r="F459" s="105" t="str">
        <f t="shared" ca="1" si="21"/>
        <v/>
      </c>
      <c r="G459" s="105"/>
      <c r="H459" s="105"/>
      <c r="I459" s="105"/>
      <c r="J459" s="105"/>
      <c r="K459" s="105"/>
      <c r="L459" s="105"/>
      <c r="M459" s="105"/>
      <c r="N459" s="105"/>
      <c r="O459" s="105"/>
      <c r="P459" s="106"/>
      <c r="Q459" s="106"/>
      <c r="R459" s="106"/>
      <c r="S459" s="107"/>
      <c r="T459" s="106"/>
      <c r="U459" s="106"/>
      <c r="V459" s="108"/>
      <c r="W459" s="108"/>
      <c r="X459" s="108"/>
      <c r="Y459" s="108"/>
      <c r="Z459" s="109"/>
      <c r="AA459" s="109"/>
      <c r="AB459" s="109"/>
      <c r="AC459" s="109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1"/>
      <c r="AR459" s="110"/>
      <c r="AS459" s="111"/>
      <c r="AT459" s="112"/>
      <c r="AU459" s="112"/>
      <c r="AV459" s="112"/>
      <c r="AW459" s="112"/>
      <c r="AX459" s="112"/>
      <c r="AY459" s="112"/>
      <c r="AZ459" s="112"/>
      <c r="BA459" s="112"/>
      <c r="BB459" s="112"/>
      <c r="BC459" s="112"/>
      <c r="BD459" s="113"/>
      <c r="BE459" s="114"/>
      <c r="BF459" s="115"/>
      <c r="BG459" s="115"/>
      <c r="BH459" s="116" t="str">
        <f t="shared" si="22"/>
        <v/>
      </c>
      <c r="BI459" s="116" t="str">
        <f t="shared" si="23"/>
        <v/>
      </c>
      <c r="BJ459" s="116" t="str">
        <f>IF(AND($A459&lt;&gt;"",$D459=반별조회!$C$5),COUNTIFS($A$3:$A459,"&lt;&gt;",$D$3:$D459,반별조회!$C$5),"")</f>
        <v/>
      </c>
    </row>
    <row r="460" spans="1:62" ht="15" customHeight="1">
      <c r="A460" s="102"/>
      <c r="B460" s="102"/>
      <c r="C460" s="102"/>
      <c r="D460" s="101"/>
      <c r="E460" s="105"/>
      <c r="F460" s="105" t="str">
        <f t="shared" ca="1" si="21"/>
        <v/>
      </c>
      <c r="G460" s="105"/>
      <c r="H460" s="105"/>
      <c r="I460" s="105"/>
      <c r="J460" s="105"/>
      <c r="K460" s="105"/>
      <c r="L460" s="105"/>
      <c r="M460" s="105"/>
      <c r="N460" s="105"/>
      <c r="O460" s="105"/>
      <c r="P460" s="106"/>
      <c r="Q460" s="106"/>
      <c r="R460" s="106"/>
      <c r="S460" s="107"/>
      <c r="T460" s="106"/>
      <c r="U460" s="106"/>
      <c r="V460" s="108"/>
      <c r="W460" s="108"/>
      <c r="X460" s="108"/>
      <c r="Y460" s="108"/>
      <c r="Z460" s="109"/>
      <c r="AA460" s="109"/>
      <c r="AB460" s="109"/>
      <c r="AC460" s="109"/>
      <c r="AD460" s="110"/>
      <c r="AE460" s="110"/>
      <c r="AF460" s="110"/>
      <c r="AG460" s="110"/>
      <c r="AH460" s="110"/>
      <c r="AI460" s="110"/>
      <c r="AJ460" s="110"/>
      <c r="AK460" s="110"/>
      <c r="AL460" s="110"/>
      <c r="AM460" s="110"/>
      <c r="AN460" s="110"/>
      <c r="AO460" s="110"/>
      <c r="AP460" s="110"/>
      <c r="AQ460" s="111"/>
      <c r="AR460" s="110"/>
      <c r="AS460" s="111"/>
      <c r="AT460" s="112"/>
      <c r="AU460" s="112"/>
      <c r="AV460" s="112"/>
      <c r="AW460" s="112"/>
      <c r="AX460" s="112"/>
      <c r="AY460" s="112"/>
      <c r="AZ460" s="112"/>
      <c r="BA460" s="112"/>
      <c r="BB460" s="112"/>
      <c r="BC460" s="112"/>
      <c r="BD460" s="113"/>
      <c r="BE460" s="114"/>
      <c r="BF460" s="115"/>
      <c r="BG460" s="115"/>
      <c r="BH460" s="116" t="str">
        <f t="shared" si="22"/>
        <v/>
      </c>
      <c r="BI460" s="116" t="str">
        <f t="shared" si="23"/>
        <v/>
      </c>
      <c r="BJ460" s="116" t="str">
        <f>IF(AND($A460&lt;&gt;"",$D460=반별조회!$C$5),COUNTIFS($A$3:$A460,"&lt;&gt;",$D$3:$D460,반별조회!$C$5),"")</f>
        <v/>
      </c>
    </row>
    <row r="461" spans="1:62" ht="15" customHeight="1">
      <c r="A461" s="102"/>
      <c r="B461" s="102"/>
      <c r="C461" s="102"/>
      <c r="D461" s="101"/>
      <c r="E461" s="105"/>
      <c r="F461" s="105" t="str">
        <f t="shared" ca="1" si="21"/>
        <v/>
      </c>
      <c r="G461" s="105"/>
      <c r="H461" s="105"/>
      <c r="I461" s="105"/>
      <c r="J461" s="105"/>
      <c r="K461" s="105"/>
      <c r="L461" s="105"/>
      <c r="M461" s="105"/>
      <c r="N461" s="105"/>
      <c r="O461" s="105"/>
      <c r="P461" s="106"/>
      <c r="Q461" s="106"/>
      <c r="R461" s="106"/>
      <c r="S461" s="107"/>
      <c r="T461" s="106"/>
      <c r="U461" s="106"/>
      <c r="V461" s="108"/>
      <c r="W461" s="108"/>
      <c r="X461" s="108"/>
      <c r="Y461" s="108"/>
      <c r="Z461" s="109"/>
      <c r="AA461" s="109"/>
      <c r="AB461" s="109"/>
      <c r="AC461" s="109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0"/>
      <c r="AP461" s="110"/>
      <c r="AQ461" s="111"/>
      <c r="AR461" s="110"/>
      <c r="AS461" s="111"/>
      <c r="AT461" s="112"/>
      <c r="AU461" s="112"/>
      <c r="AV461" s="112"/>
      <c r="AW461" s="112"/>
      <c r="AX461" s="112"/>
      <c r="AY461" s="112"/>
      <c r="AZ461" s="112"/>
      <c r="BA461" s="112"/>
      <c r="BB461" s="112"/>
      <c r="BC461" s="112"/>
      <c r="BD461" s="113"/>
      <c r="BE461" s="114"/>
      <c r="BF461" s="115"/>
      <c r="BG461" s="115"/>
      <c r="BH461" s="116" t="str">
        <f t="shared" si="22"/>
        <v/>
      </c>
      <c r="BI461" s="116" t="str">
        <f t="shared" si="23"/>
        <v/>
      </c>
      <c r="BJ461" s="116" t="str">
        <f>IF(AND($A461&lt;&gt;"",$D461=반별조회!$C$5),COUNTIFS($A$3:$A461,"&lt;&gt;",$D$3:$D461,반별조회!$C$5),"")</f>
        <v/>
      </c>
    </row>
    <row r="462" spans="1:62" ht="15" customHeight="1">
      <c r="A462" s="102"/>
      <c r="B462" s="102"/>
      <c r="C462" s="102"/>
      <c r="D462" s="101"/>
      <c r="E462" s="105"/>
      <c r="F462" s="105" t="str">
        <f t="shared" ca="1" si="21"/>
        <v/>
      </c>
      <c r="G462" s="105"/>
      <c r="H462" s="105"/>
      <c r="I462" s="105"/>
      <c r="J462" s="105"/>
      <c r="K462" s="105"/>
      <c r="L462" s="105"/>
      <c r="M462" s="105"/>
      <c r="N462" s="105"/>
      <c r="O462" s="105"/>
      <c r="P462" s="106"/>
      <c r="Q462" s="106"/>
      <c r="R462" s="106"/>
      <c r="S462" s="107"/>
      <c r="T462" s="106"/>
      <c r="U462" s="106"/>
      <c r="V462" s="108"/>
      <c r="W462" s="108"/>
      <c r="X462" s="108"/>
      <c r="Y462" s="108"/>
      <c r="Z462" s="109"/>
      <c r="AA462" s="109"/>
      <c r="AB462" s="109"/>
      <c r="AC462" s="109"/>
      <c r="AD462" s="110"/>
      <c r="AE462" s="110"/>
      <c r="AF462" s="110"/>
      <c r="AG462" s="110"/>
      <c r="AH462" s="110"/>
      <c r="AI462" s="110"/>
      <c r="AJ462" s="110"/>
      <c r="AK462" s="110"/>
      <c r="AL462" s="110"/>
      <c r="AM462" s="110"/>
      <c r="AN462" s="110"/>
      <c r="AO462" s="110"/>
      <c r="AP462" s="110"/>
      <c r="AQ462" s="111"/>
      <c r="AR462" s="110"/>
      <c r="AS462" s="111"/>
      <c r="AT462" s="112"/>
      <c r="AU462" s="112"/>
      <c r="AV462" s="112"/>
      <c r="AW462" s="112"/>
      <c r="AX462" s="112"/>
      <c r="AY462" s="112"/>
      <c r="AZ462" s="112"/>
      <c r="BA462" s="112"/>
      <c r="BB462" s="112"/>
      <c r="BC462" s="112"/>
      <c r="BD462" s="113"/>
      <c r="BE462" s="114"/>
      <c r="BF462" s="115"/>
      <c r="BG462" s="115"/>
      <c r="BH462" s="116" t="str">
        <f t="shared" si="22"/>
        <v/>
      </c>
      <c r="BI462" s="116" t="str">
        <f t="shared" si="23"/>
        <v/>
      </c>
      <c r="BJ462" s="116" t="str">
        <f>IF(AND($A462&lt;&gt;"",$D462=반별조회!$C$5),COUNTIFS($A$3:$A462,"&lt;&gt;",$D$3:$D462,반별조회!$C$5),"")</f>
        <v/>
      </c>
    </row>
    <row r="463" spans="1:62" ht="15" customHeight="1">
      <c r="A463" s="102"/>
      <c r="B463" s="102"/>
      <c r="C463" s="102"/>
      <c r="D463" s="101"/>
      <c r="E463" s="105"/>
      <c r="F463" s="105" t="str">
        <f t="shared" ca="1" si="21"/>
        <v/>
      </c>
      <c r="G463" s="105"/>
      <c r="H463" s="105"/>
      <c r="I463" s="105"/>
      <c r="J463" s="105"/>
      <c r="K463" s="105"/>
      <c r="L463" s="105"/>
      <c r="M463" s="105"/>
      <c r="N463" s="105"/>
      <c r="O463" s="105"/>
      <c r="P463" s="106"/>
      <c r="Q463" s="106"/>
      <c r="R463" s="106"/>
      <c r="S463" s="107"/>
      <c r="T463" s="106"/>
      <c r="U463" s="106"/>
      <c r="V463" s="108"/>
      <c r="W463" s="108"/>
      <c r="X463" s="108"/>
      <c r="Y463" s="108"/>
      <c r="Z463" s="109"/>
      <c r="AA463" s="109"/>
      <c r="AB463" s="109"/>
      <c r="AC463" s="109"/>
      <c r="AD463" s="110"/>
      <c r="AE463" s="110"/>
      <c r="AF463" s="110"/>
      <c r="AG463" s="110"/>
      <c r="AH463" s="110"/>
      <c r="AI463" s="110"/>
      <c r="AJ463" s="110"/>
      <c r="AK463" s="110"/>
      <c r="AL463" s="110"/>
      <c r="AM463" s="110"/>
      <c r="AN463" s="110"/>
      <c r="AO463" s="110"/>
      <c r="AP463" s="110"/>
      <c r="AQ463" s="111"/>
      <c r="AR463" s="110"/>
      <c r="AS463" s="111"/>
      <c r="AT463" s="112"/>
      <c r="AU463" s="112"/>
      <c r="AV463" s="112"/>
      <c r="AW463" s="112"/>
      <c r="AX463" s="112"/>
      <c r="AY463" s="112"/>
      <c r="AZ463" s="112"/>
      <c r="BA463" s="112"/>
      <c r="BB463" s="112"/>
      <c r="BC463" s="112"/>
      <c r="BD463" s="113"/>
      <c r="BE463" s="114"/>
      <c r="BF463" s="115"/>
      <c r="BG463" s="115"/>
      <c r="BH463" s="116" t="str">
        <f t="shared" si="22"/>
        <v/>
      </c>
      <c r="BI463" s="116" t="str">
        <f t="shared" si="23"/>
        <v/>
      </c>
      <c r="BJ463" s="116" t="str">
        <f>IF(AND($A463&lt;&gt;"",$D463=반별조회!$C$5),COUNTIFS($A$3:$A463,"&lt;&gt;",$D$3:$D463,반별조회!$C$5),"")</f>
        <v/>
      </c>
    </row>
    <row r="464" spans="1:62" ht="15" customHeight="1">
      <c r="A464" s="102"/>
      <c r="B464" s="102"/>
      <c r="C464" s="102"/>
      <c r="D464" s="101"/>
      <c r="E464" s="105"/>
      <c r="F464" s="105" t="str">
        <f t="shared" ca="1" si="21"/>
        <v/>
      </c>
      <c r="G464" s="105"/>
      <c r="H464" s="105"/>
      <c r="I464" s="105"/>
      <c r="J464" s="105"/>
      <c r="K464" s="105"/>
      <c r="L464" s="105"/>
      <c r="M464" s="105"/>
      <c r="N464" s="105"/>
      <c r="O464" s="105"/>
      <c r="P464" s="106"/>
      <c r="Q464" s="106"/>
      <c r="R464" s="106"/>
      <c r="S464" s="107"/>
      <c r="T464" s="106"/>
      <c r="U464" s="106"/>
      <c r="V464" s="108"/>
      <c r="W464" s="108"/>
      <c r="X464" s="108"/>
      <c r="Y464" s="108"/>
      <c r="Z464" s="109"/>
      <c r="AA464" s="109"/>
      <c r="AB464" s="109"/>
      <c r="AC464" s="109"/>
      <c r="AD464" s="110"/>
      <c r="AE464" s="110"/>
      <c r="AF464" s="110"/>
      <c r="AG464" s="110"/>
      <c r="AH464" s="110"/>
      <c r="AI464" s="110"/>
      <c r="AJ464" s="110"/>
      <c r="AK464" s="110"/>
      <c r="AL464" s="110"/>
      <c r="AM464" s="110"/>
      <c r="AN464" s="110"/>
      <c r="AO464" s="110"/>
      <c r="AP464" s="110"/>
      <c r="AQ464" s="111"/>
      <c r="AR464" s="110"/>
      <c r="AS464" s="111"/>
      <c r="AT464" s="112"/>
      <c r="AU464" s="112"/>
      <c r="AV464" s="112"/>
      <c r="AW464" s="112"/>
      <c r="AX464" s="112"/>
      <c r="AY464" s="112"/>
      <c r="AZ464" s="112"/>
      <c r="BA464" s="112"/>
      <c r="BB464" s="112"/>
      <c r="BC464" s="112"/>
      <c r="BD464" s="113"/>
      <c r="BE464" s="114"/>
      <c r="BF464" s="115"/>
      <c r="BG464" s="115"/>
      <c r="BH464" s="116" t="str">
        <f t="shared" si="22"/>
        <v/>
      </c>
      <c r="BI464" s="116" t="str">
        <f t="shared" si="23"/>
        <v/>
      </c>
      <c r="BJ464" s="116" t="str">
        <f>IF(AND($A464&lt;&gt;"",$D464=반별조회!$C$5),COUNTIFS($A$3:$A464,"&lt;&gt;",$D$3:$D464,반별조회!$C$5),"")</f>
        <v/>
      </c>
    </row>
    <row r="465" spans="1:62" ht="15" customHeight="1">
      <c r="A465" s="102"/>
      <c r="B465" s="102"/>
      <c r="C465" s="102"/>
      <c r="D465" s="101"/>
      <c r="E465" s="105"/>
      <c r="F465" s="105" t="str">
        <f t="shared" ca="1" si="21"/>
        <v/>
      </c>
      <c r="G465" s="105"/>
      <c r="H465" s="105"/>
      <c r="I465" s="105"/>
      <c r="J465" s="105"/>
      <c r="K465" s="105"/>
      <c r="L465" s="105"/>
      <c r="M465" s="105"/>
      <c r="N465" s="105"/>
      <c r="O465" s="105"/>
      <c r="P465" s="106"/>
      <c r="Q465" s="106"/>
      <c r="R465" s="106"/>
      <c r="S465" s="107"/>
      <c r="T465" s="106"/>
      <c r="U465" s="106"/>
      <c r="V465" s="108"/>
      <c r="W465" s="108"/>
      <c r="X465" s="108"/>
      <c r="Y465" s="108"/>
      <c r="Z465" s="109"/>
      <c r="AA465" s="109"/>
      <c r="AB465" s="109"/>
      <c r="AC465" s="109"/>
      <c r="AD465" s="110"/>
      <c r="AE465" s="110"/>
      <c r="AF465" s="110"/>
      <c r="AG465" s="110"/>
      <c r="AH465" s="110"/>
      <c r="AI465" s="110"/>
      <c r="AJ465" s="110"/>
      <c r="AK465" s="110"/>
      <c r="AL465" s="110"/>
      <c r="AM465" s="110"/>
      <c r="AN465" s="110"/>
      <c r="AO465" s="110"/>
      <c r="AP465" s="110"/>
      <c r="AQ465" s="111"/>
      <c r="AR465" s="110"/>
      <c r="AS465" s="111"/>
      <c r="AT465" s="112"/>
      <c r="AU465" s="112"/>
      <c r="AV465" s="112"/>
      <c r="AW465" s="112"/>
      <c r="AX465" s="112"/>
      <c r="AY465" s="112"/>
      <c r="AZ465" s="112"/>
      <c r="BA465" s="112"/>
      <c r="BB465" s="112"/>
      <c r="BC465" s="112"/>
      <c r="BD465" s="113"/>
      <c r="BE465" s="114"/>
      <c r="BF465" s="115"/>
      <c r="BG465" s="115"/>
      <c r="BH465" s="116" t="str">
        <f t="shared" si="22"/>
        <v/>
      </c>
      <c r="BI465" s="116" t="str">
        <f t="shared" si="23"/>
        <v/>
      </c>
      <c r="BJ465" s="116" t="str">
        <f>IF(AND($A465&lt;&gt;"",$D465=반별조회!$C$5),COUNTIFS($A$3:$A465,"&lt;&gt;",$D$3:$D465,반별조회!$C$5),"")</f>
        <v/>
      </c>
    </row>
    <row r="466" spans="1:62" ht="15" customHeight="1">
      <c r="A466" s="102"/>
      <c r="B466" s="102"/>
      <c r="C466" s="102"/>
      <c r="D466" s="101"/>
      <c r="E466" s="105"/>
      <c r="F466" s="105" t="str">
        <f t="shared" ca="1" si="21"/>
        <v/>
      </c>
      <c r="G466" s="105"/>
      <c r="H466" s="105"/>
      <c r="I466" s="105"/>
      <c r="J466" s="105"/>
      <c r="K466" s="105"/>
      <c r="L466" s="105"/>
      <c r="M466" s="105"/>
      <c r="N466" s="105"/>
      <c r="O466" s="105"/>
      <c r="P466" s="106"/>
      <c r="Q466" s="106"/>
      <c r="R466" s="106"/>
      <c r="S466" s="107"/>
      <c r="T466" s="106"/>
      <c r="U466" s="106"/>
      <c r="V466" s="108"/>
      <c r="W466" s="108"/>
      <c r="X466" s="108"/>
      <c r="Y466" s="108"/>
      <c r="Z466" s="109"/>
      <c r="AA466" s="109"/>
      <c r="AB466" s="109"/>
      <c r="AC466" s="109"/>
      <c r="AD466" s="110"/>
      <c r="AE466" s="110"/>
      <c r="AF466" s="110"/>
      <c r="AG466" s="110"/>
      <c r="AH466" s="110"/>
      <c r="AI466" s="110"/>
      <c r="AJ466" s="110"/>
      <c r="AK466" s="110"/>
      <c r="AL466" s="110"/>
      <c r="AM466" s="110"/>
      <c r="AN466" s="110"/>
      <c r="AO466" s="110"/>
      <c r="AP466" s="110"/>
      <c r="AQ466" s="111"/>
      <c r="AR466" s="110"/>
      <c r="AS466" s="111"/>
      <c r="AT466" s="112"/>
      <c r="AU466" s="112"/>
      <c r="AV466" s="112"/>
      <c r="AW466" s="112"/>
      <c r="AX466" s="112"/>
      <c r="AY466" s="112"/>
      <c r="AZ466" s="112"/>
      <c r="BA466" s="112"/>
      <c r="BB466" s="112"/>
      <c r="BC466" s="112"/>
      <c r="BD466" s="113"/>
      <c r="BE466" s="114"/>
      <c r="BF466" s="115"/>
      <c r="BG466" s="115"/>
      <c r="BH466" s="116" t="str">
        <f t="shared" si="22"/>
        <v/>
      </c>
      <c r="BI466" s="116" t="str">
        <f t="shared" si="23"/>
        <v/>
      </c>
      <c r="BJ466" s="116" t="str">
        <f>IF(AND($A466&lt;&gt;"",$D466=반별조회!$C$5),COUNTIFS($A$3:$A466,"&lt;&gt;",$D$3:$D466,반별조회!$C$5),"")</f>
        <v/>
      </c>
    </row>
    <row r="467" spans="1:62" ht="15" customHeight="1">
      <c r="A467" s="102"/>
      <c r="B467" s="102"/>
      <c r="C467" s="102"/>
      <c r="D467" s="101"/>
      <c r="E467" s="105"/>
      <c r="F467" s="105" t="str">
        <f t="shared" ca="1" si="21"/>
        <v/>
      </c>
      <c r="G467" s="105"/>
      <c r="H467" s="105"/>
      <c r="I467" s="105"/>
      <c r="J467" s="105"/>
      <c r="K467" s="105"/>
      <c r="L467" s="105"/>
      <c r="M467" s="105"/>
      <c r="N467" s="105"/>
      <c r="O467" s="105"/>
      <c r="P467" s="106"/>
      <c r="Q467" s="106"/>
      <c r="R467" s="106"/>
      <c r="S467" s="107"/>
      <c r="T467" s="106"/>
      <c r="U467" s="106"/>
      <c r="V467" s="108"/>
      <c r="W467" s="108"/>
      <c r="X467" s="108"/>
      <c r="Y467" s="108"/>
      <c r="Z467" s="109"/>
      <c r="AA467" s="109"/>
      <c r="AB467" s="109"/>
      <c r="AC467" s="109"/>
      <c r="AD467" s="110"/>
      <c r="AE467" s="110"/>
      <c r="AF467" s="110"/>
      <c r="AG467" s="110"/>
      <c r="AH467" s="110"/>
      <c r="AI467" s="110"/>
      <c r="AJ467" s="110"/>
      <c r="AK467" s="110"/>
      <c r="AL467" s="110"/>
      <c r="AM467" s="110"/>
      <c r="AN467" s="110"/>
      <c r="AO467" s="110"/>
      <c r="AP467" s="110"/>
      <c r="AQ467" s="111"/>
      <c r="AR467" s="110"/>
      <c r="AS467" s="111"/>
      <c r="AT467" s="112"/>
      <c r="AU467" s="112"/>
      <c r="AV467" s="112"/>
      <c r="AW467" s="112"/>
      <c r="AX467" s="112"/>
      <c r="AY467" s="112"/>
      <c r="AZ467" s="112"/>
      <c r="BA467" s="112"/>
      <c r="BB467" s="112"/>
      <c r="BC467" s="112"/>
      <c r="BD467" s="113"/>
      <c r="BE467" s="114"/>
      <c r="BF467" s="115"/>
      <c r="BG467" s="115"/>
      <c r="BH467" s="116" t="str">
        <f t="shared" si="22"/>
        <v/>
      </c>
      <c r="BI467" s="116" t="str">
        <f t="shared" si="23"/>
        <v/>
      </c>
      <c r="BJ467" s="116" t="str">
        <f>IF(AND($A467&lt;&gt;"",$D467=반별조회!$C$5),COUNTIFS($A$3:$A467,"&lt;&gt;",$D$3:$D467,반별조회!$C$5),"")</f>
        <v/>
      </c>
    </row>
    <row r="468" spans="1:62" ht="15" customHeight="1">
      <c r="A468" s="102"/>
      <c r="B468" s="102"/>
      <c r="C468" s="102"/>
      <c r="D468" s="101"/>
      <c r="E468" s="105"/>
      <c r="F468" s="105" t="str">
        <f t="shared" ca="1" si="21"/>
        <v/>
      </c>
      <c r="G468" s="105"/>
      <c r="H468" s="105"/>
      <c r="I468" s="105"/>
      <c r="J468" s="105"/>
      <c r="K468" s="105"/>
      <c r="L468" s="105"/>
      <c r="M468" s="105"/>
      <c r="N468" s="105"/>
      <c r="O468" s="105"/>
      <c r="P468" s="106"/>
      <c r="Q468" s="106"/>
      <c r="R468" s="106"/>
      <c r="S468" s="107"/>
      <c r="T468" s="106"/>
      <c r="U468" s="106"/>
      <c r="V468" s="108"/>
      <c r="W468" s="108"/>
      <c r="X468" s="108"/>
      <c r="Y468" s="108"/>
      <c r="Z468" s="109"/>
      <c r="AA468" s="109"/>
      <c r="AB468" s="109"/>
      <c r="AC468" s="109"/>
      <c r="AD468" s="110"/>
      <c r="AE468" s="110"/>
      <c r="AF468" s="110"/>
      <c r="AG468" s="110"/>
      <c r="AH468" s="110"/>
      <c r="AI468" s="110"/>
      <c r="AJ468" s="110"/>
      <c r="AK468" s="110"/>
      <c r="AL468" s="110"/>
      <c r="AM468" s="110"/>
      <c r="AN468" s="110"/>
      <c r="AO468" s="110"/>
      <c r="AP468" s="110"/>
      <c r="AQ468" s="111"/>
      <c r="AR468" s="110"/>
      <c r="AS468" s="111"/>
      <c r="AT468" s="112"/>
      <c r="AU468" s="112"/>
      <c r="AV468" s="112"/>
      <c r="AW468" s="112"/>
      <c r="AX468" s="112"/>
      <c r="AY468" s="112"/>
      <c r="AZ468" s="112"/>
      <c r="BA468" s="112"/>
      <c r="BB468" s="112"/>
      <c r="BC468" s="112"/>
      <c r="BD468" s="113"/>
      <c r="BE468" s="114"/>
      <c r="BF468" s="115"/>
      <c r="BG468" s="115"/>
      <c r="BH468" s="116" t="str">
        <f t="shared" si="22"/>
        <v/>
      </c>
      <c r="BI468" s="116" t="str">
        <f t="shared" si="23"/>
        <v/>
      </c>
      <c r="BJ468" s="116" t="str">
        <f>IF(AND($A468&lt;&gt;"",$D468=반별조회!$C$5),COUNTIFS($A$3:$A468,"&lt;&gt;",$D$3:$D468,반별조회!$C$5),"")</f>
        <v/>
      </c>
    </row>
    <row r="469" spans="1:62" ht="15" customHeight="1">
      <c r="A469" s="102"/>
      <c r="B469" s="102"/>
      <c r="C469" s="102"/>
      <c r="D469" s="101"/>
      <c r="E469" s="105"/>
      <c r="F469" s="105" t="str">
        <f t="shared" ca="1" si="21"/>
        <v/>
      </c>
      <c r="G469" s="105"/>
      <c r="H469" s="105"/>
      <c r="I469" s="105"/>
      <c r="J469" s="105"/>
      <c r="K469" s="105"/>
      <c r="L469" s="105"/>
      <c r="M469" s="105"/>
      <c r="N469" s="105"/>
      <c r="O469" s="105"/>
      <c r="P469" s="106"/>
      <c r="Q469" s="106"/>
      <c r="R469" s="106"/>
      <c r="S469" s="107"/>
      <c r="T469" s="106"/>
      <c r="U469" s="106"/>
      <c r="V469" s="108"/>
      <c r="W469" s="108"/>
      <c r="X469" s="108"/>
      <c r="Y469" s="108"/>
      <c r="Z469" s="109"/>
      <c r="AA469" s="109"/>
      <c r="AB469" s="109"/>
      <c r="AC469" s="109"/>
      <c r="AD469" s="110"/>
      <c r="AE469" s="110"/>
      <c r="AF469" s="110"/>
      <c r="AG469" s="110"/>
      <c r="AH469" s="110"/>
      <c r="AI469" s="110"/>
      <c r="AJ469" s="110"/>
      <c r="AK469" s="110"/>
      <c r="AL469" s="110"/>
      <c r="AM469" s="110"/>
      <c r="AN469" s="110"/>
      <c r="AO469" s="110"/>
      <c r="AP469" s="110"/>
      <c r="AQ469" s="111"/>
      <c r="AR469" s="110"/>
      <c r="AS469" s="111"/>
      <c r="AT469" s="112"/>
      <c r="AU469" s="112"/>
      <c r="AV469" s="112"/>
      <c r="AW469" s="112"/>
      <c r="AX469" s="112"/>
      <c r="AY469" s="112"/>
      <c r="AZ469" s="112"/>
      <c r="BA469" s="112"/>
      <c r="BB469" s="112"/>
      <c r="BC469" s="112"/>
      <c r="BD469" s="113"/>
      <c r="BE469" s="114"/>
      <c r="BF469" s="115"/>
      <c r="BG469" s="115"/>
      <c r="BH469" s="116" t="str">
        <f t="shared" si="22"/>
        <v/>
      </c>
      <c r="BI469" s="116" t="str">
        <f t="shared" si="23"/>
        <v/>
      </c>
      <c r="BJ469" s="116" t="str">
        <f>IF(AND($A469&lt;&gt;"",$D469=반별조회!$C$5),COUNTIFS($A$3:$A469,"&lt;&gt;",$D$3:$D469,반별조회!$C$5),"")</f>
        <v/>
      </c>
    </row>
    <row r="470" spans="1:62" ht="15" customHeight="1">
      <c r="A470" s="102"/>
      <c r="B470" s="102"/>
      <c r="C470" s="102"/>
      <c r="D470" s="101"/>
      <c r="E470" s="105"/>
      <c r="F470" s="105" t="str">
        <f t="shared" ca="1" si="21"/>
        <v/>
      </c>
      <c r="G470" s="105"/>
      <c r="H470" s="105"/>
      <c r="I470" s="105"/>
      <c r="J470" s="105"/>
      <c r="K470" s="105"/>
      <c r="L470" s="105"/>
      <c r="M470" s="105"/>
      <c r="N470" s="105"/>
      <c r="O470" s="105"/>
      <c r="P470" s="106"/>
      <c r="Q470" s="106"/>
      <c r="R470" s="106"/>
      <c r="S470" s="107"/>
      <c r="T470" s="106"/>
      <c r="U470" s="106"/>
      <c r="V470" s="108"/>
      <c r="W470" s="108"/>
      <c r="X470" s="108"/>
      <c r="Y470" s="108"/>
      <c r="Z470" s="109"/>
      <c r="AA470" s="109"/>
      <c r="AB470" s="109"/>
      <c r="AC470" s="109"/>
      <c r="AD470" s="110"/>
      <c r="AE470" s="110"/>
      <c r="AF470" s="110"/>
      <c r="AG470" s="110"/>
      <c r="AH470" s="110"/>
      <c r="AI470" s="110"/>
      <c r="AJ470" s="110"/>
      <c r="AK470" s="110"/>
      <c r="AL470" s="110"/>
      <c r="AM470" s="110"/>
      <c r="AN470" s="110"/>
      <c r="AO470" s="110"/>
      <c r="AP470" s="110"/>
      <c r="AQ470" s="111"/>
      <c r="AR470" s="110"/>
      <c r="AS470" s="111"/>
      <c r="AT470" s="112"/>
      <c r="AU470" s="112"/>
      <c r="AV470" s="112"/>
      <c r="AW470" s="112"/>
      <c r="AX470" s="112"/>
      <c r="AY470" s="112"/>
      <c r="AZ470" s="112"/>
      <c r="BA470" s="112"/>
      <c r="BB470" s="112"/>
      <c r="BC470" s="112"/>
      <c r="BD470" s="113"/>
      <c r="BE470" s="114"/>
      <c r="BF470" s="115"/>
      <c r="BG470" s="115"/>
      <c r="BH470" s="116" t="str">
        <f t="shared" si="22"/>
        <v/>
      </c>
      <c r="BI470" s="116" t="str">
        <f t="shared" si="23"/>
        <v/>
      </c>
      <c r="BJ470" s="116" t="str">
        <f>IF(AND($A470&lt;&gt;"",$D470=반별조회!$C$5),COUNTIFS($A$3:$A470,"&lt;&gt;",$D$3:$D470,반별조회!$C$5),"")</f>
        <v/>
      </c>
    </row>
    <row r="471" spans="1:62" ht="15" customHeight="1">
      <c r="A471" s="102"/>
      <c r="B471" s="102"/>
      <c r="C471" s="102"/>
      <c r="D471" s="101"/>
      <c r="E471" s="105"/>
      <c r="F471" s="105" t="str">
        <f t="shared" ca="1" si="21"/>
        <v/>
      </c>
      <c r="G471" s="105"/>
      <c r="H471" s="105"/>
      <c r="I471" s="105"/>
      <c r="J471" s="105"/>
      <c r="K471" s="105"/>
      <c r="L471" s="105"/>
      <c r="M471" s="105"/>
      <c r="N471" s="105"/>
      <c r="O471" s="105"/>
      <c r="P471" s="106"/>
      <c r="Q471" s="106"/>
      <c r="R471" s="106"/>
      <c r="S471" s="107"/>
      <c r="T471" s="106"/>
      <c r="U471" s="106"/>
      <c r="V471" s="108"/>
      <c r="W471" s="108"/>
      <c r="X471" s="108"/>
      <c r="Y471" s="108"/>
      <c r="Z471" s="109"/>
      <c r="AA471" s="109"/>
      <c r="AB471" s="109"/>
      <c r="AC471" s="109"/>
      <c r="AD471" s="110"/>
      <c r="AE471" s="110"/>
      <c r="AF471" s="110"/>
      <c r="AG471" s="110"/>
      <c r="AH471" s="110"/>
      <c r="AI471" s="110"/>
      <c r="AJ471" s="110"/>
      <c r="AK471" s="110"/>
      <c r="AL471" s="110"/>
      <c r="AM471" s="110"/>
      <c r="AN471" s="110"/>
      <c r="AO471" s="110"/>
      <c r="AP471" s="110"/>
      <c r="AQ471" s="111"/>
      <c r="AR471" s="110"/>
      <c r="AS471" s="111"/>
      <c r="AT471" s="112"/>
      <c r="AU471" s="112"/>
      <c r="AV471" s="112"/>
      <c r="AW471" s="112"/>
      <c r="AX471" s="112"/>
      <c r="AY471" s="112"/>
      <c r="AZ471" s="112"/>
      <c r="BA471" s="112"/>
      <c r="BB471" s="112"/>
      <c r="BC471" s="112"/>
      <c r="BD471" s="113"/>
      <c r="BE471" s="114"/>
      <c r="BF471" s="115"/>
      <c r="BG471" s="115"/>
      <c r="BH471" s="116" t="str">
        <f t="shared" si="22"/>
        <v/>
      </c>
      <c r="BI471" s="116" t="str">
        <f t="shared" si="23"/>
        <v/>
      </c>
      <c r="BJ471" s="116" t="str">
        <f>IF(AND($A471&lt;&gt;"",$D471=반별조회!$C$5),COUNTIFS($A$3:$A471,"&lt;&gt;",$D$3:$D471,반별조회!$C$5),"")</f>
        <v/>
      </c>
    </row>
    <row r="472" spans="1:62" ht="15" customHeight="1">
      <c r="A472" s="102"/>
      <c r="B472" s="102"/>
      <c r="C472" s="102"/>
      <c r="D472" s="101"/>
      <c r="E472" s="105"/>
      <c r="F472" s="105" t="str">
        <f t="shared" ca="1" si="21"/>
        <v/>
      </c>
      <c r="G472" s="105"/>
      <c r="H472" s="105"/>
      <c r="I472" s="105"/>
      <c r="J472" s="105"/>
      <c r="K472" s="105"/>
      <c r="L472" s="105"/>
      <c r="M472" s="105"/>
      <c r="N472" s="105"/>
      <c r="O472" s="105"/>
      <c r="P472" s="106"/>
      <c r="Q472" s="106"/>
      <c r="R472" s="106"/>
      <c r="S472" s="107"/>
      <c r="T472" s="106"/>
      <c r="U472" s="106"/>
      <c r="V472" s="108"/>
      <c r="W472" s="108"/>
      <c r="X472" s="108"/>
      <c r="Y472" s="108"/>
      <c r="Z472" s="109"/>
      <c r="AA472" s="109"/>
      <c r="AB472" s="109"/>
      <c r="AC472" s="109"/>
      <c r="AD472" s="110"/>
      <c r="AE472" s="110"/>
      <c r="AF472" s="110"/>
      <c r="AG472" s="110"/>
      <c r="AH472" s="110"/>
      <c r="AI472" s="110"/>
      <c r="AJ472" s="110"/>
      <c r="AK472" s="110"/>
      <c r="AL472" s="110"/>
      <c r="AM472" s="110"/>
      <c r="AN472" s="110"/>
      <c r="AO472" s="110"/>
      <c r="AP472" s="110"/>
      <c r="AQ472" s="111"/>
      <c r="AR472" s="110"/>
      <c r="AS472" s="111"/>
      <c r="AT472" s="112"/>
      <c r="AU472" s="112"/>
      <c r="AV472" s="112"/>
      <c r="AW472" s="112"/>
      <c r="AX472" s="112"/>
      <c r="AY472" s="112"/>
      <c r="AZ472" s="112"/>
      <c r="BA472" s="112"/>
      <c r="BB472" s="112"/>
      <c r="BC472" s="112"/>
      <c r="BD472" s="113"/>
      <c r="BE472" s="114"/>
      <c r="BF472" s="115"/>
      <c r="BG472" s="115"/>
      <c r="BH472" s="116" t="str">
        <f t="shared" si="22"/>
        <v/>
      </c>
      <c r="BI472" s="116" t="str">
        <f t="shared" si="23"/>
        <v/>
      </c>
      <c r="BJ472" s="116" t="str">
        <f>IF(AND($A472&lt;&gt;"",$D472=반별조회!$C$5),COUNTIFS($A$3:$A472,"&lt;&gt;",$D$3:$D472,반별조회!$C$5),"")</f>
        <v/>
      </c>
    </row>
    <row r="473" spans="1:62" ht="15" customHeight="1">
      <c r="A473" s="102"/>
      <c r="B473" s="102"/>
      <c r="C473" s="102"/>
      <c r="D473" s="101"/>
      <c r="E473" s="105"/>
      <c r="F473" s="105" t="str">
        <f t="shared" ca="1" si="21"/>
        <v/>
      </c>
      <c r="G473" s="105"/>
      <c r="H473" s="105"/>
      <c r="I473" s="105"/>
      <c r="J473" s="105"/>
      <c r="K473" s="105"/>
      <c r="L473" s="105"/>
      <c r="M473" s="105"/>
      <c r="N473" s="105"/>
      <c r="O473" s="105"/>
      <c r="P473" s="106"/>
      <c r="Q473" s="106"/>
      <c r="R473" s="106"/>
      <c r="S473" s="107"/>
      <c r="T473" s="106"/>
      <c r="U473" s="106"/>
      <c r="V473" s="108"/>
      <c r="W473" s="108"/>
      <c r="X473" s="108"/>
      <c r="Y473" s="108"/>
      <c r="Z473" s="109"/>
      <c r="AA473" s="109"/>
      <c r="AB473" s="109"/>
      <c r="AC473" s="109"/>
      <c r="AD473" s="110"/>
      <c r="AE473" s="110"/>
      <c r="AF473" s="110"/>
      <c r="AG473" s="110"/>
      <c r="AH473" s="110"/>
      <c r="AI473" s="110"/>
      <c r="AJ473" s="110"/>
      <c r="AK473" s="110"/>
      <c r="AL473" s="110"/>
      <c r="AM473" s="110"/>
      <c r="AN473" s="110"/>
      <c r="AO473" s="110"/>
      <c r="AP473" s="110"/>
      <c r="AQ473" s="111"/>
      <c r="AR473" s="110"/>
      <c r="AS473" s="111"/>
      <c r="AT473" s="112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3"/>
      <c r="BE473" s="114"/>
      <c r="BF473" s="115"/>
      <c r="BG473" s="115"/>
      <c r="BH473" s="116" t="str">
        <f t="shared" si="22"/>
        <v/>
      </c>
      <c r="BI473" s="116" t="str">
        <f t="shared" si="23"/>
        <v/>
      </c>
      <c r="BJ473" s="116" t="str">
        <f>IF(AND($A473&lt;&gt;"",$D473=반별조회!$C$5),COUNTIFS($A$3:$A473,"&lt;&gt;",$D$3:$D473,반별조회!$C$5),"")</f>
        <v/>
      </c>
    </row>
    <row r="474" spans="1:62" ht="15" customHeight="1">
      <c r="A474" s="102"/>
      <c r="B474" s="102"/>
      <c r="C474" s="102"/>
      <c r="D474" s="101"/>
      <c r="E474" s="105"/>
      <c r="F474" s="105" t="str">
        <f t="shared" ca="1" si="21"/>
        <v/>
      </c>
      <c r="G474" s="105"/>
      <c r="H474" s="105"/>
      <c r="I474" s="105"/>
      <c r="J474" s="105"/>
      <c r="K474" s="105"/>
      <c r="L474" s="105"/>
      <c r="M474" s="105"/>
      <c r="N474" s="105"/>
      <c r="O474" s="105"/>
      <c r="P474" s="106"/>
      <c r="Q474" s="106"/>
      <c r="R474" s="106"/>
      <c r="S474" s="107"/>
      <c r="T474" s="106"/>
      <c r="U474" s="106"/>
      <c r="V474" s="108"/>
      <c r="W474" s="108"/>
      <c r="X474" s="108"/>
      <c r="Y474" s="108"/>
      <c r="Z474" s="109"/>
      <c r="AA474" s="109"/>
      <c r="AB474" s="109"/>
      <c r="AC474" s="109"/>
      <c r="AD474" s="110"/>
      <c r="AE474" s="110"/>
      <c r="AF474" s="110"/>
      <c r="AG474" s="110"/>
      <c r="AH474" s="110"/>
      <c r="AI474" s="110"/>
      <c r="AJ474" s="110"/>
      <c r="AK474" s="110"/>
      <c r="AL474" s="110"/>
      <c r="AM474" s="110"/>
      <c r="AN474" s="110"/>
      <c r="AO474" s="110"/>
      <c r="AP474" s="110"/>
      <c r="AQ474" s="111"/>
      <c r="AR474" s="110"/>
      <c r="AS474" s="111"/>
      <c r="AT474" s="112"/>
      <c r="AU474" s="112"/>
      <c r="AV474" s="112"/>
      <c r="AW474" s="112"/>
      <c r="AX474" s="112"/>
      <c r="AY474" s="112"/>
      <c r="AZ474" s="112"/>
      <c r="BA474" s="112"/>
      <c r="BB474" s="112"/>
      <c r="BC474" s="112"/>
      <c r="BD474" s="113"/>
      <c r="BE474" s="114"/>
      <c r="BF474" s="115"/>
      <c r="BG474" s="115"/>
      <c r="BH474" s="116" t="str">
        <f t="shared" si="22"/>
        <v/>
      </c>
      <c r="BI474" s="116" t="str">
        <f t="shared" si="23"/>
        <v/>
      </c>
      <c r="BJ474" s="116" t="str">
        <f>IF(AND($A474&lt;&gt;"",$D474=반별조회!$C$5),COUNTIFS($A$3:$A474,"&lt;&gt;",$D$3:$D474,반별조회!$C$5),"")</f>
        <v/>
      </c>
    </row>
    <row r="475" spans="1:62" ht="15" customHeight="1">
      <c r="A475" s="102"/>
      <c r="B475" s="102"/>
      <c r="C475" s="102"/>
      <c r="D475" s="101"/>
      <c r="E475" s="105"/>
      <c r="F475" s="105" t="str">
        <f t="shared" ca="1" si="21"/>
        <v/>
      </c>
      <c r="G475" s="105"/>
      <c r="H475" s="105"/>
      <c r="I475" s="105"/>
      <c r="J475" s="105"/>
      <c r="K475" s="105"/>
      <c r="L475" s="105"/>
      <c r="M475" s="105"/>
      <c r="N475" s="105"/>
      <c r="O475" s="105"/>
      <c r="P475" s="106"/>
      <c r="Q475" s="106"/>
      <c r="R475" s="106"/>
      <c r="S475" s="107"/>
      <c r="T475" s="106"/>
      <c r="U475" s="106"/>
      <c r="V475" s="108"/>
      <c r="W475" s="108"/>
      <c r="X475" s="108"/>
      <c r="Y475" s="108"/>
      <c r="Z475" s="109"/>
      <c r="AA475" s="109"/>
      <c r="AB475" s="109"/>
      <c r="AC475" s="109"/>
      <c r="AD475" s="110"/>
      <c r="AE475" s="110"/>
      <c r="AF475" s="110"/>
      <c r="AG475" s="110"/>
      <c r="AH475" s="110"/>
      <c r="AI475" s="110"/>
      <c r="AJ475" s="110"/>
      <c r="AK475" s="110"/>
      <c r="AL475" s="110"/>
      <c r="AM475" s="110"/>
      <c r="AN475" s="110"/>
      <c r="AO475" s="110"/>
      <c r="AP475" s="110"/>
      <c r="AQ475" s="111"/>
      <c r="AR475" s="110"/>
      <c r="AS475" s="111"/>
      <c r="AT475" s="112"/>
      <c r="AU475" s="112"/>
      <c r="AV475" s="112"/>
      <c r="AW475" s="112"/>
      <c r="AX475" s="112"/>
      <c r="AY475" s="112"/>
      <c r="AZ475" s="112"/>
      <c r="BA475" s="112"/>
      <c r="BB475" s="112"/>
      <c r="BC475" s="112"/>
      <c r="BD475" s="113"/>
      <c r="BE475" s="114"/>
      <c r="BF475" s="115"/>
      <c r="BG475" s="115"/>
      <c r="BH475" s="116" t="str">
        <f t="shared" si="22"/>
        <v/>
      </c>
      <c r="BI475" s="116" t="str">
        <f t="shared" si="23"/>
        <v/>
      </c>
      <c r="BJ475" s="116" t="str">
        <f>IF(AND($A475&lt;&gt;"",$D475=반별조회!$C$5),COUNTIFS($A$3:$A475,"&lt;&gt;",$D$3:$D475,반별조회!$C$5),"")</f>
        <v/>
      </c>
    </row>
    <row r="476" spans="1:62" ht="15" customHeight="1">
      <c r="A476" s="102"/>
      <c r="B476" s="102"/>
      <c r="C476" s="102"/>
      <c r="D476" s="101"/>
      <c r="E476" s="105"/>
      <c r="F476" s="105" t="str">
        <f t="shared" ca="1" si="21"/>
        <v/>
      </c>
      <c r="G476" s="105"/>
      <c r="H476" s="105"/>
      <c r="I476" s="105"/>
      <c r="J476" s="105"/>
      <c r="K476" s="105"/>
      <c r="L476" s="105"/>
      <c r="M476" s="105"/>
      <c r="N476" s="105"/>
      <c r="O476" s="105"/>
      <c r="P476" s="106"/>
      <c r="Q476" s="106"/>
      <c r="R476" s="106"/>
      <c r="S476" s="107"/>
      <c r="T476" s="106"/>
      <c r="U476" s="106"/>
      <c r="V476" s="108"/>
      <c r="W476" s="108"/>
      <c r="X476" s="108"/>
      <c r="Y476" s="108"/>
      <c r="Z476" s="109"/>
      <c r="AA476" s="109"/>
      <c r="AB476" s="109"/>
      <c r="AC476" s="109"/>
      <c r="AD476" s="110"/>
      <c r="AE476" s="110"/>
      <c r="AF476" s="110"/>
      <c r="AG476" s="110"/>
      <c r="AH476" s="110"/>
      <c r="AI476" s="110"/>
      <c r="AJ476" s="110"/>
      <c r="AK476" s="110"/>
      <c r="AL476" s="110"/>
      <c r="AM476" s="110"/>
      <c r="AN476" s="110"/>
      <c r="AO476" s="110"/>
      <c r="AP476" s="110"/>
      <c r="AQ476" s="111"/>
      <c r="AR476" s="110"/>
      <c r="AS476" s="111"/>
      <c r="AT476" s="112"/>
      <c r="AU476" s="112"/>
      <c r="AV476" s="112"/>
      <c r="AW476" s="112"/>
      <c r="AX476" s="112"/>
      <c r="AY476" s="112"/>
      <c r="AZ476" s="112"/>
      <c r="BA476" s="112"/>
      <c r="BB476" s="112"/>
      <c r="BC476" s="112"/>
      <c r="BD476" s="113"/>
      <c r="BE476" s="114"/>
      <c r="BF476" s="115"/>
      <c r="BG476" s="115"/>
      <c r="BH476" s="116" t="str">
        <f t="shared" si="22"/>
        <v/>
      </c>
      <c r="BI476" s="116" t="str">
        <f t="shared" si="23"/>
        <v/>
      </c>
      <c r="BJ476" s="116" t="str">
        <f>IF(AND($A476&lt;&gt;"",$D476=반별조회!$C$5),COUNTIFS($A$3:$A476,"&lt;&gt;",$D$3:$D476,반별조회!$C$5),"")</f>
        <v/>
      </c>
    </row>
    <row r="477" spans="1:62" ht="15" customHeight="1">
      <c r="A477" s="102"/>
      <c r="B477" s="102"/>
      <c r="C477" s="102"/>
      <c r="D477" s="101"/>
      <c r="E477" s="105"/>
      <c r="F477" s="105" t="str">
        <f t="shared" ca="1" si="21"/>
        <v/>
      </c>
      <c r="G477" s="105"/>
      <c r="H477" s="105"/>
      <c r="I477" s="105"/>
      <c r="J477" s="105"/>
      <c r="K477" s="105"/>
      <c r="L477" s="105"/>
      <c r="M477" s="105"/>
      <c r="N477" s="105"/>
      <c r="O477" s="105"/>
      <c r="P477" s="106"/>
      <c r="Q477" s="106"/>
      <c r="R477" s="106"/>
      <c r="S477" s="107"/>
      <c r="T477" s="106"/>
      <c r="U477" s="106"/>
      <c r="V477" s="108"/>
      <c r="W477" s="108"/>
      <c r="X477" s="108"/>
      <c r="Y477" s="108"/>
      <c r="Z477" s="109"/>
      <c r="AA477" s="109"/>
      <c r="AB477" s="109"/>
      <c r="AC477" s="109"/>
      <c r="AD477" s="110"/>
      <c r="AE477" s="110"/>
      <c r="AF477" s="110"/>
      <c r="AG477" s="110"/>
      <c r="AH477" s="110"/>
      <c r="AI477" s="110"/>
      <c r="AJ477" s="110"/>
      <c r="AK477" s="110"/>
      <c r="AL477" s="110"/>
      <c r="AM477" s="110"/>
      <c r="AN477" s="110"/>
      <c r="AO477" s="110"/>
      <c r="AP477" s="110"/>
      <c r="AQ477" s="111"/>
      <c r="AR477" s="110"/>
      <c r="AS477" s="111"/>
      <c r="AT477" s="112"/>
      <c r="AU477" s="112"/>
      <c r="AV477" s="112"/>
      <c r="AW477" s="112"/>
      <c r="AX477" s="112"/>
      <c r="AY477" s="112"/>
      <c r="AZ477" s="112"/>
      <c r="BA477" s="112"/>
      <c r="BB477" s="112"/>
      <c r="BC477" s="112"/>
      <c r="BD477" s="113"/>
      <c r="BE477" s="114"/>
      <c r="BF477" s="115"/>
      <c r="BG477" s="115"/>
      <c r="BH477" s="116" t="str">
        <f t="shared" si="22"/>
        <v/>
      </c>
      <c r="BI477" s="116" t="str">
        <f t="shared" si="23"/>
        <v/>
      </c>
      <c r="BJ477" s="116" t="str">
        <f>IF(AND($A477&lt;&gt;"",$D477=반별조회!$C$5),COUNTIFS($A$3:$A477,"&lt;&gt;",$D$3:$D477,반별조회!$C$5),"")</f>
        <v/>
      </c>
    </row>
    <row r="478" spans="1:62" ht="15" customHeight="1">
      <c r="A478" s="102"/>
      <c r="B478" s="102"/>
      <c r="C478" s="102"/>
      <c r="D478" s="101"/>
      <c r="E478" s="105"/>
      <c r="F478" s="105" t="str">
        <f t="shared" ca="1" si="21"/>
        <v/>
      </c>
      <c r="G478" s="105"/>
      <c r="H478" s="105"/>
      <c r="I478" s="105"/>
      <c r="J478" s="105"/>
      <c r="K478" s="105"/>
      <c r="L478" s="105"/>
      <c r="M478" s="105"/>
      <c r="N478" s="105"/>
      <c r="O478" s="105"/>
      <c r="P478" s="106"/>
      <c r="Q478" s="106"/>
      <c r="R478" s="106"/>
      <c r="S478" s="107"/>
      <c r="T478" s="106"/>
      <c r="U478" s="106"/>
      <c r="V478" s="108"/>
      <c r="W478" s="108"/>
      <c r="X478" s="108"/>
      <c r="Y478" s="108"/>
      <c r="Z478" s="109"/>
      <c r="AA478" s="109"/>
      <c r="AB478" s="109"/>
      <c r="AC478" s="109"/>
      <c r="AD478" s="110"/>
      <c r="AE478" s="110"/>
      <c r="AF478" s="110"/>
      <c r="AG478" s="110"/>
      <c r="AH478" s="110"/>
      <c r="AI478" s="110"/>
      <c r="AJ478" s="110"/>
      <c r="AK478" s="110"/>
      <c r="AL478" s="110"/>
      <c r="AM478" s="110"/>
      <c r="AN478" s="110"/>
      <c r="AO478" s="110"/>
      <c r="AP478" s="110"/>
      <c r="AQ478" s="111"/>
      <c r="AR478" s="110"/>
      <c r="AS478" s="111"/>
      <c r="AT478" s="112"/>
      <c r="AU478" s="112"/>
      <c r="AV478" s="112"/>
      <c r="AW478" s="112"/>
      <c r="AX478" s="112"/>
      <c r="AY478" s="112"/>
      <c r="AZ478" s="112"/>
      <c r="BA478" s="112"/>
      <c r="BB478" s="112"/>
      <c r="BC478" s="112"/>
      <c r="BD478" s="113"/>
      <c r="BE478" s="114"/>
      <c r="BF478" s="115"/>
      <c r="BG478" s="115"/>
      <c r="BH478" s="116" t="str">
        <f t="shared" si="22"/>
        <v/>
      </c>
      <c r="BI478" s="116" t="str">
        <f t="shared" si="23"/>
        <v/>
      </c>
      <c r="BJ478" s="116" t="str">
        <f>IF(AND($A478&lt;&gt;"",$D478=반별조회!$C$5),COUNTIFS($A$3:$A478,"&lt;&gt;",$D$3:$D478,반별조회!$C$5),"")</f>
        <v/>
      </c>
    </row>
    <row r="479" spans="1:62" ht="15" customHeight="1">
      <c r="A479" s="102"/>
      <c r="B479" s="102"/>
      <c r="C479" s="102"/>
      <c r="D479" s="101"/>
      <c r="E479" s="105"/>
      <c r="F479" s="105" t="str">
        <f t="shared" ca="1" si="21"/>
        <v/>
      </c>
      <c r="G479" s="105"/>
      <c r="H479" s="105"/>
      <c r="I479" s="105"/>
      <c r="J479" s="105"/>
      <c r="K479" s="105"/>
      <c r="L479" s="105"/>
      <c r="M479" s="105"/>
      <c r="N479" s="105"/>
      <c r="O479" s="105"/>
      <c r="P479" s="106"/>
      <c r="Q479" s="106"/>
      <c r="R479" s="106"/>
      <c r="S479" s="107"/>
      <c r="T479" s="106"/>
      <c r="U479" s="106"/>
      <c r="V479" s="108"/>
      <c r="W479" s="108"/>
      <c r="X479" s="108"/>
      <c r="Y479" s="108"/>
      <c r="Z479" s="109"/>
      <c r="AA479" s="109"/>
      <c r="AB479" s="109"/>
      <c r="AC479" s="109"/>
      <c r="AD479" s="110"/>
      <c r="AE479" s="110"/>
      <c r="AF479" s="110"/>
      <c r="AG479" s="110"/>
      <c r="AH479" s="110"/>
      <c r="AI479" s="110"/>
      <c r="AJ479" s="110"/>
      <c r="AK479" s="110"/>
      <c r="AL479" s="110"/>
      <c r="AM479" s="110"/>
      <c r="AN479" s="110"/>
      <c r="AO479" s="110"/>
      <c r="AP479" s="110"/>
      <c r="AQ479" s="111"/>
      <c r="AR479" s="110"/>
      <c r="AS479" s="111"/>
      <c r="AT479" s="112"/>
      <c r="AU479" s="112"/>
      <c r="AV479" s="112"/>
      <c r="AW479" s="112"/>
      <c r="AX479" s="112"/>
      <c r="AY479" s="112"/>
      <c r="AZ479" s="112"/>
      <c r="BA479" s="112"/>
      <c r="BB479" s="112"/>
      <c r="BC479" s="112"/>
      <c r="BD479" s="113"/>
      <c r="BE479" s="114"/>
      <c r="BF479" s="115"/>
      <c r="BG479" s="115"/>
      <c r="BH479" s="116" t="str">
        <f t="shared" si="22"/>
        <v/>
      </c>
      <c r="BI479" s="116" t="str">
        <f t="shared" si="23"/>
        <v/>
      </c>
      <c r="BJ479" s="116" t="str">
        <f>IF(AND($A479&lt;&gt;"",$D479=반별조회!$C$5),COUNTIFS($A$3:$A479,"&lt;&gt;",$D$3:$D479,반별조회!$C$5),"")</f>
        <v/>
      </c>
    </row>
    <row r="480" spans="1:62" ht="15" customHeight="1">
      <c r="A480" s="102"/>
      <c r="B480" s="102"/>
      <c r="C480" s="102"/>
      <c r="D480" s="101"/>
      <c r="E480" s="105"/>
      <c r="F480" s="105" t="str">
        <f t="shared" ca="1" si="21"/>
        <v/>
      </c>
      <c r="G480" s="105"/>
      <c r="H480" s="105"/>
      <c r="I480" s="105"/>
      <c r="J480" s="105"/>
      <c r="K480" s="105"/>
      <c r="L480" s="105"/>
      <c r="M480" s="105"/>
      <c r="N480" s="105"/>
      <c r="O480" s="105"/>
      <c r="P480" s="106"/>
      <c r="Q480" s="106"/>
      <c r="R480" s="106"/>
      <c r="S480" s="107"/>
      <c r="T480" s="106"/>
      <c r="U480" s="106"/>
      <c r="V480" s="108"/>
      <c r="W480" s="108"/>
      <c r="X480" s="108"/>
      <c r="Y480" s="108"/>
      <c r="Z480" s="109"/>
      <c r="AA480" s="109"/>
      <c r="AB480" s="109"/>
      <c r="AC480" s="109"/>
      <c r="AD480" s="110"/>
      <c r="AE480" s="110"/>
      <c r="AF480" s="110"/>
      <c r="AG480" s="110"/>
      <c r="AH480" s="110"/>
      <c r="AI480" s="110"/>
      <c r="AJ480" s="110"/>
      <c r="AK480" s="110"/>
      <c r="AL480" s="110"/>
      <c r="AM480" s="110"/>
      <c r="AN480" s="110"/>
      <c r="AO480" s="110"/>
      <c r="AP480" s="110"/>
      <c r="AQ480" s="111"/>
      <c r="AR480" s="110"/>
      <c r="AS480" s="111"/>
      <c r="AT480" s="112"/>
      <c r="AU480" s="112"/>
      <c r="AV480" s="112"/>
      <c r="AW480" s="112"/>
      <c r="AX480" s="112"/>
      <c r="AY480" s="112"/>
      <c r="AZ480" s="112"/>
      <c r="BA480" s="112"/>
      <c r="BB480" s="112"/>
      <c r="BC480" s="112"/>
      <c r="BD480" s="113"/>
      <c r="BE480" s="114"/>
      <c r="BF480" s="115"/>
      <c r="BG480" s="115"/>
      <c r="BH480" s="116" t="str">
        <f t="shared" si="22"/>
        <v/>
      </c>
      <c r="BI480" s="116" t="str">
        <f t="shared" si="23"/>
        <v/>
      </c>
      <c r="BJ480" s="116" t="str">
        <f>IF(AND($A480&lt;&gt;"",$D480=반별조회!$C$5),COUNTIFS($A$3:$A480,"&lt;&gt;",$D$3:$D480,반별조회!$C$5),"")</f>
        <v/>
      </c>
    </row>
    <row r="481" spans="1:62" ht="15" customHeight="1">
      <c r="A481" s="102"/>
      <c r="B481" s="102"/>
      <c r="C481" s="102"/>
      <c r="D481" s="101"/>
      <c r="E481" s="105"/>
      <c r="F481" s="105" t="str">
        <f t="shared" ca="1" si="21"/>
        <v/>
      </c>
      <c r="G481" s="105"/>
      <c r="H481" s="105"/>
      <c r="I481" s="105"/>
      <c r="J481" s="105"/>
      <c r="K481" s="105"/>
      <c r="L481" s="105"/>
      <c r="M481" s="105"/>
      <c r="N481" s="105"/>
      <c r="O481" s="105"/>
      <c r="P481" s="106"/>
      <c r="Q481" s="106"/>
      <c r="R481" s="106"/>
      <c r="S481" s="107"/>
      <c r="T481" s="106"/>
      <c r="U481" s="106"/>
      <c r="V481" s="108"/>
      <c r="W481" s="108"/>
      <c r="X481" s="108"/>
      <c r="Y481" s="108"/>
      <c r="Z481" s="109"/>
      <c r="AA481" s="109"/>
      <c r="AB481" s="109"/>
      <c r="AC481" s="109"/>
      <c r="AD481" s="110"/>
      <c r="AE481" s="110"/>
      <c r="AF481" s="110"/>
      <c r="AG481" s="110"/>
      <c r="AH481" s="110"/>
      <c r="AI481" s="110"/>
      <c r="AJ481" s="110"/>
      <c r="AK481" s="110"/>
      <c r="AL481" s="110"/>
      <c r="AM481" s="110"/>
      <c r="AN481" s="110"/>
      <c r="AO481" s="110"/>
      <c r="AP481" s="110"/>
      <c r="AQ481" s="111"/>
      <c r="AR481" s="110"/>
      <c r="AS481" s="111"/>
      <c r="AT481" s="112"/>
      <c r="AU481" s="112"/>
      <c r="AV481" s="112"/>
      <c r="AW481" s="112"/>
      <c r="AX481" s="112"/>
      <c r="AY481" s="112"/>
      <c r="AZ481" s="112"/>
      <c r="BA481" s="112"/>
      <c r="BB481" s="112"/>
      <c r="BC481" s="112"/>
      <c r="BD481" s="113"/>
      <c r="BE481" s="114"/>
      <c r="BF481" s="115"/>
      <c r="BG481" s="115"/>
      <c r="BH481" s="116" t="str">
        <f t="shared" si="22"/>
        <v/>
      </c>
      <c r="BI481" s="116" t="str">
        <f t="shared" si="23"/>
        <v/>
      </c>
      <c r="BJ481" s="116" t="str">
        <f>IF(AND($A481&lt;&gt;"",$D481=반별조회!$C$5),COUNTIFS($A$3:$A481,"&lt;&gt;",$D$3:$D481,반별조회!$C$5),"")</f>
        <v/>
      </c>
    </row>
    <row r="482" spans="1:62" ht="15" customHeight="1">
      <c r="A482" s="102"/>
      <c r="B482" s="102"/>
      <c r="C482" s="102"/>
      <c r="D482" s="101"/>
      <c r="E482" s="105"/>
      <c r="F482" s="105" t="str">
        <f t="shared" ca="1" si="21"/>
        <v/>
      </c>
      <c r="G482" s="105"/>
      <c r="H482" s="105"/>
      <c r="I482" s="105"/>
      <c r="J482" s="105"/>
      <c r="K482" s="105"/>
      <c r="L482" s="105"/>
      <c r="M482" s="105"/>
      <c r="N482" s="105"/>
      <c r="O482" s="105"/>
      <c r="P482" s="106"/>
      <c r="Q482" s="106"/>
      <c r="R482" s="106"/>
      <c r="S482" s="107"/>
      <c r="T482" s="106"/>
      <c r="U482" s="106"/>
      <c r="V482" s="108"/>
      <c r="W482" s="108"/>
      <c r="X482" s="108"/>
      <c r="Y482" s="108"/>
      <c r="Z482" s="109"/>
      <c r="AA482" s="109"/>
      <c r="AB482" s="109"/>
      <c r="AC482" s="109"/>
      <c r="AD482" s="110"/>
      <c r="AE482" s="110"/>
      <c r="AF482" s="110"/>
      <c r="AG482" s="110"/>
      <c r="AH482" s="110"/>
      <c r="AI482" s="110"/>
      <c r="AJ482" s="110"/>
      <c r="AK482" s="110"/>
      <c r="AL482" s="110"/>
      <c r="AM482" s="110"/>
      <c r="AN482" s="110"/>
      <c r="AO482" s="110"/>
      <c r="AP482" s="110"/>
      <c r="AQ482" s="111"/>
      <c r="AR482" s="110"/>
      <c r="AS482" s="111"/>
      <c r="AT482" s="112"/>
      <c r="AU482" s="112"/>
      <c r="AV482" s="112"/>
      <c r="AW482" s="112"/>
      <c r="AX482" s="112"/>
      <c r="AY482" s="112"/>
      <c r="AZ482" s="112"/>
      <c r="BA482" s="112"/>
      <c r="BB482" s="112"/>
      <c r="BC482" s="112"/>
      <c r="BD482" s="113"/>
      <c r="BE482" s="114"/>
      <c r="BF482" s="115"/>
      <c r="BG482" s="115"/>
      <c r="BH482" s="116" t="str">
        <f t="shared" si="22"/>
        <v/>
      </c>
      <c r="BI482" s="116" t="str">
        <f t="shared" si="23"/>
        <v/>
      </c>
      <c r="BJ482" s="116" t="str">
        <f>IF(AND($A482&lt;&gt;"",$D482=반별조회!$C$5),COUNTIFS($A$3:$A482,"&lt;&gt;",$D$3:$D482,반별조회!$C$5),"")</f>
        <v/>
      </c>
    </row>
    <row r="483" spans="1:62" ht="15" customHeight="1">
      <c r="A483" s="102"/>
      <c r="B483" s="102"/>
      <c r="C483" s="102"/>
      <c r="D483" s="101"/>
      <c r="E483" s="105"/>
      <c r="F483" s="105" t="str">
        <f t="shared" ca="1" si="21"/>
        <v/>
      </c>
      <c r="G483" s="105"/>
      <c r="H483" s="105"/>
      <c r="I483" s="105"/>
      <c r="J483" s="105"/>
      <c r="K483" s="105"/>
      <c r="L483" s="105"/>
      <c r="M483" s="105"/>
      <c r="N483" s="105"/>
      <c r="O483" s="105"/>
      <c r="P483" s="106"/>
      <c r="Q483" s="106"/>
      <c r="R483" s="106"/>
      <c r="S483" s="107"/>
      <c r="T483" s="106"/>
      <c r="U483" s="106"/>
      <c r="V483" s="108"/>
      <c r="W483" s="108"/>
      <c r="X483" s="108"/>
      <c r="Y483" s="108"/>
      <c r="Z483" s="109"/>
      <c r="AA483" s="109"/>
      <c r="AB483" s="109"/>
      <c r="AC483" s="109"/>
      <c r="AD483" s="110"/>
      <c r="AE483" s="110"/>
      <c r="AF483" s="110"/>
      <c r="AG483" s="110"/>
      <c r="AH483" s="110"/>
      <c r="AI483" s="110"/>
      <c r="AJ483" s="110"/>
      <c r="AK483" s="110"/>
      <c r="AL483" s="110"/>
      <c r="AM483" s="110"/>
      <c r="AN483" s="110"/>
      <c r="AO483" s="110"/>
      <c r="AP483" s="110"/>
      <c r="AQ483" s="111"/>
      <c r="AR483" s="110"/>
      <c r="AS483" s="111"/>
      <c r="AT483" s="112"/>
      <c r="AU483" s="112"/>
      <c r="AV483" s="112"/>
      <c r="AW483" s="112"/>
      <c r="AX483" s="112"/>
      <c r="AY483" s="112"/>
      <c r="AZ483" s="112"/>
      <c r="BA483" s="112"/>
      <c r="BB483" s="112"/>
      <c r="BC483" s="112"/>
      <c r="BD483" s="113"/>
      <c r="BE483" s="114"/>
      <c r="BF483" s="115"/>
      <c r="BG483" s="115"/>
      <c r="BH483" s="116" t="str">
        <f t="shared" si="22"/>
        <v/>
      </c>
      <c r="BI483" s="116" t="str">
        <f t="shared" si="23"/>
        <v/>
      </c>
      <c r="BJ483" s="116" t="str">
        <f>IF(AND($A483&lt;&gt;"",$D483=반별조회!$C$5),COUNTIFS($A$3:$A483,"&lt;&gt;",$D$3:$D483,반별조회!$C$5),"")</f>
        <v/>
      </c>
    </row>
    <row r="484" spans="1:62" ht="15" customHeight="1">
      <c r="A484" s="102"/>
      <c r="B484" s="102"/>
      <c r="C484" s="102"/>
      <c r="D484" s="101"/>
      <c r="E484" s="105"/>
      <c r="F484" s="105" t="str">
        <f t="shared" ca="1" si="21"/>
        <v/>
      </c>
      <c r="G484" s="105"/>
      <c r="H484" s="105"/>
      <c r="I484" s="105"/>
      <c r="J484" s="105"/>
      <c r="K484" s="105"/>
      <c r="L484" s="105"/>
      <c r="M484" s="105"/>
      <c r="N484" s="105"/>
      <c r="O484" s="105"/>
      <c r="P484" s="106"/>
      <c r="Q484" s="106"/>
      <c r="R484" s="106"/>
      <c r="S484" s="107"/>
      <c r="T484" s="106"/>
      <c r="U484" s="106"/>
      <c r="V484" s="108"/>
      <c r="W484" s="108"/>
      <c r="X484" s="108"/>
      <c r="Y484" s="108"/>
      <c r="Z484" s="109"/>
      <c r="AA484" s="109"/>
      <c r="AB484" s="109"/>
      <c r="AC484" s="109"/>
      <c r="AD484" s="110"/>
      <c r="AE484" s="110"/>
      <c r="AF484" s="110"/>
      <c r="AG484" s="110"/>
      <c r="AH484" s="110"/>
      <c r="AI484" s="110"/>
      <c r="AJ484" s="110"/>
      <c r="AK484" s="110"/>
      <c r="AL484" s="110"/>
      <c r="AM484" s="110"/>
      <c r="AN484" s="110"/>
      <c r="AO484" s="110"/>
      <c r="AP484" s="110"/>
      <c r="AQ484" s="111"/>
      <c r="AR484" s="110"/>
      <c r="AS484" s="111"/>
      <c r="AT484" s="112"/>
      <c r="AU484" s="112"/>
      <c r="AV484" s="112"/>
      <c r="AW484" s="112"/>
      <c r="AX484" s="112"/>
      <c r="AY484" s="112"/>
      <c r="AZ484" s="112"/>
      <c r="BA484" s="112"/>
      <c r="BB484" s="112"/>
      <c r="BC484" s="112"/>
      <c r="BD484" s="113"/>
      <c r="BE484" s="114"/>
      <c r="BF484" s="115"/>
      <c r="BG484" s="115"/>
      <c r="BH484" s="116" t="str">
        <f t="shared" si="22"/>
        <v/>
      </c>
      <c r="BI484" s="116" t="str">
        <f t="shared" si="23"/>
        <v/>
      </c>
      <c r="BJ484" s="116" t="str">
        <f>IF(AND($A484&lt;&gt;"",$D484=반별조회!$C$5),COUNTIFS($A$3:$A484,"&lt;&gt;",$D$3:$D484,반별조회!$C$5),"")</f>
        <v/>
      </c>
    </row>
    <row r="485" spans="1:62" ht="15" customHeight="1">
      <c r="A485" s="102"/>
      <c r="B485" s="102"/>
      <c r="C485" s="102"/>
      <c r="D485" s="101"/>
      <c r="E485" s="105"/>
      <c r="F485" s="105" t="str">
        <f t="shared" ca="1" si="21"/>
        <v/>
      </c>
      <c r="G485" s="105"/>
      <c r="H485" s="105"/>
      <c r="I485" s="105"/>
      <c r="J485" s="105"/>
      <c r="K485" s="105"/>
      <c r="L485" s="105"/>
      <c r="M485" s="105"/>
      <c r="N485" s="105"/>
      <c r="O485" s="105"/>
      <c r="P485" s="106"/>
      <c r="Q485" s="106"/>
      <c r="R485" s="106"/>
      <c r="S485" s="107"/>
      <c r="T485" s="106"/>
      <c r="U485" s="106"/>
      <c r="V485" s="108"/>
      <c r="W485" s="108"/>
      <c r="X485" s="108"/>
      <c r="Y485" s="108"/>
      <c r="Z485" s="109"/>
      <c r="AA485" s="109"/>
      <c r="AB485" s="109"/>
      <c r="AC485" s="109"/>
      <c r="AD485" s="110"/>
      <c r="AE485" s="110"/>
      <c r="AF485" s="110"/>
      <c r="AG485" s="110"/>
      <c r="AH485" s="110"/>
      <c r="AI485" s="110"/>
      <c r="AJ485" s="110"/>
      <c r="AK485" s="110"/>
      <c r="AL485" s="110"/>
      <c r="AM485" s="110"/>
      <c r="AN485" s="110"/>
      <c r="AO485" s="110"/>
      <c r="AP485" s="110"/>
      <c r="AQ485" s="111"/>
      <c r="AR485" s="110"/>
      <c r="AS485" s="111"/>
      <c r="AT485" s="112"/>
      <c r="AU485" s="112"/>
      <c r="AV485" s="112"/>
      <c r="AW485" s="112"/>
      <c r="AX485" s="112"/>
      <c r="AY485" s="112"/>
      <c r="AZ485" s="112"/>
      <c r="BA485" s="112"/>
      <c r="BB485" s="112"/>
      <c r="BC485" s="112"/>
      <c r="BD485" s="113"/>
      <c r="BE485" s="114"/>
      <c r="BF485" s="115"/>
      <c r="BG485" s="115"/>
      <c r="BH485" s="116" t="str">
        <f t="shared" si="22"/>
        <v/>
      </c>
      <c r="BI485" s="116" t="str">
        <f t="shared" si="23"/>
        <v/>
      </c>
      <c r="BJ485" s="116" t="str">
        <f>IF(AND($A485&lt;&gt;"",$D485=반별조회!$C$5),COUNTIFS($A$3:$A485,"&lt;&gt;",$D$3:$D485,반별조회!$C$5),"")</f>
        <v/>
      </c>
    </row>
    <row r="486" spans="1:62" ht="15" customHeight="1">
      <c r="A486" s="102"/>
      <c r="B486" s="102"/>
      <c r="C486" s="102"/>
      <c r="D486" s="101"/>
      <c r="E486" s="105"/>
      <c r="F486" s="105" t="str">
        <f t="shared" ca="1" si="21"/>
        <v/>
      </c>
      <c r="G486" s="105"/>
      <c r="H486" s="105"/>
      <c r="I486" s="105"/>
      <c r="J486" s="105"/>
      <c r="K486" s="105"/>
      <c r="L486" s="105"/>
      <c r="M486" s="105"/>
      <c r="N486" s="105"/>
      <c r="O486" s="105"/>
      <c r="P486" s="106"/>
      <c r="Q486" s="106"/>
      <c r="R486" s="106"/>
      <c r="S486" s="107"/>
      <c r="T486" s="106"/>
      <c r="U486" s="106"/>
      <c r="V486" s="108"/>
      <c r="W486" s="108"/>
      <c r="X486" s="108"/>
      <c r="Y486" s="108"/>
      <c r="Z486" s="109"/>
      <c r="AA486" s="109"/>
      <c r="AB486" s="109"/>
      <c r="AC486" s="109"/>
      <c r="AD486" s="110"/>
      <c r="AE486" s="110"/>
      <c r="AF486" s="110"/>
      <c r="AG486" s="110"/>
      <c r="AH486" s="110"/>
      <c r="AI486" s="110"/>
      <c r="AJ486" s="110"/>
      <c r="AK486" s="110"/>
      <c r="AL486" s="110"/>
      <c r="AM486" s="110"/>
      <c r="AN486" s="110"/>
      <c r="AO486" s="110"/>
      <c r="AP486" s="110"/>
      <c r="AQ486" s="111"/>
      <c r="AR486" s="110"/>
      <c r="AS486" s="111"/>
      <c r="AT486" s="112"/>
      <c r="AU486" s="112"/>
      <c r="AV486" s="112"/>
      <c r="AW486" s="112"/>
      <c r="AX486" s="112"/>
      <c r="AY486" s="112"/>
      <c r="AZ486" s="112"/>
      <c r="BA486" s="112"/>
      <c r="BB486" s="112"/>
      <c r="BC486" s="112"/>
      <c r="BD486" s="113"/>
      <c r="BE486" s="114"/>
      <c r="BF486" s="115"/>
      <c r="BG486" s="115"/>
      <c r="BH486" s="116" t="str">
        <f t="shared" si="22"/>
        <v/>
      </c>
      <c r="BI486" s="116" t="str">
        <f t="shared" si="23"/>
        <v/>
      </c>
      <c r="BJ486" s="116" t="str">
        <f>IF(AND($A486&lt;&gt;"",$D486=반별조회!$C$5),COUNTIFS($A$3:$A486,"&lt;&gt;",$D$3:$D486,반별조회!$C$5),"")</f>
        <v/>
      </c>
    </row>
    <row r="487" spans="1:62" ht="15" customHeight="1">
      <c r="A487" s="102"/>
      <c r="B487" s="102"/>
      <c r="C487" s="102"/>
      <c r="D487" s="101"/>
      <c r="E487" s="105"/>
      <c r="F487" s="105" t="str">
        <f t="shared" ca="1" si="21"/>
        <v/>
      </c>
      <c r="G487" s="105"/>
      <c r="H487" s="105"/>
      <c r="I487" s="105"/>
      <c r="J487" s="105"/>
      <c r="K487" s="105"/>
      <c r="L487" s="105"/>
      <c r="M487" s="105"/>
      <c r="N487" s="105"/>
      <c r="O487" s="105"/>
      <c r="P487" s="106"/>
      <c r="Q487" s="106"/>
      <c r="R487" s="106"/>
      <c r="S487" s="107"/>
      <c r="T487" s="106"/>
      <c r="U487" s="106"/>
      <c r="V487" s="108"/>
      <c r="W487" s="108"/>
      <c r="X487" s="108"/>
      <c r="Y487" s="108"/>
      <c r="Z487" s="109"/>
      <c r="AA487" s="109"/>
      <c r="AB487" s="109"/>
      <c r="AC487" s="109"/>
      <c r="AD487" s="110"/>
      <c r="AE487" s="110"/>
      <c r="AF487" s="110"/>
      <c r="AG487" s="110"/>
      <c r="AH487" s="110"/>
      <c r="AI487" s="110"/>
      <c r="AJ487" s="110"/>
      <c r="AK487" s="110"/>
      <c r="AL487" s="110"/>
      <c r="AM487" s="110"/>
      <c r="AN487" s="110"/>
      <c r="AO487" s="110"/>
      <c r="AP487" s="110"/>
      <c r="AQ487" s="111"/>
      <c r="AR487" s="110"/>
      <c r="AS487" s="111"/>
      <c r="AT487" s="112"/>
      <c r="AU487" s="112"/>
      <c r="AV487" s="112"/>
      <c r="AW487" s="112"/>
      <c r="AX487" s="112"/>
      <c r="AY487" s="112"/>
      <c r="AZ487" s="112"/>
      <c r="BA487" s="112"/>
      <c r="BB487" s="112"/>
      <c r="BC487" s="112"/>
      <c r="BD487" s="113"/>
      <c r="BE487" s="114"/>
      <c r="BF487" s="115"/>
      <c r="BG487" s="115"/>
      <c r="BH487" s="116" t="str">
        <f t="shared" si="22"/>
        <v/>
      </c>
      <c r="BI487" s="116" t="str">
        <f t="shared" si="23"/>
        <v/>
      </c>
      <c r="BJ487" s="116" t="str">
        <f>IF(AND($A487&lt;&gt;"",$D487=반별조회!$C$5),COUNTIFS($A$3:$A487,"&lt;&gt;",$D$3:$D487,반별조회!$C$5),"")</f>
        <v/>
      </c>
    </row>
    <row r="488" spans="1:62" ht="15" customHeight="1">
      <c r="A488" s="102"/>
      <c r="B488" s="102"/>
      <c r="C488" s="102"/>
      <c r="D488" s="101"/>
      <c r="E488" s="105"/>
      <c r="F488" s="105" t="str">
        <f t="shared" ca="1" si="21"/>
        <v/>
      </c>
      <c r="G488" s="105"/>
      <c r="H488" s="105"/>
      <c r="I488" s="105"/>
      <c r="J488" s="105"/>
      <c r="K488" s="105"/>
      <c r="L488" s="105"/>
      <c r="M488" s="105"/>
      <c r="N488" s="105"/>
      <c r="O488" s="105"/>
      <c r="P488" s="106"/>
      <c r="Q488" s="106"/>
      <c r="R488" s="106"/>
      <c r="S488" s="107"/>
      <c r="T488" s="106"/>
      <c r="U488" s="106"/>
      <c r="V488" s="108"/>
      <c r="W488" s="108"/>
      <c r="X488" s="108"/>
      <c r="Y488" s="108"/>
      <c r="Z488" s="109"/>
      <c r="AA488" s="109"/>
      <c r="AB488" s="109"/>
      <c r="AC488" s="109"/>
      <c r="AD488" s="110"/>
      <c r="AE488" s="110"/>
      <c r="AF488" s="110"/>
      <c r="AG488" s="110"/>
      <c r="AH488" s="110"/>
      <c r="AI488" s="110"/>
      <c r="AJ488" s="110"/>
      <c r="AK488" s="110"/>
      <c r="AL488" s="110"/>
      <c r="AM488" s="110"/>
      <c r="AN488" s="110"/>
      <c r="AO488" s="110"/>
      <c r="AP488" s="110"/>
      <c r="AQ488" s="111"/>
      <c r="AR488" s="110"/>
      <c r="AS488" s="111"/>
      <c r="AT488" s="112"/>
      <c r="AU488" s="112"/>
      <c r="AV488" s="112"/>
      <c r="AW488" s="112"/>
      <c r="AX488" s="112"/>
      <c r="AY488" s="112"/>
      <c r="AZ488" s="112"/>
      <c r="BA488" s="112"/>
      <c r="BB488" s="112"/>
      <c r="BC488" s="112"/>
      <c r="BD488" s="113"/>
      <c r="BE488" s="114"/>
      <c r="BF488" s="115"/>
      <c r="BG488" s="115"/>
      <c r="BH488" s="116" t="str">
        <f t="shared" si="22"/>
        <v/>
      </c>
      <c r="BI488" s="116" t="str">
        <f t="shared" si="23"/>
        <v/>
      </c>
      <c r="BJ488" s="116" t="str">
        <f>IF(AND($A488&lt;&gt;"",$D488=반별조회!$C$5),COUNTIFS($A$3:$A488,"&lt;&gt;",$D$3:$D488,반별조회!$C$5),"")</f>
        <v/>
      </c>
    </row>
    <row r="489" spans="1:62" ht="15" customHeight="1">
      <c r="A489" s="102"/>
      <c r="B489" s="102"/>
      <c r="C489" s="102"/>
      <c r="D489" s="101"/>
      <c r="E489" s="105"/>
      <c r="F489" s="105" t="str">
        <f t="shared" ca="1" si="21"/>
        <v/>
      </c>
      <c r="G489" s="105"/>
      <c r="H489" s="105"/>
      <c r="I489" s="105"/>
      <c r="J489" s="105"/>
      <c r="K489" s="105"/>
      <c r="L489" s="105"/>
      <c r="M489" s="105"/>
      <c r="N489" s="105"/>
      <c r="O489" s="105"/>
      <c r="P489" s="106"/>
      <c r="Q489" s="106"/>
      <c r="R489" s="106"/>
      <c r="S489" s="107"/>
      <c r="T489" s="106"/>
      <c r="U489" s="106"/>
      <c r="V489" s="108"/>
      <c r="W489" s="108"/>
      <c r="X489" s="108"/>
      <c r="Y489" s="108"/>
      <c r="Z489" s="109"/>
      <c r="AA489" s="109"/>
      <c r="AB489" s="109"/>
      <c r="AC489" s="109"/>
      <c r="AD489" s="110"/>
      <c r="AE489" s="110"/>
      <c r="AF489" s="110"/>
      <c r="AG489" s="110"/>
      <c r="AH489" s="110"/>
      <c r="AI489" s="110"/>
      <c r="AJ489" s="110"/>
      <c r="AK489" s="110"/>
      <c r="AL489" s="110"/>
      <c r="AM489" s="110"/>
      <c r="AN489" s="110"/>
      <c r="AO489" s="110"/>
      <c r="AP489" s="110"/>
      <c r="AQ489" s="111"/>
      <c r="AR489" s="110"/>
      <c r="AS489" s="111"/>
      <c r="AT489" s="112"/>
      <c r="AU489" s="112"/>
      <c r="AV489" s="112"/>
      <c r="AW489" s="112"/>
      <c r="AX489" s="112"/>
      <c r="AY489" s="112"/>
      <c r="AZ489" s="112"/>
      <c r="BA489" s="112"/>
      <c r="BB489" s="112"/>
      <c r="BC489" s="112"/>
      <c r="BD489" s="113"/>
      <c r="BE489" s="114"/>
      <c r="BF489" s="115"/>
      <c r="BG489" s="115"/>
      <c r="BH489" s="116" t="str">
        <f t="shared" si="22"/>
        <v/>
      </c>
      <c r="BI489" s="116" t="str">
        <f t="shared" si="23"/>
        <v/>
      </c>
      <c r="BJ489" s="116" t="str">
        <f>IF(AND($A489&lt;&gt;"",$D489=반별조회!$C$5),COUNTIFS($A$3:$A489,"&lt;&gt;",$D$3:$D489,반별조회!$C$5),"")</f>
        <v/>
      </c>
    </row>
    <row r="490" spans="1:62" ht="15" customHeight="1">
      <c r="A490" s="102"/>
      <c r="B490" s="102"/>
      <c r="C490" s="102"/>
      <c r="D490" s="101"/>
      <c r="E490" s="105"/>
      <c r="F490" s="105" t="str">
        <f t="shared" ca="1" si="21"/>
        <v/>
      </c>
      <c r="G490" s="105"/>
      <c r="H490" s="105"/>
      <c r="I490" s="105"/>
      <c r="J490" s="105"/>
      <c r="K490" s="105"/>
      <c r="L490" s="105"/>
      <c r="M490" s="105"/>
      <c r="N490" s="105"/>
      <c r="O490" s="105"/>
      <c r="P490" s="106"/>
      <c r="Q490" s="106"/>
      <c r="R490" s="106"/>
      <c r="S490" s="107"/>
      <c r="T490" s="106"/>
      <c r="U490" s="106"/>
      <c r="V490" s="108"/>
      <c r="W490" s="108"/>
      <c r="X490" s="108"/>
      <c r="Y490" s="108"/>
      <c r="Z490" s="109"/>
      <c r="AA490" s="109"/>
      <c r="AB490" s="109"/>
      <c r="AC490" s="109"/>
      <c r="AD490" s="110"/>
      <c r="AE490" s="110"/>
      <c r="AF490" s="110"/>
      <c r="AG490" s="110"/>
      <c r="AH490" s="110"/>
      <c r="AI490" s="110"/>
      <c r="AJ490" s="110"/>
      <c r="AK490" s="110"/>
      <c r="AL490" s="110"/>
      <c r="AM490" s="110"/>
      <c r="AN490" s="110"/>
      <c r="AO490" s="110"/>
      <c r="AP490" s="110"/>
      <c r="AQ490" s="111"/>
      <c r="AR490" s="110"/>
      <c r="AS490" s="111"/>
      <c r="AT490" s="112"/>
      <c r="AU490" s="112"/>
      <c r="AV490" s="112"/>
      <c r="AW490" s="112"/>
      <c r="AX490" s="112"/>
      <c r="AY490" s="112"/>
      <c r="AZ490" s="112"/>
      <c r="BA490" s="112"/>
      <c r="BB490" s="112"/>
      <c r="BC490" s="112"/>
      <c r="BD490" s="113"/>
      <c r="BE490" s="114"/>
      <c r="BF490" s="115"/>
      <c r="BG490" s="115"/>
      <c r="BH490" s="116" t="str">
        <f t="shared" si="22"/>
        <v/>
      </c>
      <c r="BI490" s="116" t="str">
        <f t="shared" si="23"/>
        <v/>
      </c>
      <c r="BJ490" s="116" t="str">
        <f>IF(AND($A490&lt;&gt;"",$D490=반별조회!$C$5),COUNTIFS($A$3:$A490,"&lt;&gt;",$D$3:$D490,반별조회!$C$5),"")</f>
        <v/>
      </c>
    </row>
    <row r="491" spans="1:62" ht="15" customHeight="1">
      <c r="A491" s="102"/>
      <c r="B491" s="102"/>
      <c r="C491" s="102"/>
      <c r="D491" s="101"/>
      <c r="E491" s="105"/>
      <c r="F491" s="105" t="str">
        <f t="shared" ca="1" si="21"/>
        <v/>
      </c>
      <c r="G491" s="105"/>
      <c r="H491" s="105"/>
      <c r="I491" s="105"/>
      <c r="J491" s="105"/>
      <c r="K491" s="105"/>
      <c r="L491" s="105"/>
      <c r="M491" s="105"/>
      <c r="N491" s="105"/>
      <c r="O491" s="105"/>
      <c r="P491" s="106"/>
      <c r="Q491" s="106"/>
      <c r="R491" s="106"/>
      <c r="S491" s="107"/>
      <c r="T491" s="106"/>
      <c r="U491" s="106"/>
      <c r="V491" s="108"/>
      <c r="W491" s="108"/>
      <c r="X491" s="108"/>
      <c r="Y491" s="108"/>
      <c r="Z491" s="109"/>
      <c r="AA491" s="109"/>
      <c r="AB491" s="109"/>
      <c r="AC491" s="109"/>
      <c r="AD491" s="110"/>
      <c r="AE491" s="110"/>
      <c r="AF491" s="110"/>
      <c r="AG491" s="110"/>
      <c r="AH491" s="110"/>
      <c r="AI491" s="110"/>
      <c r="AJ491" s="110"/>
      <c r="AK491" s="110"/>
      <c r="AL491" s="110"/>
      <c r="AM491" s="110"/>
      <c r="AN491" s="110"/>
      <c r="AO491" s="110"/>
      <c r="AP491" s="110"/>
      <c r="AQ491" s="111"/>
      <c r="AR491" s="110"/>
      <c r="AS491" s="111"/>
      <c r="AT491" s="112"/>
      <c r="AU491" s="112"/>
      <c r="AV491" s="112"/>
      <c r="AW491" s="112"/>
      <c r="AX491" s="112"/>
      <c r="AY491" s="112"/>
      <c r="AZ491" s="112"/>
      <c r="BA491" s="112"/>
      <c r="BB491" s="112"/>
      <c r="BC491" s="112"/>
      <c r="BD491" s="113"/>
      <c r="BE491" s="114"/>
      <c r="BF491" s="115"/>
      <c r="BG491" s="115"/>
      <c r="BH491" s="116" t="str">
        <f t="shared" si="22"/>
        <v/>
      </c>
      <c r="BI491" s="116" t="str">
        <f t="shared" si="23"/>
        <v/>
      </c>
      <c r="BJ491" s="116" t="str">
        <f>IF(AND($A491&lt;&gt;"",$D491=반별조회!$C$5),COUNTIFS($A$3:$A491,"&lt;&gt;",$D$3:$D491,반별조회!$C$5),"")</f>
        <v/>
      </c>
    </row>
    <row r="492" spans="1:62" ht="15" customHeight="1">
      <c r="A492" s="102"/>
      <c r="B492" s="102"/>
      <c r="C492" s="102"/>
      <c r="D492" s="101"/>
      <c r="E492" s="105"/>
      <c r="F492" s="105" t="str">
        <f t="shared" ca="1" si="21"/>
        <v/>
      </c>
      <c r="G492" s="105"/>
      <c r="H492" s="105"/>
      <c r="I492" s="105"/>
      <c r="J492" s="105"/>
      <c r="K492" s="105"/>
      <c r="L492" s="105"/>
      <c r="M492" s="105"/>
      <c r="N492" s="105"/>
      <c r="O492" s="105"/>
      <c r="P492" s="106"/>
      <c r="Q492" s="106"/>
      <c r="R492" s="106"/>
      <c r="S492" s="107"/>
      <c r="T492" s="106"/>
      <c r="U492" s="106"/>
      <c r="V492" s="108"/>
      <c r="W492" s="108"/>
      <c r="X492" s="108"/>
      <c r="Y492" s="108"/>
      <c r="Z492" s="109"/>
      <c r="AA492" s="109"/>
      <c r="AB492" s="109"/>
      <c r="AC492" s="109"/>
      <c r="AD492" s="110"/>
      <c r="AE492" s="110"/>
      <c r="AF492" s="110"/>
      <c r="AG492" s="110"/>
      <c r="AH492" s="110"/>
      <c r="AI492" s="110"/>
      <c r="AJ492" s="110"/>
      <c r="AK492" s="110"/>
      <c r="AL492" s="110"/>
      <c r="AM492" s="110"/>
      <c r="AN492" s="110"/>
      <c r="AO492" s="110"/>
      <c r="AP492" s="110"/>
      <c r="AQ492" s="111"/>
      <c r="AR492" s="110"/>
      <c r="AS492" s="111"/>
      <c r="AT492" s="112"/>
      <c r="AU492" s="112"/>
      <c r="AV492" s="112"/>
      <c r="AW492" s="112"/>
      <c r="AX492" s="112"/>
      <c r="AY492" s="112"/>
      <c r="AZ492" s="112"/>
      <c r="BA492" s="112"/>
      <c r="BB492" s="112"/>
      <c r="BC492" s="112"/>
      <c r="BD492" s="113"/>
      <c r="BE492" s="114"/>
      <c r="BF492" s="115"/>
      <c r="BG492" s="115"/>
      <c r="BH492" s="116" t="str">
        <f t="shared" si="22"/>
        <v/>
      </c>
      <c r="BI492" s="116" t="str">
        <f t="shared" si="23"/>
        <v/>
      </c>
      <c r="BJ492" s="116" t="str">
        <f>IF(AND($A492&lt;&gt;"",$D492=반별조회!$C$5),COUNTIFS($A$3:$A492,"&lt;&gt;",$D$3:$D492,반별조회!$C$5),"")</f>
        <v/>
      </c>
    </row>
    <row r="493" spans="1:62" ht="15" customHeight="1">
      <c r="A493" s="102"/>
      <c r="B493" s="102"/>
      <c r="C493" s="102"/>
      <c r="D493" s="101"/>
      <c r="E493" s="105"/>
      <c r="F493" s="105" t="str">
        <f t="shared" ca="1" si="21"/>
        <v/>
      </c>
      <c r="G493" s="105"/>
      <c r="H493" s="105"/>
      <c r="I493" s="105"/>
      <c r="J493" s="105"/>
      <c r="K493" s="105"/>
      <c r="L493" s="105"/>
      <c r="M493" s="105"/>
      <c r="N493" s="105"/>
      <c r="O493" s="105"/>
      <c r="P493" s="106"/>
      <c r="Q493" s="106"/>
      <c r="R493" s="106"/>
      <c r="S493" s="107"/>
      <c r="T493" s="106"/>
      <c r="U493" s="106"/>
      <c r="V493" s="108"/>
      <c r="W493" s="108"/>
      <c r="X493" s="108"/>
      <c r="Y493" s="108"/>
      <c r="Z493" s="109"/>
      <c r="AA493" s="109"/>
      <c r="AB493" s="109"/>
      <c r="AC493" s="109"/>
      <c r="AD493" s="110"/>
      <c r="AE493" s="110"/>
      <c r="AF493" s="110"/>
      <c r="AG493" s="110"/>
      <c r="AH493" s="110"/>
      <c r="AI493" s="110"/>
      <c r="AJ493" s="110"/>
      <c r="AK493" s="110"/>
      <c r="AL493" s="110"/>
      <c r="AM493" s="110"/>
      <c r="AN493" s="110"/>
      <c r="AO493" s="110"/>
      <c r="AP493" s="110"/>
      <c r="AQ493" s="111"/>
      <c r="AR493" s="110"/>
      <c r="AS493" s="111"/>
      <c r="AT493" s="112"/>
      <c r="AU493" s="112"/>
      <c r="AV493" s="112"/>
      <c r="AW493" s="112"/>
      <c r="AX493" s="112"/>
      <c r="AY493" s="112"/>
      <c r="AZ493" s="112"/>
      <c r="BA493" s="112"/>
      <c r="BB493" s="112"/>
      <c r="BC493" s="112"/>
      <c r="BD493" s="113"/>
      <c r="BE493" s="114"/>
      <c r="BF493" s="115"/>
      <c r="BG493" s="115"/>
      <c r="BH493" s="116" t="str">
        <f t="shared" si="22"/>
        <v/>
      </c>
      <c r="BI493" s="116" t="str">
        <f t="shared" si="23"/>
        <v/>
      </c>
      <c r="BJ493" s="116" t="str">
        <f>IF(AND($A493&lt;&gt;"",$D493=반별조회!$C$5),COUNTIFS($A$3:$A493,"&lt;&gt;",$D$3:$D493,반별조회!$C$5),"")</f>
        <v/>
      </c>
    </row>
    <row r="494" spans="1:62" ht="15" customHeight="1">
      <c r="A494" s="102"/>
      <c r="B494" s="102"/>
      <c r="C494" s="102"/>
      <c r="D494" s="101"/>
      <c r="E494" s="105"/>
      <c r="F494" s="105" t="str">
        <f t="shared" ca="1" si="21"/>
        <v/>
      </c>
      <c r="G494" s="105"/>
      <c r="H494" s="105"/>
      <c r="I494" s="105"/>
      <c r="J494" s="105"/>
      <c r="K494" s="105"/>
      <c r="L494" s="105"/>
      <c r="M494" s="105"/>
      <c r="N494" s="105"/>
      <c r="O494" s="105"/>
      <c r="P494" s="106"/>
      <c r="Q494" s="106"/>
      <c r="R494" s="106"/>
      <c r="S494" s="107"/>
      <c r="T494" s="106"/>
      <c r="U494" s="106"/>
      <c r="V494" s="108"/>
      <c r="W494" s="108"/>
      <c r="X494" s="108"/>
      <c r="Y494" s="108"/>
      <c r="Z494" s="109"/>
      <c r="AA494" s="109"/>
      <c r="AB494" s="109"/>
      <c r="AC494" s="109"/>
      <c r="AD494" s="110"/>
      <c r="AE494" s="110"/>
      <c r="AF494" s="110"/>
      <c r="AG494" s="110"/>
      <c r="AH494" s="110"/>
      <c r="AI494" s="110"/>
      <c r="AJ494" s="110"/>
      <c r="AK494" s="110"/>
      <c r="AL494" s="110"/>
      <c r="AM494" s="110"/>
      <c r="AN494" s="110"/>
      <c r="AO494" s="110"/>
      <c r="AP494" s="110"/>
      <c r="AQ494" s="111"/>
      <c r="AR494" s="110"/>
      <c r="AS494" s="111"/>
      <c r="AT494" s="112"/>
      <c r="AU494" s="112"/>
      <c r="AV494" s="112"/>
      <c r="AW494" s="112"/>
      <c r="AX494" s="112"/>
      <c r="AY494" s="112"/>
      <c r="AZ494" s="112"/>
      <c r="BA494" s="112"/>
      <c r="BB494" s="112"/>
      <c r="BC494" s="112"/>
      <c r="BD494" s="113"/>
      <c r="BE494" s="114"/>
      <c r="BF494" s="115"/>
      <c r="BG494" s="115"/>
      <c r="BH494" s="116" t="str">
        <f t="shared" si="22"/>
        <v/>
      </c>
      <c r="BI494" s="116" t="str">
        <f t="shared" si="23"/>
        <v/>
      </c>
      <c r="BJ494" s="116" t="str">
        <f>IF(AND($A494&lt;&gt;"",$D494=반별조회!$C$5),COUNTIFS($A$3:$A494,"&lt;&gt;",$D$3:$D494,반별조회!$C$5),"")</f>
        <v/>
      </c>
    </row>
    <row r="495" spans="1:62" ht="15" customHeight="1">
      <c r="A495" s="102"/>
      <c r="B495" s="102"/>
      <c r="C495" s="102"/>
      <c r="D495" s="101"/>
      <c r="E495" s="105"/>
      <c r="F495" s="105" t="str">
        <f t="shared" ca="1" si="21"/>
        <v/>
      </c>
      <c r="G495" s="105"/>
      <c r="H495" s="105"/>
      <c r="I495" s="105"/>
      <c r="J495" s="105"/>
      <c r="K495" s="105"/>
      <c r="L495" s="105"/>
      <c r="M495" s="105"/>
      <c r="N495" s="105"/>
      <c r="O495" s="105"/>
      <c r="P495" s="106"/>
      <c r="Q495" s="106"/>
      <c r="R495" s="106"/>
      <c r="S495" s="107"/>
      <c r="T495" s="106"/>
      <c r="U495" s="106"/>
      <c r="V495" s="108"/>
      <c r="W495" s="108"/>
      <c r="X495" s="108"/>
      <c r="Y495" s="108"/>
      <c r="Z495" s="109"/>
      <c r="AA495" s="109"/>
      <c r="AB495" s="109"/>
      <c r="AC495" s="109"/>
      <c r="AD495" s="110"/>
      <c r="AE495" s="110"/>
      <c r="AF495" s="110"/>
      <c r="AG495" s="110"/>
      <c r="AH495" s="110"/>
      <c r="AI495" s="110"/>
      <c r="AJ495" s="110"/>
      <c r="AK495" s="110"/>
      <c r="AL495" s="110"/>
      <c r="AM495" s="110"/>
      <c r="AN495" s="110"/>
      <c r="AO495" s="110"/>
      <c r="AP495" s="110"/>
      <c r="AQ495" s="111"/>
      <c r="AR495" s="110"/>
      <c r="AS495" s="111"/>
      <c r="AT495" s="112"/>
      <c r="AU495" s="112"/>
      <c r="AV495" s="112"/>
      <c r="AW495" s="112"/>
      <c r="AX495" s="112"/>
      <c r="AY495" s="112"/>
      <c r="AZ495" s="112"/>
      <c r="BA495" s="112"/>
      <c r="BB495" s="112"/>
      <c r="BC495" s="112"/>
      <c r="BD495" s="113"/>
      <c r="BE495" s="114"/>
      <c r="BF495" s="115"/>
      <c r="BG495" s="115"/>
      <c r="BH495" s="116" t="str">
        <f t="shared" si="22"/>
        <v/>
      </c>
      <c r="BI495" s="116" t="str">
        <f t="shared" si="23"/>
        <v/>
      </c>
      <c r="BJ495" s="116" t="str">
        <f>IF(AND($A495&lt;&gt;"",$D495=반별조회!$C$5),COUNTIFS($A$3:$A495,"&lt;&gt;",$D$3:$D495,반별조회!$C$5),"")</f>
        <v/>
      </c>
    </row>
    <row r="496" spans="1:62" ht="15" customHeight="1">
      <c r="A496" s="102"/>
      <c r="B496" s="102"/>
      <c r="C496" s="102"/>
      <c r="D496" s="101"/>
      <c r="E496" s="105"/>
      <c r="F496" s="105" t="str">
        <f t="shared" ca="1" si="21"/>
        <v/>
      </c>
      <c r="G496" s="105"/>
      <c r="H496" s="105"/>
      <c r="I496" s="105"/>
      <c r="J496" s="105"/>
      <c r="K496" s="105"/>
      <c r="L496" s="105"/>
      <c r="M496" s="105"/>
      <c r="N496" s="105"/>
      <c r="O496" s="105"/>
      <c r="P496" s="106"/>
      <c r="Q496" s="106"/>
      <c r="R496" s="106"/>
      <c r="S496" s="107"/>
      <c r="T496" s="106"/>
      <c r="U496" s="106"/>
      <c r="V496" s="108"/>
      <c r="W496" s="108"/>
      <c r="X496" s="108"/>
      <c r="Y496" s="108"/>
      <c r="Z496" s="109"/>
      <c r="AA496" s="109"/>
      <c r="AB496" s="109"/>
      <c r="AC496" s="109"/>
      <c r="AD496" s="110"/>
      <c r="AE496" s="110"/>
      <c r="AF496" s="110"/>
      <c r="AG496" s="110"/>
      <c r="AH496" s="110"/>
      <c r="AI496" s="110"/>
      <c r="AJ496" s="110"/>
      <c r="AK496" s="110"/>
      <c r="AL496" s="110"/>
      <c r="AM496" s="110"/>
      <c r="AN496" s="110"/>
      <c r="AO496" s="110"/>
      <c r="AP496" s="110"/>
      <c r="AQ496" s="111"/>
      <c r="AR496" s="110"/>
      <c r="AS496" s="111"/>
      <c r="AT496" s="112"/>
      <c r="AU496" s="112"/>
      <c r="AV496" s="112"/>
      <c r="AW496" s="112"/>
      <c r="AX496" s="112"/>
      <c r="AY496" s="112"/>
      <c r="AZ496" s="112"/>
      <c r="BA496" s="112"/>
      <c r="BB496" s="112"/>
      <c r="BC496" s="112"/>
      <c r="BD496" s="113"/>
      <c r="BE496" s="114"/>
      <c r="BF496" s="115"/>
      <c r="BG496" s="115"/>
      <c r="BH496" s="116" t="str">
        <f t="shared" si="22"/>
        <v/>
      </c>
      <c r="BI496" s="116" t="str">
        <f t="shared" si="23"/>
        <v/>
      </c>
      <c r="BJ496" s="116" t="str">
        <f>IF(AND($A496&lt;&gt;"",$D496=반별조회!$C$5),COUNTIFS($A$3:$A496,"&lt;&gt;",$D$3:$D496,반별조회!$C$5),"")</f>
        <v/>
      </c>
    </row>
    <row r="497" spans="1:62" ht="15" customHeight="1">
      <c r="A497" s="102"/>
      <c r="B497" s="102"/>
      <c r="C497" s="102"/>
      <c r="D497" s="101"/>
      <c r="E497" s="105"/>
      <c r="F497" s="105" t="str">
        <f t="shared" ca="1" si="21"/>
        <v/>
      </c>
      <c r="G497" s="105"/>
      <c r="H497" s="105"/>
      <c r="I497" s="105"/>
      <c r="J497" s="105"/>
      <c r="K497" s="105"/>
      <c r="L497" s="105"/>
      <c r="M497" s="105"/>
      <c r="N497" s="105"/>
      <c r="O497" s="105"/>
      <c r="P497" s="106"/>
      <c r="Q497" s="106"/>
      <c r="R497" s="106"/>
      <c r="S497" s="107"/>
      <c r="T497" s="106"/>
      <c r="U497" s="106"/>
      <c r="V497" s="108"/>
      <c r="W497" s="108"/>
      <c r="X497" s="108"/>
      <c r="Y497" s="108"/>
      <c r="Z497" s="109"/>
      <c r="AA497" s="109"/>
      <c r="AB497" s="109"/>
      <c r="AC497" s="109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1"/>
      <c r="AR497" s="110"/>
      <c r="AS497" s="111"/>
      <c r="AT497" s="112"/>
      <c r="AU497" s="112"/>
      <c r="AV497" s="112"/>
      <c r="AW497" s="112"/>
      <c r="AX497" s="112"/>
      <c r="AY497" s="112"/>
      <c r="AZ497" s="112"/>
      <c r="BA497" s="112"/>
      <c r="BB497" s="112"/>
      <c r="BC497" s="112"/>
      <c r="BD497" s="113"/>
      <c r="BE497" s="114"/>
      <c r="BF497" s="115"/>
      <c r="BG497" s="115"/>
      <c r="BH497" s="116" t="str">
        <f t="shared" si="22"/>
        <v/>
      </c>
      <c r="BI497" s="116" t="str">
        <f t="shared" si="23"/>
        <v/>
      </c>
      <c r="BJ497" s="116" t="str">
        <f>IF(AND($A497&lt;&gt;"",$D497=반별조회!$C$5),COUNTIFS($A$3:$A497,"&lt;&gt;",$D$3:$D497,반별조회!$C$5),"")</f>
        <v/>
      </c>
    </row>
    <row r="498" spans="1:62" ht="15" customHeight="1">
      <c r="A498" s="102"/>
      <c r="B498" s="102"/>
      <c r="C498" s="102"/>
      <c r="D498" s="101"/>
      <c r="E498" s="105"/>
      <c r="F498" s="105" t="str">
        <f t="shared" ca="1" si="21"/>
        <v/>
      </c>
      <c r="G498" s="105"/>
      <c r="H498" s="105"/>
      <c r="I498" s="105"/>
      <c r="J498" s="105"/>
      <c r="K498" s="105"/>
      <c r="L498" s="105"/>
      <c r="M498" s="105"/>
      <c r="N498" s="105"/>
      <c r="O498" s="105"/>
      <c r="P498" s="106"/>
      <c r="Q498" s="106"/>
      <c r="R498" s="106"/>
      <c r="S498" s="107"/>
      <c r="T498" s="106"/>
      <c r="U498" s="106"/>
      <c r="V498" s="108"/>
      <c r="W498" s="108"/>
      <c r="X498" s="108"/>
      <c r="Y498" s="108"/>
      <c r="Z498" s="109"/>
      <c r="AA498" s="109"/>
      <c r="AB498" s="109"/>
      <c r="AC498" s="109"/>
      <c r="AD498" s="110"/>
      <c r="AE498" s="110"/>
      <c r="AF498" s="110"/>
      <c r="AG498" s="110"/>
      <c r="AH498" s="110"/>
      <c r="AI498" s="110"/>
      <c r="AJ498" s="110"/>
      <c r="AK498" s="110"/>
      <c r="AL498" s="110"/>
      <c r="AM498" s="110"/>
      <c r="AN498" s="110"/>
      <c r="AO498" s="110"/>
      <c r="AP498" s="110"/>
      <c r="AQ498" s="111"/>
      <c r="AR498" s="110"/>
      <c r="AS498" s="111"/>
      <c r="AT498" s="112"/>
      <c r="AU498" s="112"/>
      <c r="AV498" s="112"/>
      <c r="AW498" s="112"/>
      <c r="AX498" s="112"/>
      <c r="AY498" s="112"/>
      <c r="AZ498" s="112"/>
      <c r="BA498" s="112"/>
      <c r="BB498" s="112"/>
      <c r="BC498" s="112"/>
      <c r="BD498" s="113"/>
      <c r="BE498" s="114"/>
      <c r="BF498" s="115"/>
      <c r="BG498" s="115"/>
      <c r="BH498" s="116" t="str">
        <f t="shared" si="22"/>
        <v/>
      </c>
      <c r="BI498" s="116" t="str">
        <f t="shared" si="23"/>
        <v/>
      </c>
      <c r="BJ498" s="116" t="str">
        <f>IF(AND($A498&lt;&gt;"",$D498=반별조회!$C$5),COUNTIFS($A$3:$A498,"&lt;&gt;",$D$3:$D498,반별조회!$C$5),"")</f>
        <v/>
      </c>
    </row>
    <row r="499" spans="1:62" ht="15" customHeight="1">
      <c r="A499" s="102"/>
      <c r="B499" s="102"/>
      <c r="C499" s="102"/>
      <c r="D499" s="101"/>
      <c r="E499" s="105"/>
      <c r="F499" s="105" t="str">
        <f t="shared" ca="1" si="21"/>
        <v/>
      </c>
      <c r="G499" s="105"/>
      <c r="H499" s="105"/>
      <c r="I499" s="105"/>
      <c r="J499" s="105"/>
      <c r="K499" s="105"/>
      <c r="L499" s="105"/>
      <c r="M499" s="105"/>
      <c r="N499" s="105"/>
      <c r="O499" s="105"/>
      <c r="P499" s="106"/>
      <c r="Q499" s="106"/>
      <c r="R499" s="106"/>
      <c r="S499" s="107"/>
      <c r="T499" s="106"/>
      <c r="U499" s="106"/>
      <c r="V499" s="108"/>
      <c r="W499" s="108"/>
      <c r="X499" s="108"/>
      <c r="Y499" s="108"/>
      <c r="Z499" s="109"/>
      <c r="AA499" s="109"/>
      <c r="AB499" s="109"/>
      <c r="AC499" s="109"/>
      <c r="AD499" s="110"/>
      <c r="AE499" s="110"/>
      <c r="AF499" s="110"/>
      <c r="AG499" s="110"/>
      <c r="AH499" s="110"/>
      <c r="AI499" s="110"/>
      <c r="AJ499" s="110"/>
      <c r="AK499" s="110"/>
      <c r="AL499" s="110"/>
      <c r="AM499" s="110"/>
      <c r="AN499" s="110"/>
      <c r="AO499" s="110"/>
      <c r="AP499" s="110"/>
      <c r="AQ499" s="111"/>
      <c r="AR499" s="110"/>
      <c r="AS499" s="111"/>
      <c r="AT499" s="112"/>
      <c r="AU499" s="112"/>
      <c r="AV499" s="112"/>
      <c r="AW499" s="112"/>
      <c r="AX499" s="112"/>
      <c r="AY499" s="112"/>
      <c r="AZ499" s="112"/>
      <c r="BA499" s="112"/>
      <c r="BB499" s="112"/>
      <c r="BC499" s="112"/>
      <c r="BD499" s="113"/>
      <c r="BE499" s="114"/>
      <c r="BF499" s="115"/>
      <c r="BG499" s="115"/>
      <c r="BH499" s="116" t="str">
        <f t="shared" si="22"/>
        <v/>
      </c>
      <c r="BI499" s="116" t="str">
        <f t="shared" si="23"/>
        <v/>
      </c>
      <c r="BJ499" s="116" t="str">
        <f>IF(AND($A499&lt;&gt;"",$D499=반별조회!$C$5),COUNTIFS($A$3:$A499,"&lt;&gt;",$D$3:$D499,반별조회!$C$5),"")</f>
        <v/>
      </c>
    </row>
    <row r="500" spans="1:62" ht="15" customHeight="1">
      <c r="A500" s="102"/>
      <c r="B500" s="102"/>
      <c r="C500" s="102"/>
      <c r="D500" s="101"/>
      <c r="E500" s="105"/>
      <c r="F500" s="105" t="str">
        <f t="shared" ca="1" si="21"/>
        <v/>
      </c>
      <c r="G500" s="105"/>
      <c r="H500" s="105"/>
      <c r="I500" s="105"/>
      <c r="J500" s="105"/>
      <c r="K500" s="105"/>
      <c r="L500" s="105"/>
      <c r="M500" s="105"/>
      <c r="N500" s="105"/>
      <c r="O500" s="105"/>
      <c r="P500" s="106"/>
      <c r="Q500" s="106"/>
      <c r="R500" s="106"/>
      <c r="S500" s="107"/>
      <c r="T500" s="106"/>
      <c r="U500" s="106"/>
      <c r="V500" s="108"/>
      <c r="W500" s="108"/>
      <c r="X500" s="108"/>
      <c r="Y500" s="108"/>
      <c r="Z500" s="109"/>
      <c r="AA500" s="109"/>
      <c r="AB500" s="109"/>
      <c r="AC500" s="109"/>
      <c r="AD500" s="110"/>
      <c r="AE500" s="110"/>
      <c r="AF500" s="110"/>
      <c r="AG500" s="110"/>
      <c r="AH500" s="110"/>
      <c r="AI500" s="110"/>
      <c r="AJ500" s="110"/>
      <c r="AK500" s="110"/>
      <c r="AL500" s="110"/>
      <c r="AM500" s="110"/>
      <c r="AN500" s="110"/>
      <c r="AO500" s="110"/>
      <c r="AP500" s="110"/>
      <c r="AQ500" s="111"/>
      <c r="AR500" s="110"/>
      <c r="AS500" s="111"/>
      <c r="AT500" s="112"/>
      <c r="AU500" s="112"/>
      <c r="AV500" s="112"/>
      <c r="AW500" s="112"/>
      <c r="AX500" s="112"/>
      <c r="AY500" s="112"/>
      <c r="AZ500" s="112"/>
      <c r="BA500" s="112"/>
      <c r="BB500" s="112"/>
      <c r="BC500" s="112"/>
      <c r="BD500" s="113"/>
      <c r="BE500" s="114"/>
      <c r="BF500" s="115"/>
      <c r="BG500" s="115"/>
      <c r="BH500" s="116" t="str">
        <f t="shared" si="22"/>
        <v/>
      </c>
      <c r="BI500" s="116" t="str">
        <f t="shared" si="23"/>
        <v/>
      </c>
      <c r="BJ500" s="116" t="str">
        <f>IF(AND($A500&lt;&gt;"",$D500=반별조회!$C$5),COUNTIFS($A$3:$A500,"&lt;&gt;",$D$3:$D500,반별조회!$C$5),"")</f>
        <v/>
      </c>
    </row>
    <row r="501" spans="1:62" ht="15" customHeight="1">
      <c r="A501" s="102"/>
      <c r="B501" s="102"/>
      <c r="C501" s="102"/>
      <c r="D501" s="101"/>
      <c r="E501" s="105"/>
      <c r="F501" s="105" t="str">
        <f t="shared" ca="1" si="21"/>
        <v/>
      </c>
      <c r="G501" s="105"/>
      <c r="H501" s="105"/>
      <c r="I501" s="105"/>
      <c r="J501" s="105"/>
      <c r="K501" s="105"/>
      <c r="L501" s="105"/>
      <c r="M501" s="105"/>
      <c r="N501" s="105"/>
      <c r="O501" s="105"/>
      <c r="P501" s="106"/>
      <c r="Q501" s="106"/>
      <c r="R501" s="106"/>
      <c r="S501" s="107"/>
      <c r="T501" s="106"/>
      <c r="U501" s="106"/>
      <c r="V501" s="108"/>
      <c r="W501" s="108"/>
      <c r="X501" s="108"/>
      <c r="Y501" s="108"/>
      <c r="Z501" s="109"/>
      <c r="AA501" s="109"/>
      <c r="AB501" s="109"/>
      <c r="AC501" s="109"/>
      <c r="AD501" s="110"/>
      <c r="AE501" s="110"/>
      <c r="AF501" s="110"/>
      <c r="AG501" s="110"/>
      <c r="AH501" s="110"/>
      <c r="AI501" s="110"/>
      <c r="AJ501" s="110"/>
      <c r="AK501" s="110"/>
      <c r="AL501" s="110"/>
      <c r="AM501" s="110"/>
      <c r="AN501" s="110"/>
      <c r="AO501" s="110"/>
      <c r="AP501" s="110"/>
      <c r="AQ501" s="111"/>
      <c r="AR501" s="110"/>
      <c r="AS501" s="111"/>
      <c r="AT501" s="112"/>
      <c r="AU501" s="112"/>
      <c r="AV501" s="112"/>
      <c r="AW501" s="112"/>
      <c r="AX501" s="112"/>
      <c r="AY501" s="112"/>
      <c r="AZ501" s="112"/>
      <c r="BA501" s="112"/>
      <c r="BB501" s="112"/>
      <c r="BC501" s="112"/>
      <c r="BD501" s="113"/>
      <c r="BE501" s="114"/>
      <c r="BF501" s="115"/>
      <c r="BG501" s="115"/>
      <c r="BH501" s="116" t="str">
        <f t="shared" si="22"/>
        <v/>
      </c>
      <c r="BI501" s="116" t="str">
        <f t="shared" si="23"/>
        <v/>
      </c>
      <c r="BJ501" s="116" t="str">
        <f>IF(AND($A501&lt;&gt;"",$D501=반별조회!$C$5),COUNTIFS($A$3:$A501,"&lt;&gt;",$D$3:$D501,반별조회!$C$5),"")</f>
        <v/>
      </c>
    </row>
    <row r="502" spans="1:62" ht="15" customHeight="1">
      <c r="A502" s="102"/>
      <c r="B502" s="102"/>
      <c r="C502" s="102"/>
      <c r="D502" s="101"/>
      <c r="E502" s="105"/>
      <c r="F502" s="105" t="str">
        <f t="shared" ca="1" si="21"/>
        <v/>
      </c>
      <c r="G502" s="105"/>
      <c r="H502" s="105"/>
      <c r="I502" s="105"/>
      <c r="J502" s="105"/>
      <c r="K502" s="105"/>
      <c r="L502" s="105"/>
      <c r="M502" s="105"/>
      <c r="N502" s="105"/>
      <c r="O502" s="105"/>
      <c r="P502" s="106"/>
      <c r="Q502" s="106"/>
      <c r="R502" s="106"/>
      <c r="S502" s="107"/>
      <c r="T502" s="106"/>
      <c r="U502" s="106"/>
      <c r="V502" s="108"/>
      <c r="W502" s="108"/>
      <c r="X502" s="108"/>
      <c r="Y502" s="108"/>
      <c r="Z502" s="109"/>
      <c r="AA502" s="109"/>
      <c r="AB502" s="109"/>
      <c r="AC502" s="109"/>
      <c r="AD502" s="110"/>
      <c r="AE502" s="110"/>
      <c r="AF502" s="110"/>
      <c r="AG502" s="110"/>
      <c r="AH502" s="110"/>
      <c r="AI502" s="110"/>
      <c r="AJ502" s="110"/>
      <c r="AK502" s="110"/>
      <c r="AL502" s="110"/>
      <c r="AM502" s="110"/>
      <c r="AN502" s="110"/>
      <c r="AO502" s="110"/>
      <c r="AP502" s="110"/>
      <c r="AQ502" s="111"/>
      <c r="AR502" s="110"/>
      <c r="AS502" s="111"/>
      <c r="AT502" s="112"/>
      <c r="AU502" s="112"/>
      <c r="AV502" s="112"/>
      <c r="AW502" s="112"/>
      <c r="AX502" s="112"/>
      <c r="AY502" s="112"/>
      <c r="AZ502" s="112"/>
      <c r="BA502" s="112"/>
      <c r="BB502" s="112"/>
      <c r="BC502" s="112"/>
      <c r="BD502" s="113"/>
      <c r="BE502" s="114"/>
      <c r="BF502" s="115"/>
      <c r="BG502" s="115"/>
      <c r="BH502" s="116" t="str">
        <f t="shared" si="22"/>
        <v/>
      </c>
      <c r="BI502" s="116" t="str">
        <f t="shared" si="23"/>
        <v/>
      </c>
      <c r="BJ502" s="116" t="str">
        <f>IF(AND($A502&lt;&gt;"",$D502=반별조회!$C$5),COUNTIFS($A$3:$A502,"&lt;&gt;",$D$3:$D502,반별조회!$C$5),"")</f>
        <v/>
      </c>
    </row>
  </sheetData>
  <phoneticPr fontId="56" type="noConversion"/>
  <dataValidations count="31">
    <dataValidation type="list" allowBlank="1" sqref="G3:G502" xr:uid="{00000000-0002-0000-0400-000000000000}">
      <formula1>"남,여"</formula1>
      <formula2>0</formula2>
    </dataValidation>
    <dataValidation type="list" allowBlank="1" sqref="L3:L502" xr:uid="{00000000-0002-0000-0400-000001000000}">
      <formula1>"재학,졸업,휴학"</formula1>
      <formula2>0</formula2>
    </dataValidation>
    <dataValidation type="list" allowBlank="1" sqref="P3:P502" xr:uid="{00000000-0002-0000-0400-000002000000}">
      <formula1>"없음,1급,2급,3급,4급,5급,6급"</formula1>
      <formula2>0</formula2>
    </dataValidation>
    <dataValidation type="list" allowBlank="1" sqref="S3:S502" xr:uid="{00000000-0002-0000-0400-000003000000}">
      <formula1>"완전초보,기초,초중급,중급,고급"</formula1>
      <formula2>0</formula2>
    </dataValidation>
    <dataValidation type="list" allowBlank="1" sqref="U3:U502" xr:uid="{00000000-0002-0000-0400-000004000000}">
      <formula1>"독학,학원,온라인,K콘텐츠"</formula1>
      <formula2>0</formula2>
    </dataValidation>
    <dataValidation type="list" allowBlank="1" sqref="V3:V502" xr:uid="{00000000-0002-0000-0400-000005000000}">
      <formula1>"토픽고득점,유학진학,취업비자,K컬처전문가,비자행정,생활회화"</formula1>
      <formula2>0</formula2>
    </dataValidation>
    <dataValidation type="list" allowBlank="1" sqref="W3:W502" xr:uid="{00000000-0002-0000-0400-000006000000}">
      <formula1>"1~2급,3~4급,5~6급"</formula1>
      <formula2>0</formula2>
    </dataValidation>
    <dataValidation type="list" allowBlank="1" sqref="Z3:Z502" xr:uid="{00000000-0002-0000-0400-000007000000}">
      <formula1>"없음,관광,단기연수,장기체류"</formula1>
      <formula2>0</formula2>
    </dataValidation>
    <dataValidation type="list" allowBlank="1" sqref="AA3:AA502" xr:uid="{00000000-0002-0000-0400-000008000000}">
      <formula1>"없음,승인,거절"</formula1>
      <formula2>0</formula2>
    </dataValidation>
    <dataValidation type="list" allowBlank="1" sqref="AB3:AB502" xr:uid="{00000000-0002-0000-0400-000009000000}">
      <formula1>"C-3,D-4,D-2,기타"</formula1>
      <formula2>0</formula2>
    </dataValidation>
    <dataValidation type="list" allowBlank="1" sqref="AC3:AC502" xr:uid="{00000000-0002-0000-0400-00000A000000}">
      <formula1>"없음,현재합법체류,특이사항"</formula1>
      <formula2>0</formula2>
    </dataValidation>
    <dataValidation type="list" allowBlank="1" sqref="AD3:AD502" xr:uid="{00000000-0002-0000-0400-00000B000000}">
      <formula1>"어학연수,전문대,학사,편입,석사,박사,취업비자준비"</formula1>
      <formula2>0</formula2>
    </dataValidation>
    <dataValidation type="list" allowBlank="1" sqref="AE3:AE502" xr:uid="{00000000-0002-0000-0400-00000C000000}">
      <formula1>"서울,경기·인천,지방국공립,상관없음"</formula1>
      <formula2>0</formula2>
    </dataValidation>
    <dataValidation type="list" allowBlank="1" sqref="AF3:AF502" xr:uid="{00000000-0002-0000-0400-00000D000000}">
      <formula1>"학생,직장인,구직,기타"</formula1>
      <formula2>0</formula2>
    </dataValidation>
    <dataValidation type="list" allowBlank="1" sqref="AG3:AG502" xr:uid="{00000000-0002-0000-0400-00000E000000}">
      <formula1>"1시간 미만,1~2시간,2~3시간,3시간 이상"</formula1>
      <formula2>0</formula2>
    </dataValidation>
    <dataValidation type="list" allowBlank="1" sqref="AH3:AH502" xr:uid="{00000000-0002-0000-0400-00000F000000}">
      <formula1>"6개월(집중),1년(표준),2년(장기)"</formula1>
      <formula2>0</formula2>
    </dataValidation>
    <dataValidation type="list" allowBlank="1" sqref="AI3:AI502" xr:uid="{00000000-0002-0000-0400-000010000000}">
      <formula1>"한국취업,몽골귀국,미정"</formula1>
      <formula2>0</formula2>
    </dataValidation>
    <dataValidation type="list" allowBlank="1" sqref="AJ3:AJ502" xr:uid="{00000000-0002-0000-0400-000011000000}">
      <formula1>"안정성,고수입,보람성취,워라밸"</formula1>
      <formula2>0</formula2>
    </dataValidation>
    <dataValidation type="list" allowBlank="1" sqref="AQ3:AQ502" xr:uid="{00000000-0002-0000-0400-000012000000}">
      <formula1>"여유있음,보통,빠듯함"</formula1>
      <formula2>0</formula2>
    </dataValidation>
    <dataValidation type="list" allowBlank="1" sqref="AR3:AR502" xr:uid="{00000000-0002-0000-0400-000013000000}">
      <formula1>"부모님지원,본인저축,정부·기관장학금,한국내근로,기타"</formula1>
      <formula2>0</formula2>
    </dataValidation>
    <dataValidation type="list" allowBlank="1" sqref="AS3:AS502" xr:uid="{00000000-0002-0000-0400-000014000000}">
      <formula1>"전폭지지,조건부찬성,설득필요"</formula1>
      <formula2>0</formula2>
    </dataValidation>
    <dataValidation type="list" allowBlank="1" sqref="AT3:AT502" xr:uid="{00000000-0002-0000-0400-000015000000}">
      <formula1>"외향적,내향적,상황에따라"</formula1>
      <formula2>0</formula2>
    </dataValidation>
    <dataValidation type="list" allowBlank="1" sqref="AU3:AU502" xr:uid="{00000000-0002-0000-0400-000016000000}">
      <formula1>"혼자집중,그룹스터디"</formula1>
      <formula2>0</formula2>
    </dataValidation>
    <dataValidation type="list" allowBlank="1" sqref="AV3:AV502" xr:uid="{00000000-0002-0000-0400-000017000000}">
      <formula1>"이론중심,실습·회화중심"</formula1>
      <formula2>0</formula2>
    </dataValidation>
    <dataValidation type="list" allowBlank="1" sqref="AW3:AW502" xr:uid="{00000000-0002-0000-0400-000018000000}">
      <formula1>"꼼꼼한반복,새로운탐구"</formula1>
      <formula2>0</formula2>
    </dataValidation>
    <dataValidation type="list" allowBlank="1" sqref="AX3:AX502" xr:uid="{00000000-0002-0000-0400-000019000000}">
      <formula1>"리더십,분석력,예술감각,추진력,창의성,소통,꼼꼼함,기타"</formula1>
      <formula2>0</formula2>
    </dataValidation>
    <dataValidation type="list" allowBlank="1" sqref="AY3:AY502" xr:uid="{00000000-0002-0000-0400-00001A000000}">
      <formula1>"KPOP,드라마,뷰티패션,음식"</formula1>
      <formula2>0</formula2>
    </dataValidation>
    <dataValidation type="list" allowBlank="1" sqref="AZ3:BD502" xr:uid="{00000000-0002-0000-0400-00001B000000}">
      <formula1>"매우희망,보통,없음"</formula1>
      <formula2>0</formula2>
    </dataValidation>
    <dataValidation type="list" allowBlank="1" sqref="BE3:BE502" xr:uid="{00000000-0002-0000-0400-00001C000000}">
      <formula1>"릴스,지인추천,광고,기타"</formula1>
      <formula2>0</formula2>
    </dataValidation>
    <dataValidation type="list" allowBlank="1" sqref="BF3:BF502" xr:uid="{00000000-0002-0000-0400-00001D000000}">
      <formula1>"입력완료,미입력"</formula1>
      <formula2>0</formula2>
    </dataValidation>
    <dataValidation type="list" allowBlank="1" sqref="D3:D502" xr:uid="{00000000-0002-0000-0400-00001E000000}">
      <formula1>반명단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A623"/>
  </sheetPr>
  <dimension ref="A1:K104857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25"/>
  <cols>
    <col min="1" max="1" width="11" customWidth="1"/>
    <col min="2" max="2" width="14" customWidth="1"/>
    <col min="3" max="3" width="18" customWidth="1"/>
    <col min="4" max="4" width="12" customWidth="1"/>
    <col min="5" max="5" width="13" customWidth="1"/>
    <col min="6" max="6" width="11" customWidth="1"/>
    <col min="7" max="8" width="13" customWidth="1"/>
    <col min="9" max="9" width="16" customWidth="1"/>
    <col min="10" max="10" width="13" customWidth="1"/>
    <col min="11" max="11" width="11" customWidth="1"/>
  </cols>
  <sheetData>
    <row r="1" spans="1:11" ht="23.25" customHeight="1">
      <c r="A1" s="3" t="s">
        <v>215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5" customHeight="1">
      <c r="A2" s="2" t="s">
        <v>216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3.5" customHeight="1">
      <c r="A3" s="1" t="s">
        <v>217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1.5" customHeight="1">
      <c r="A4" s="118" t="s">
        <v>218</v>
      </c>
      <c r="B4" s="118" t="s">
        <v>219</v>
      </c>
      <c r="C4" s="118" t="s">
        <v>220</v>
      </c>
      <c r="D4" s="118" t="s">
        <v>221</v>
      </c>
      <c r="E4" s="118" t="s">
        <v>222</v>
      </c>
      <c r="F4" s="118" t="s">
        <v>223</v>
      </c>
      <c r="G4" s="118" t="s">
        <v>224</v>
      </c>
      <c r="H4" s="118" t="s">
        <v>225</v>
      </c>
      <c r="I4" s="118" t="s">
        <v>169</v>
      </c>
      <c r="J4" s="118" t="s">
        <v>226</v>
      </c>
      <c r="K4" s="118" t="s">
        <v>227</v>
      </c>
    </row>
    <row r="5" spans="1:11" ht="15" customHeight="1">
      <c r="A5" s="119" t="str">
        <f>IF($B5="","",IFERROR(INDEX(상담데이터입력!$BH$3:$BH$502,MATCH($B5,상담데이터입력!$A$3:$A$502,0)),""))</f>
        <v/>
      </c>
      <c r="B5" s="120"/>
      <c r="C5" s="119" t="str">
        <f>IF($B5="","",IFERROR(INDEX(상담데이터입력!$D$3:$D$502,MATCH($B5,상담데이터입력!$A$3:$A$502,0)),""))</f>
        <v/>
      </c>
      <c r="D5" s="119" t="str">
        <f>IF($B5="","",IFERROR(INDEX(상담데이터입력!$S$3:$S$502,MATCH($B5,상담데이터입력!$A$3:$A$502,0)),""))</f>
        <v/>
      </c>
      <c r="E5" s="121"/>
      <c r="F5" s="122"/>
      <c r="G5" s="123"/>
      <c r="H5" s="123"/>
      <c r="I5" s="124"/>
      <c r="J5" s="125" t="str">
        <f t="shared" ref="J5:J68" si="0">IF(OR($G5="",$F5=""),"",EDATE($G5,IF($F5="1개월",1,IF($F5="3개월",3,IF($F5="6개월",6,0)))))</f>
        <v/>
      </c>
      <c r="K5" s="119" t="str">
        <f t="shared" ref="K5:K68" si="1">IF($B5="","",IF($H5="","재원중","퇴소"))</f>
        <v/>
      </c>
    </row>
    <row r="6" spans="1:11" ht="15" customHeight="1">
      <c r="A6" s="119" t="str">
        <f>IF($B6="","",IFERROR(INDEX(상담데이터입력!$BH$3:$BH$502,MATCH($B6,상담데이터입력!$A$3:$A$502,0)),""))</f>
        <v/>
      </c>
      <c r="B6" s="120"/>
      <c r="C6" s="119" t="str">
        <f>IF($B6="","",IFERROR(INDEX(상담데이터입력!$D$3:$D$502,MATCH($B6,상담데이터입력!$A$3:$A$502,0)),""))</f>
        <v/>
      </c>
      <c r="D6" s="119" t="str">
        <f>IF($B6="","",IFERROR(INDEX(상담데이터입력!$S$3:$S$502,MATCH($B6,상담데이터입력!$A$3:$A$502,0)),""))</f>
        <v/>
      </c>
      <c r="E6" s="121"/>
      <c r="F6" s="122"/>
      <c r="G6" s="123"/>
      <c r="H6" s="123"/>
      <c r="I6" s="124"/>
      <c r="J6" s="125" t="str">
        <f t="shared" si="0"/>
        <v/>
      </c>
      <c r="K6" s="119" t="str">
        <f t="shared" si="1"/>
        <v/>
      </c>
    </row>
    <row r="7" spans="1:11" ht="15" customHeight="1">
      <c r="A7" s="119" t="str">
        <f>IF($B7="","",IFERROR(INDEX(상담데이터입력!$BH$3:$BH$502,MATCH($B7,상담데이터입력!$A$3:$A$502,0)),""))</f>
        <v/>
      </c>
      <c r="B7" s="120"/>
      <c r="C7" s="119" t="str">
        <f>IF($B7="","",IFERROR(INDEX(상담데이터입력!$D$3:$D$502,MATCH($B7,상담데이터입력!$A$3:$A$502,0)),""))</f>
        <v/>
      </c>
      <c r="D7" s="119" t="str">
        <f>IF($B7="","",IFERROR(INDEX(상담데이터입력!$S$3:$S$502,MATCH($B7,상담데이터입력!$A$3:$A$502,0)),""))</f>
        <v/>
      </c>
      <c r="E7" s="121"/>
      <c r="F7" s="122"/>
      <c r="G7" s="123"/>
      <c r="H7" s="123"/>
      <c r="I7" s="124"/>
      <c r="J7" s="125" t="str">
        <f t="shared" si="0"/>
        <v/>
      </c>
      <c r="K7" s="119" t="str">
        <f t="shared" si="1"/>
        <v/>
      </c>
    </row>
    <row r="8" spans="1:11" ht="15" customHeight="1">
      <c r="A8" s="119" t="str">
        <f>IF($B8="","",IFERROR(INDEX(상담데이터입력!$BH$3:$BH$502,MATCH($B8,상담데이터입력!$A$3:$A$502,0)),""))</f>
        <v/>
      </c>
      <c r="B8" s="120"/>
      <c r="C8" s="119" t="str">
        <f>IF($B8="","",IFERROR(INDEX(상담데이터입력!$D$3:$D$502,MATCH($B8,상담데이터입력!$A$3:$A$502,0)),""))</f>
        <v/>
      </c>
      <c r="D8" s="119" t="str">
        <f>IF($B8="","",IFERROR(INDEX(상담데이터입력!$S$3:$S$502,MATCH($B8,상담데이터입력!$A$3:$A$502,0)),""))</f>
        <v/>
      </c>
      <c r="E8" s="121"/>
      <c r="F8" s="122"/>
      <c r="G8" s="123"/>
      <c r="H8" s="123"/>
      <c r="I8" s="124"/>
      <c r="J8" s="125" t="str">
        <f t="shared" si="0"/>
        <v/>
      </c>
      <c r="K8" s="119" t="str">
        <f t="shared" si="1"/>
        <v/>
      </c>
    </row>
    <row r="9" spans="1:11" ht="15" customHeight="1">
      <c r="A9" s="119" t="str">
        <f>IF($B9="","",IFERROR(INDEX(상담데이터입력!$BH$3:$BH$502,MATCH($B9,상담데이터입력!$A$3:$A$502,0)),""))</f>
        <v/>
      </c>
      <c r="B9" s="120"/>
      <c r="C9" s="119" t="str">
        <f>IF($B9="","",IFERROR(INDEX(상담데이터입력!$D$3:$D$502,MATCH($B9,상담데이터입력!$A$3:$A$502,0)),""))</f>
        <v/>
      </c>
      <c r="D9" s="119" t="str">
        <f>IF($B9="","",IFERROR(INDEX(상담데이터입력!$S$3:$S$502,MATCH($B9,상담데이터입력!$A$3:$A$502,0)),""))</f>
        <v/>
      </c>
      <c r="E9" s="121"/>
      <c r="F9" s="122"/>
      <c r="G9" s="123"/>
      <c r="H9" s="123"/>
      <c r="I9" s="124"/>
      <c r="J9" s="125" t="str">
        <f t="shared" si="0"/>
        <v/>
      </c>
      <c r="K9" s="119" t="str">
        <f t="shared" si="1"/>
        <v/>
      </c>
    </row>
    <row r="10" spans="1:11" ht="15" customHeight="1">
      <c r="A10" s="119" t="str">
        <f>IF($B10="","",IFERROR(INDEX(상담데이터입력!$BH$3:$BH$502,MATCH($B10,상담데이터입력!$A$3:$A$502,0)),""))</f>
        <v/>
      </c>
      <c r="B10" s="120"/>
      <c r="C10" s="119" t="str">
        <f>IF($B10="","",IFERROR(INDEX(상담데이터입력!$D$3:$D$502,MATCH($B10,상담데이터입력!$A$3:$A$502,0)),""))</f>
        <v/>
      </c>
      <c r="D10" s="119" t="str">
        <f>IF($B10="","",IFERROR(INDEX(상담데이터입력!$S$3:$S$502,MATCH($B10,상담데이터입력!$A$3:$A$502,0)),""))</f>
        <v/>
      </c>
      <c r="E10" s="121"/>
      <c r="F10" s="122"/>
      <c r="G10" s="123"/>
      <c r="H10" s="123"/>
      <c r="I10" s="124"/>
      <c r="J10" s="125" t="str">
        <f t="shared" si="0"/>
        <v/>
      </c>
      <c r="K10" s="119" t="str">
        <f t="shared" si="1"/>
        <v/>
      </c>
    </row>
    <row r="11" spans="1:11" ht="15" customHeight="1">
      <c r="A11" s="119" t="str">
        <f>IF($B11="","",IFERROR(INDEX(상담데이터입력!$BH$3:$BH$502,MATCH($B11,상담데이터입력!$A$3:$A$502,0)),""))</f>
        <v/>
      </c>
      <c r="B11" s="120"/>
      <c r="C11" s="119" t="str">
        <f>IF($B11="","",IFERROR(INDEX(상담데이터입력!$D$3:$D$502,MATCH($B11,상담데이터입력!$A$3:$A$502,0)),""))</f>
        <v/>
      </c>
      <c r="D11" s="119" t="str">
        <f>IF($B11="","",IFERROR(INDEX(상담데이터입력!$S$3:$S$502,MATCH($B11,상담데이터입력!$A$3:$A$502,0)),""))</f>
        <v/>
      </c>
      <c r="E11" s="121"/>
      <c r="F11" s="122"/>
      <c r="G11" s="123"/>
      <c r="H11" s="123"/>
      <c r="I11" s="124"/>
      <c r="J11" s="125" t="str">
        <f t="shared" si="0"/>
        <v/>
      </c>
      <c r="K11" s="119" t="str">
        <f t="shared" si="1"/>
        <v/>
      </c>
    </row>
    <row r="12" spans="1:11" ht="15" customHeight="1">
      <c r="A12" s="119" t="str">
        <f>IF($B12="","",IFERROR(INDEX(상담데이터입력!$BH$3:$BH$502,MATCH($B12,상담데이터입력!$A$3:$A$502,0)),""))</f>
        <v/>
      </c>
      <c r="B12" s="120"/>
      <c r="C12" s="119" t="str">
        <f>IF($B12="","",IFERROR(INDEX(상담데이터입력!$D$3:$D$502,MATCH($B12,상담데이터입력!$A$3:$A$502,0)),""))</f>
        <v/>
      </c>
      <c r="D12" s="119" t="str">
        <f>IF($B12="","",IFERROR(INDEX(상담데이터입력!$S$3:$S$502,MATCH($B12,상담데이터입력!$A$3:$A$502,0)),""))</f>
        <v/>
      </c>
      <c r="E12" s="121"/>
      <c r="F12" s="122"/>
      <c r="G12" s="123"/>
      <c r="H12" s="123"/>
      <c r="I12" s="124"/>
      <c r="J12" s="125" t="str">
        <f t="shared" si="0"/>
        <v/>
      </c>
      <c r="K12" s="119" t="str">
        <f t="shared" si="1"/>
        <v/>
      </c>
    </row>
    <row r="13" spans="1:11" ht="15" customHeight="1">
      <c r="A13" s="119" t="str">
        <f>IF($B13="","",IFERROR(INDEX(상담데이터입력!$BH$3:$BH$502,MATCH($B13,상담데이터입력!$A$3:$A$502,0)),""))</f>
        <v/>
      </c>
      <c r="B13" s="120"/>
      <c r="C13" s="119" t="str">
        <f>IF($B13="","",IFERROR(INDEX(상담데이터입력!$D$3:$D$502,MATCH($B13,상담데이터입력!$A$3:$A$502,0)),""))</f>
        <v/>
      </c>
      <c r="D13" s="119" t="str">
        <f>IF($B13="","",IFERROR(INDEX(상담데이터입력!$S$3:$S$502,MATCH($B13,상담데이터입력!$A$3:$A$502,0)),""))</f>
        <v/>
      </c>
      <c r="E13" s="121"/>
      <c r="F13" s="122"/>
      <c r="G13" s="123"/>
      <c r="H13" s="123"/>
      <c r="I13" s="124"/>
      <c r="J13" s="125" t="str">
        <f t="shared" si="0"/>
        <v/>
      </c>
      <c r="K13" s="119" t="str">
        <f t="shared" si="1"/>
        <v/>
      </c>
    </row>
    <row r="14" spans="1:11" ht="15" customHeight="1">
      <c r="A14" s="119" t="str">
        <f>IF($B14="","",IFERROR(INDEX(상담데이터입력!$BH$3:$BH$502,MATCH($B14,상담데이터입력!$A$3:$A$502,0)),""))</f>
        <v/>
      </c>
      <c r="B14" s="120"/>
      <c r="C14" s="119" t="str">
        <f>IF($B14="","",IFERROR(INDEX(상담데이터입력!$D$3:$D$502,MATCH($B14,상담데이터입력!$A$3:$A$502,0)),""))</f>
        <v/>
      </c>
      <c r="D14" s="119" t="str">
        <f>IF($B14="","",IFERROR(INDEX(상담데이터입력!$S$3:$S$502,MATCH($B14,상담데이터입력!$A$3:$A$502,0)),""))</f>
        <v/>
      </c>
      <c r="E14" s="121"/>
      <c r="F14" s="122"/>
      <c r="G14" s="123"/>
      <c r="H14" s="123"/>
      <c r="I14" s="124"/>
      <c r="J14" s="125" t="str">
        <f t="shared" si="0"/>
        <v/>
      </c>
      <c r="K14" s="119" t="str">
        <f t="shared" si="1"/>
        <v/>
      </c>
    </row>
    <row r="15" spans="1:11" ht="15" customHeight="1">
      <c r="A15" s="119" t="str">
        <f>IF($B15="","",IFERROR(INDEX(상담데이터입력!$BH$3:$BH$502,MATCH($B15,상담데이터입력!$A$3:$A$502,0)),""))</f>
        <v/>
      </c>
      <c r="B15" s="120"/>
      <c r="C15" s="119" t="str">
        <f>IF($B15="","",IFERROR(INDEX(상담데이터입력!$D$3:$D$502,MATCH($B15,상담데이터입력!$A$3:$A$502,0)),""))</f>
        <v/>
      </c>
      <c r="D15" s="119" t="str">
        <f>IF($B15="","",IFERROR(INDEX(상담데이터입력!$S$3:$S$502,MATCH($B15,상담데이터입력!$A$3:$A$502,0)),""))</f>
        <v/>
      </c>
      <c r="E15" s="121"/>
      <c r="F15" s="122"/>
      <c r="G15" s="123"/>
      <c r="H15" s="123"/>
      <c r="I15" s="124"/>
      <c r="J15" s="125" t="str">
        <f t="shared" si="0"/>
        <v/>
      </c>
      <c r="K15" s="119" t="str">
        <f t="shared" si="1"/>
        <v/>
      </c>
    </row>
    <row r="16" spans="1:11" ht="15" customHeight="1">
      <c r="A16" s="119" t="str">
        <f>IF($B16="","",IFERROR(INDEX(상담데이터입력!$BH$3:$BH$502,MATCH($B16,상담데이터입력!$A$3:$A$502,0)),""))</f>
        <v/>
      </c>
      <c r="B16" s="120"/>
      <c r="C16" s="119" t="str">
        <f>IF($B16="","",IFERROR(INDEX(상담데이터입력!$D$3:$D$502,MATCH($B16,상담데이터입력!$A$3:$A$502,0)),""))</f>
        <v/>
      </c>
      <c r="D16" s="119" t="str">
        <f>IF($B16="","",IFERROR(INDEX(상담데이터입력!$S$3:$S$502,MATCH($B16,상담데이터입력!$A$3:$A$502,0)),""))</f>
        <v/>
      </c>
      <c r="E16" s="121"/>
      <c r="F16" s="122"/>
      <c r="G16" s="123"/>
      <c r="H16" s="123"/>
      <c r="I16" s="124"/>
      <c r="J16" s="125" t="str">
        <f t="shared" si="0"/>
        <v/>
      </c>
      <c r="K16" s="119" t="str">
        <f t="shared" si="1"/>
        <v/>
      </c>
    </row>
    <row r="17" spans="1:11" ht="15" customHeight="1">
      <c r="A17" s="119" t="str">
        <f>IF($B17="","",IFERROR(INDEX(상담데이터입력!$BH$3:$BH$502,MATCH($B17,상담데이터입력!$A$3:$A$502,0)),""))</f>
        <v/>
      </c>
      <c r="B17" s="120"/>
      <c r="C17" s="119" t="str">
        <f>IF($B17="","",IFERROR(INDEX(상담데이터입력!$D$3:$D$502,MATCH($B17,상담데이터입력!$A$3:$A$502,0)),""))</f>
        <v/>
      </c>
      <c r="D17" s="119" t="str">
        <f>IF($B17="","",IFERROR(INDEX(상담데이터입력!$S$3:$S$502,MATCH($B17,상담데이터입력!$A$3:$A$502,0)),""))</f>
        <v/>
      </c>
      <c r="E17" s="121"/>
      <c r="F17" s="122"/>
      <c r="G17" s="123"/>
      <c r="H17" s="123"/>
      <c r="I17" s="124"/>
      <c r="J17" s="125" t="str">
        <f t="shared" si="0"/>
        <v/>
      </c>
      <c r="K17" s="119" t="str">
        <f t="shared" si="1"/>
        <v/>
      </c>
    </row>
    <row r="18" spans="1:11" ht="15" customHeight="1">
      <c r="A18" s="119" t="str">
        <f>IF($B18="","",IFERROR(INDEX(상담데이터입력!$BH$3:$BH$502,MATCH($B18,상담데이터입력!$A$3:$A$502,0)),""))</f>
        <v/>
      </c>
      <c r="B18" s="120"/>
      <c r="C18" s="119" t="str">
        <f>IF($B18="","",IFERROR(INDEX(상담데이터입력!$D$3:$D$502,MATCH($B18,상담데이터입력!$A$3:$A$502,0)),""))</f>
        <v/>
      </c>
      <c r="D18" s="119" t="str">
        <f>IF($B18="","",IFERROR(INDEX(상담데이터입력!$S$3:$S$502,MATCH($B18,상담데이터입력!$A$3:$A$502,0)),""))</f>
        <v/>
      </c>
      <c r="E18" s="121"/>
      <c r="F18" s="122"/>
      <c r="G18" s="123"/>
      <c r="H18" s="123"/>
      <c r="I18" s="124"/>
      <c r="J18" s="125" t="str">
        <f t="shared" si="0"/>
        <v/>
      </c>
      <c r="K18" s="119" t="str">
        <f t="shared" si="1"/>
        <v/>
      </c>
    </row>
    <row r="19" spans="1:11" ht="15" customHeight="1">
      <c r="A19" s="119" t="str">
        <f>IF($B19="","",IFERROR(INDEX(상담데이터입력!$BH$3:$BH$502,MATCH($B19,상담데이터입력!$A$3:$A$502,0)),""))</f>
        <v/>
      </c>
      <c r="B19" s="120"/>
      <c r="C19" s="119" t="str">
        <f>IF($B19="","",IFERROR(INDEX(상담데이터입력!$D$3:$D$502,MATCH($B19,상담데이터입력!$A$3:$A$502,0)),""))</f>
        <v/>
      </c>
      <c r="D19" s="119" t="str">
        <f>IF($B19="","",IFERROR(INDEX(상담데이터입력!$S$3:$S$502,MATCH($B19,상담데이터입력!$A$3:$A$502,0)),""))</f>
        <v/>
      </c>
      <c r="E19" s="121"/>
      <c r="F19" s="122"/>
      <c r="G19" s="123"/>
      <c r="H19" s="123"/>
      <c r="I19" s="124"/>
      <c r="J19" s="125" t="str">
        <f t="shared" si="0"/>
        <v/>
      </c>
      <c r="K19" s="119" t="str">
        <f t="shared" si="1"/>
        <v/>
      </c>
    </row>
    <row r="20" spans="1:11" ht="15" customHeight="1">
      <c r="A20" s="119" t="str">
        <f>IF($B20="","",IFERROR(INDEX(상담데이터입력!$BH$3:$BH$502,MATCH($B20,상담데이터입력!$A$3:$A$502,0)),""))</f>
        <v/>
      </c>
      <c r="B20" s="120"/>
      <c r="C20" s="119" t="str">
        <f>IF($B20="","",IFERROR(INDEX(상담데이터입력!$D$3:$D$502,MATCH($B20,상담데이터입력!$A$3:$A$502,0)),""))</f>
        <v/>
      </c>
      <c r="D20" s="119" t="str">
        <f>IF($B20="","",IFERROR(INDEX(상담데이터입력!$S$3:$S$502,MATCH($B20,상담데이터입력!$A$3:$A$502,0)),""))</f>
        <v/>
      </c>
      <c r="E20" s="121"/>
      <c r="F20" s="122"/>
      <c r="G20" s="123"/>
      <c r="H20" s="123"/>
      <c r="I20" s="124"/>
      <c r="J20" s="125" t="str">
        <f t="shared" si="0"/>
        <v/>
      </c>
      <c r="K20" s="119" t="str">
        <f t="shared" si="1"/>
        <v/>
      </c>
    </row>
    <row r="21" spans="1:11" ht="15" customHeight="1">
      <c r="A21" s="119" t="str">
        <f>IF($B21="","",IFERROR(INDEX(상담데이터입력!$BH$3:$BH$502,MATCH($B21,상담데이터입력!$A$3:$A$502,0)),""))</f>
        <v/>
      </c>
      <c r="B21" s="120"/>
      <c r="C21" s="119" t="str">
        <f>IF($B21="","",IFERROR(INDEX(상담데이터입력!$D$3:$D$502,MATCH($B21,상담데이터입력!$A$3:$A$502,0)),""))</f>
        <v/>
      </c>
      <c r="D21" s="119" t="str">
        <f>IF($B21="","",IFERROR(INDEX(상담데이터입력!$S$3:$S$502,MATCH($B21,상담데이터입력!$A$3:$A$502,0)),""))</f>
        <v/>
      </c>
      <c r="E21" s="121"/>
      <c r="F21" s="122"/>
      <c r="G21" s="123"/>
      <c r="H21" s="123"/>
      <c r="I21" s="124"/>
      <c r="J21" s="125" t="str">
        <f t="shared" si="0"/>
        <v/>
      </c>
      <c r="K21" s="119" t="str">
        <f t="shared" si="1"/>
        <v/>
      </c>
    </row>
    <row r="22" spans="1:11" ht="15" customHeight="1">
      <c r="A22" s="119" t="str">
        <f>IF($B22="","",IFERROR(INDEX(상담데이터입력!$BH$3:$BH$502,MATCH($B22,상담데이터입력!$A$3:$A$502,0)),""))</f>
        <v/>
      </c>
      <c r="B22" s="120"/>
      <c r="C22" s="119" t="str">
        <f>IF($B22="","",IFERROR(INDEX(상담데이터입력!$D$3:$D$502,MATCH($B22,상담데이터입력!$A$3:$A$502,0)),""))</f>
        <v/>
      </c>
      <c r="D22" s="119" t="str">
        <f>IF($B22="","",IFERROR(INDEX(상담데이터입력!$S$3:$S$502,MATCH($B22,상담데이터입력!$A$3:$A$502,0)),""))</f>
        <v/>
      </c>
      <c r="E22" s="121"/>
      <c r="F22" s="122"/>
      <c r="G22" s="123"/>
      <c r="H22" s="123"/>
      <c r="I22" s="124"/>
      <c r="J22" s="125" t="str">
        <f t="shared" si="0"/>
        <v/>
      </c>
      <c r="K22" s="119" t="str">
        <f t="shared" si="1"/>
        <v/>
      </c>
    </row>
    <row r="23" spans="1:11" ht="15" customHeight="1">
      <c r="A23" s="119" t="str">
        <f>IF($B23="","",IFERROR(INDEX(상담데이터입력!$BH$3:$BH$502,MATCH($B23,상담데이터입력!$A$3:$A$502,0)),""))</f>
        <v/>
      </c>
      <c r="B23" s="120"/>
      <c r="C23" s="119" t="str">
        <f>IF($B23="","",IFERROR(INDEX(상담데이터입력!$D$3:$D$502,MATCH($B23,상담데이터입력!$A$3:$A$502,0)),""))</f>
        <v/>
      </c>
      <c r="D23" s="119" t="str">
        <f>IF($B23="","",IFERROR(INDEX(상담데이터입력!$S$3:$S$502,MATCH($B23,상담데이터입력!$A$3:$A$502,0)),""))</f>
        <v/>
      </c>
      <c r="E23" s="121"/>
      <c r="F23" s="122"/>
      <c r="G23" s="123"/>
      <c r="H23" s="123"/>
      <c r="I23" s="124"/>
      <c r="J23" s="125" t="str">
        <f t="shared" si="0"/>
        <v/>
      </c>
      <c r="K23" s="119" t="str">
        <f t="shared" si="1"/>
        <v/>
      </c>
    </row>
    <row r="24" spans="1:11" ht="15" customHeight="1">
      <c r="A24" s="119" t="str">
        <f>IF($B24="","",IFERROR(INDEX(상담데이터입력!$BH$3:$BH$502,MATCH($B24,상담데이터입력!$A$3:$A$502,0)),""))</f>
        <v/>
      </c>
      <c r="B24" s="120"/>
      <c r="C24" s="119" t="str">
        <f>IF($B24="","",IFERROR(INDEX(상담데이터입력!$D$3:$D$502,MATCH($B24,상담데이터입력!$A$3:$A$502,0)),""))</f>
        <v/>
      </c>
      <c r="D24" s="119" t="str">
        <f>IF($B24="","",IFERROR(INDEX(상담데이터입력!$S$3:$S$502,MATCH($B24,상담데이터입력!$A$3:$A$502,0)),""))</f>
        <v/>
      </c>
      <c r="E24" s="121"/>
      <c r="F24" s="122"/>
      <c r="G24" s="123"/>
      <c r="H24" s="123"/>
      <c r="I24" s="124"/>
      <c r="J24" s="125" t="str">
        <f t="shared" si="0"/>
        <v/>
      </c>
      <c r="K24" s="119" t="str">
        <f t="shared" si="1"/>
        <v/>
      </c>
    </row>
    <row r="25" spans="1:11" ht="15" customHeight="1">
      <c r="A25" s="119" t="str">
        <f>IF($B25="","",IFERROR(INDEX(상담데이터입력!$BH$3:$BH$502,MATCH($B25,상담데이터입력!$A$3:$A$502,0)),""))</f>
        <v/>
      </c>
      <c r="B25" s="120"/>
      <c r="C25" s="119" t="str">
        <f>IF($B25="","",IFERROR(INDEX(상담데이터입력!$D$3:$D$502,MATCH($B25,상담데이터입력!$A$3:$A$502,0)),""))</f>
        <v/>
      </c>
      <c r="D25" s="119" t="str">
        <f>IF($B25="","",IFERROR(INDEX(상담데이터입력!$S$3:$S$502,MATCH($B25,상담데이터입력!$A$3:$A$502,0)),""))</f>
        <v/>
      </c>
      <c r="E25" s="121"/>
      <c r="F25" s="122"/>
      <c r="G25" s="123"/>
      <c r="H25" s="123"/>
      <c r="I25" s="124"/>
      <c r="J25" s="125" t="str">
        <f t="shared" si="0"/>
        <v/>
      </c>
      <c r="K25" s="119" t="str">
        <f t="shared" si="1"/>
        <v/>
      </c>
    </row>
    <row r="26" spans="1:11" ht="15" customHeight="1">
      <c r="A26" s="119" t="str">
        <f>IF($B26="","",IFERROR(INDEX(상담데이터입력!$BH$3:$BH$502,MATCH($B26,상담데이터입력!$A$3:$A$502,0)),""))</f>
        <v/>
      </c>
      <c r="B26" s="120"/>
      <c r="C26" s="119" t="str">
        <f>IF($B26="","",IFERROR(INDEX(상담데이터입력!$D$3:$D$502,MATCH($B26,상담데이터입력!$A$3:$A$502,0)),""))</f>
        <v/>
      </c>
      <c r="D26" s="119" t="str">
        <f>IF($B26="","",IFERROR(INDEX(상담데이터입력!$S$3:$S$502,MATCH($B26,상담데이터입력!$A$3:$A$502,0)),""))</f>
        <v/>
      </c>
      <c r="E26" s="121"/>
      <c r="F26" s="122"/>
      <c r="G26" s="123"/>
      <c r="H26" s="123"/>
      <c r="I26" s="124"/>
      <c r="J26" s="125" t="str">
        <f t="shared" si="0"/>
        <v/>
      </c>
      <c r="K26" s="119" t="str">
        <f t="shared" si="1"/>
        <v/>
      </c>
    </row>
    <row r="27" spans="1:11" ht="15" customHeight="1">
      <c r="A27" s="119" t="str">
        <f>IF($B27="","",IFERROR(INDEX(상담데이터입력!$BH$3:$BH$502,MATCH($B27,상담데이터입력!$A$3:$A$502,0)),""))</f>
        <v/>
      </c>
      <c r="B27" s="120"/>
      <c r="C27" s="119" t="str">
        <f>IF($B27="","",IFERROR(INDEX(상담데이터입력!$D$3:$D$502,MATCH($B27,상담데이터입력!$A$3:$A$502,0)),""))</f>
        <v/>
      </c>
      <c r="D27" s="119" t="str">
        <f>IF($B27="","",IFERROR(INDEX(상담데이터입력!$S$3:$S$502,MATCH($B27,상담데이터입력!$A$3:$A$502,0)),""))</f>
        <v/>
      </c>
      <c r="E27" s="121"/>
      <c r="F27" s="122"/>
      <c r="G27" s="123"/>
      <c r="H27" s="123"/>
      <c r="I27" s="124"/>
      <c r="J27" s="125" t="str">
        <f t="shared" si="0"/>
        <v/>
      </c>
      <c r="K27" s="119" t="str">
        <f t="shared" si="1"/>
        <v/>
      </c>
    </row>
    <row r="28" spans="1:11" ht="15" customHeight="1">
      <c r="A28" s="119" t="str">
        <f>IF($B28="","",IFERROR(INDEX(상담데이터입력!$BH$3:$BH$502,MATCH($B28,상담데이터입력!$A$3:$A$502,0)),""))</f>
        <v/>
      </c>
      <c r="B28" s="120"/>
      <c r="C28" s="119" t="str">
        <f>IF($B28="","",IFERROR(INDEX(상담데이터입력!$D$3:$D$502,MATCH($B28,상담데이터입력!$A$3:$A$502,0)),""))</f>
        <v/>
      </c>
      <c r="D28" s="119" t="str">
        <f>IF($B28="","",IFERROR(INDEX(상담데이터입력!$S$3:$S$502,MATCH($B28,상담데이터입력!$A$3:$A$502,0)),""))</f>
        <v/>
      </c>
      <c r="E28" s="121"/>
      <c r="F28" s="122"/>
      <c r="G28" s="123"/>
      <c r="H28" s="123"/>
      <c r="I28" s="124"/>
      <c r="J28" s="125" t="str">
        <f t="shared" si="0"/>
        <v/>
      </c>
      <c r="K28" s="119" t="str">
        <f t="shared" si="1"/>
        <v/>
      </c>
    </row>
    <row r="29" spans="1:11" ht="15" customHeight="1">
      <c r="A29" s="119" t="str">
        <f>IF($B29="","",IFERROR(INDEX(상담데이터입력!$BH$3:$BH$502,MATCH($B29,상담데이터입력!$A$3:$A$502,0)),""))</f>
        <v/>
      </c>
      <c r="B29" s="120"/>
      <c r="C29" s="119" t="str">
        <f>IF($B29="","",IFERROR(INDEX(상담데이터입력!$D$3:$D$502,MATCH($B29,상담데이터입력!$A$3:$A$502,0)),""))</f>
        <v/>
      </c>
      <c r="D29" s="119" t="str">
        <f>IF($B29="","",IFERROR(INDEX(상담데이터입력!$S$3:$S$502,MATCH($B29,상담데이터입력!$A$3:$A$502,0)),""))</f>
        <v/>
      </c>
      <c r="E29" s="121"/>
      <c r="F29" s="122"/>
      <c r="G29" s="123"/>
      <c r="H29" s="123"/>
      <c r="I29" s="124"/>
      <c r="J29" s="125" t="str">
        <f t="shared" si="0"/>
        <v/>
      </c>
      <c r="K29" s="119" t="str">
        <f t="shared" si="1"/>
        <v/>
      </c>
    </row>
    <row r="30" spans="1:11" ht="15" customHeight="1">
      <c r="A30" s="119" t="str">
        <f>IF($B30="","",IFERROR(INDEX(상담데이터입력!$BH$3:$BH$502,MATCH($B30,상담데이터입력!$A$3:$A$502,0)),""))</f>
        <v/>
      </c>
      <c r="B30" s="120"/>
      <c r="C30" s="119" t="str">
        <f>IF($B30="","",IFERROR(INDEX(상담데이터입력!$D$3:$D$502,MATCH($B30,상담데이터입력!$A$3:$A$502,0)),""))</f>
        <v/>
      </c>
      <c r="D30" s="119" t="str">
        <f>IF($B30="","",IFERROR(INDEX(상담데이터입력!$S$3:$S$502,MATCH($B30,상담데이터입력!$A$3:$A$502,0)),""))</f>
        <v/>
      </c>
      <c r="E30" s="121"/>
      <c r="F30" s="122"/>
      <c r="G30" s="123"/>
      <c r="H30" s="123"/>
      <c r="I30" s="124"/>
      <c r="J30" s="125" t="str">
        <f t="shared" si="0"/>
        <v/>
      </c>
      <c r="K30" s="119" t="str">
        <f t="shared" si="1"/>
        <v/>
      </c>
    </row>
    <row r="31" spans="1:11" ht="15" customHeight="1">
      <c r="A31" s="119" t="str">
        <f>IF($B31="","",IFERROR(INDEX(상담데이터입력!$BH$3:$BH$502,MATCH($B31,상담데이터입력!$A$3:$A$502,0)),""))</f>
        <v/>
      </c>
      <c r="B31" s="120"/>
      <c r="C31" s="119" t="str">
        <f>IF($B31="","",IFERROR(INDEX(상담데이터입력!$D$3:$D$502,MATCH($B31,상담데이터입력!$A$3:$A$502,0)),""))</f>
        <v/>
      </c>
      <c r="D31" s="119" t="str">
        <f>IF($B31="","",IFERROR(INDEX(상담데이터입력!$S$3:$S$502,MATCH($B31,상담데이터입력!$A$3:$A$502,0)),""))</f>
        <v/>
      </c>
      <c r="E31" s="121"/>
      <c r="F31" s="122"/>
      <c r="G31" s="123"/>
      <c r="H31" s="123"/>
      <c r="I31" s="124"/>
      <c r="J31" s="125" t="str">
        <f t="shared" si="0"/>
        <v/>
      </c>
      <c r="K31" s="119" t="str">
        <f t="shared" si="1"/>
        <v/>
      </c>
    </row>
    <row r="32" spans="1:11" ht="15" customHeight="1">
      <c r="A32" s="119" t="str">
        <f>IF($B32="","",IFERROR(INDEX(상담데이터입력!$BH$3:$BH$502,MATCH($B32,상담데이터입력!$A$3:$A$502,0)),""))</f>
        <v/>
      </c>
      <c r="B32" s="120"/>
      <c r="C32" s="119" t="str">
        <f>IF($B32="","",IFERROR(INDEX(상담데이터입력!$D$3:$D$502,MATCH($B32,상담데이터입력!$A$3:$A$502,0)),""))</f>
        <v/>
      </c>
      <c r="D32" s="119" t="str">
        <f>IF($B32="","",IFERROR(INDEX(상담데이터입력!$S$3:$S$502,MATCH($B32,상담데이터입력!$A$3:$A$502,0)),""))</f>
        <v/>
      </c>
      <c r="E32" s="121"/>
      <c r="F32" s="122"/>
      <c r="G32" s="123"/>
      <c r="H32" s="123"/>
      <c r="I32" s="124"/>
      <c r="J32" s="125" t="str">
        <f t="shared" si="0"/>
        <v/>
      </c>
      <c r="K32" s="119" t="str">
        <f t="shared" si="1"/>
        <v/>
      </c>
    </row>
    <row r="33" spans="1:11" ht="15" customHeight="1">
      <c r="A33" s="119" t="str">
        <f>IF($B33="","",IFERROR(INDEX(상담데이터입력!$BH$3:$BH$502,MATCH($B33,상담데이터입력!$A$3:$A$502,0)),""))</f>
        <v/>
      </c>
      <c r="B33" s="120"/>
      <c r="C33" s="119" t="str">
        <f>IF($B33="","",IFERROR(INDEX(상담데이터입력!$D$3:$D$502,MATCH($B33,상담데이터입력!$A$3:$A$502,0)),""))</f>
        <v/>
      </c>
      <c r="D33" s="119" t="str">
        <f>IF($B33="","",IFERROR(INDEX(상담데이터입력!$S$3:$S$502,MATCH($B33,상담데이터입력!$A$3:$A$502,0)),""))</f>
        <v/>
      </c>
      <c r="E33" s="121"/>
      <c r="F33" s="122"/>
      <c r="G33" s="123"/>
      <c r="H33" s="123"/>
      <c r="I33" s="124"/>
      <c r="J33" s="125" t="str">
        <f t="shared" si="0"/>
        <v/>
      </c>
      <c r="K33" s="119" t="str">
        <f t="shared" si="1"/>
        <v/>
      </c>
    </row>
    <row r="34" spans="1:11" ht="15" customHeight="1">
      <c r="A34" s="119" t="str">
        <f>IF($B34="","",IFERROR(INDEX(상담데이터입력!$BH$3:$BH$502,MATCH($B34,상담데이터입력!$A$3:$A$502,0)),""))</f>
        <v/>
      </c>
      <c r="B34" s="120"/>
      <c r="C34" s="119" t="str">
        <f>IF($B34="","",IFERROR(INDEX(상담데이터입력!$D$3:$D$502,MATCH($B34,상담데이터입력!$A$3:$A$502,0)),""))</f>
        <v/>
      </c>
      <c r="D34" s="119" t="str">
        <f>IF($B34="","",IFERROR(INDEX(상담데이터입력!$S$3:$S$502,MATCH($B34,상담데이터입력!$A$3:$A$502,0)),""))</f>
        <v/>
      </c>
      <c r="E34" s="121"/>
      <c r="F34" s="122"/>
      <c r="G34" s="123"/>
      <c r="H34" s="123"/>
      <c r="I34" s="124"/>
      <c r="J34" s="125" t="str">
        <f t="shared" si="0"/>
        <v/>
      </c>
      <c r="K34" s="119" t="str">
        <f t="shared" si="1"/>
        <v/>
      </c>
    </row>
    <row r="35" spans="1:11" ht="15" customHeight="1">
      <c r="A35" s="119" t="str">
        <f>IF($B35="","",IFERROR(INDEX(상담데이터입력!$BH$3:$BH$502,MATCH($B35,상담데이터입력!$A$3:$A$502,0)),""))</f>
        <v/>
      </c>
      <c r="B35" s="120"/>
      <c r="C35" s="119" t="str">
        <f>IF($B35="","",IFERROR(INDEX(상담데이터입력!$D$3:$D$502,MATCH($B35,상담데이터입력!$A$3:$A$502,0)),""))</f>
        <v/>
      </c>
      <c r="D35" s="119" t="str">
        <f>IF($B35="","",IFERROR(INDEX(상담데이터입력!$S$3:$S$502,MATCH($B35,상담데이터입력!$A$3:$A$502,0)),""))</f>
        <v/>
      </c>
      <c r="E35" s="121"/>
      <c r="F35" s="122"/>
      <c r="G35" s="123"/>
      <c r="H35" s="123"/>
      <c r="I35" s="124"/>
      <c r="J35" s="125" t="str">
        <f t="shared" si="0"/>
        <v/>
      </c>
      <c r="K35" s="119" t="str">
        <f t="shared" si="1"/>
        <v/>
      </c>
    </row>
    <row r="36" spans="1:11" ht="15" customHeight="1">
      <c r="A36" s="119" t="str">
        <f>IF($B36="","",IFERROR(INDEX(상담데이터입력!$BH$3:$BH$502,MATCH($B36,상담데이터입력!$A$3:$A$502,0)),""))</f>
        <v/>
      </c>
      <c r="B36" s="120"/>
      <c r="C36" s="119" t="str">
        <f>IF($B36="","",IFERROR(INDEX(상담데이터입력!$D$3:$D$502,MATCH($B36,상담데이터입력!$A$3:$A$502,0)),""))</f>
        <v/>
      </c>
      <c r="D36" s="119" t="str">
        <f>IF($B36="","",IFERROR(INDEX(상담데이터입력!$S$3:$S$502,MATCH($B36,상담데이터입력!$A$3:$A$502,0)),""))</f>
        <v/>
      </c>
      <c r="E36" s="121"/>
      <c r="F36" s="122"/>
      <c r="G36" s="123"/>
      <c r="H36" s="123"/>
      <c r="I36" s="124"/>
      <c r="J36" s="125" t="str">
        <f t="shared" si="0"/>
        <v/>
      </c>
      <c r="K36" s="119" t="str">
        <f t="shared" si="1"/>
        <v/>
      </c>
    </row>
    <row r="37" spans="1:11" ht="15" customHeight="1">
      <c r="A37" s="119" t="str">
        <f>IF($B37="","",IFERROR(INDEX(상담데이터입력!$BH$3:$BH$502,MATCH($B37,상담데이터입력!$A$3:$A$502,0)),""))</f>
        <v/>
      </c>
      <c r="B37" s="120"/>
      <c r="C37" s="119" t="str">
        <f>IF($B37="","",IFERROR(INDEX(상담데이터입력!$D$3:$D$502,MATCH($B37,상담데이터입력!$A$3:$A$502,0)),""))</f>
        <v/>
      </c>
      <c r="D37" s="119" t="str">
        <f>IF($B37="","",IFERROR(INDEX(상담데이터입력!$S$3:$S$502,MATCH($B37,상담데이터입력!$A$3:$A$502,0)),""))</f>
        <v/>
      </c>
      <c r="E37" s="121"/>
      <c r="F37" s="122"/>
      <c r="G37" s="123"/>
      <c r="H37" s="123"/>
      <c r="I37" s="124"/>
      <c r="J37" s="125" t="str">
        <f t="shared" si="0"/>
        <v/>
      </c>
      <c r="K37" s="119" t="str">
        <f t="shared" si="1"/>
        <v/>
      </c>
    </row>
    <row r="38" spans="1:11" ht="15" customHeight="1">
      <c r="A38" s="119" t="str">
        <f>IF($B38="","",IFERROR(INDEX(상담데이터입력!$BH$3:$BH$502,MATCH($B38,상담데이터입력!$A$3:$A$502,0)),""))</f>
        <v/>
      </c>
      <c r="B38" s="120"/>
      <c r="C38" s="119" t="str">
        <f>IF($B38="","",IFERROR(INDEX(상담데이터입력!$D$3:$D$502,MATCH($B38,상담데이터입력!$A$3:$A$502,0)),""))</f>
        <v/>
      </c>
      <c r="D38" s="119" t="str">
        <f>IF($B38="","",IFERROR(INDEX(상담데이터입력!$S$3:$S$502,MATCH($B38,상담데이터입력!$A$3:$A$502,0)),""))</f>
        <v/>
      </c>
      <c r="E38" s="121"/>
      <c r="F38" s="122"/>
      <c r="G38" s="123"/>
      <c r="H38" s="123"/>
      <c r="I38" s="124"/>
      <c r="J38" s="125" t="str">
        <f t="shared" si="0"/>
        <v/>
      </c>
      <c r="K38" s="119" t="str">
        <f t="shared" si="1"/>
        <v/>
      </c>
    </row>
    <row r="39" spans="1:11" ht="15" customHeight="1">
      <c r="A39" s="119" t="str">
        <f>IF($B39="","",IFERROR(INDEX(상담데이터입력!$BH$3:$BH$502,MATCH($B39,상담데이터입력!$A$3:$A$502,0)),""))</f>
        <v/>
      </c>
      <c r="B39" s="120"/>
      <c r="C39" s="119" t="str">
        <f>IF($B39="","",IFERROR(INDEX(상담데이터입력!$D$3:$D$502,MATCH($B39,상담데이터입력!$A$3:$A$502,0)),""))</f>
        <v/>
      </c>
      <c r="D39" s="119" t="str">
        <f>IF($B39="","",IFERROR(INDEX(상담데이터입력!$S$3:$S$502,MATCH($B39,상담데이터입력!$A$3:$A$502,0)),""))</f>
        <v/>
      </c>
      <c r="E39" s="121"/>
      <c r="F39" s="122"/>
      <c r="G39" s="123"/>
      <c r="H39" s="123"/>
      <c r="I39" s="124"/>
      <c r="J39" s="125" t="str">
        <f t="shared" si="0"/>
        <v/>
      </c>
      <c r="K39" s="119" t="str">
        <f t="shared" si="1"/>
        <v/>
      </c>
    </row>
    <row r="40" spans="1:11" ht="15" customHeight="1">
      <c r="A40" s="119" t="str">
        <f>IF($B40="","",IFERROR(INDEX(상담데이터입력!$BH$3:$BH$502,MATCH($B40,상담데이터입력!$A$3:$A$502,0)),""))</f>
        <v/>
      </c>
      <c r="B40" s="120"/>
      <c r="C40" s="119" t="str">
        <f>IF($B40="","",IFERROR(INDEX(상담데이터입력!$D$3:$D$502,MATCH($B40,상담데이터입력!$A$3:$A$502,0)),""))</f>
        <v/>
      </c>
      <c r="D40" s="119" t="str">
        <f>IF($B40="","",IFERROR(INDEX(상담데이터입력!$S$3:$S$502,MATCH($B40,상담데이터입력!$A$3:$A$502,0)),""))</f>
        <v/>
      </c>
      <c r="E40" s="121"/>
      <c r="F40" s="122"/>
      <c r="G40" s="123"/>
      <c r="H40" s="123"/>
      <c r="I40" s="124"/>
      <c r="J40" s="125" t="str">
        <f t="shared" si="0"/>
        <v/>
      </c>
      <c r="K40" s="119" t="str">
        <f t="shared" si="1"/>
        <v/>
      </c>
    </row>
    <row r="41" spans="1:11" ht="15" customHeight="1">
      <c r="A41" s="119" t="str">
        <f>IF($B41="","",IFERROR(INDEX(상담데이터입력!$BH$3:$BH$502,MATCH($B41,상담데이터입력!$A$3:$A$502,0)),""))</f>
        <v/>
      </c>
      <c r="B41" s="120"/>
      <c r="C41" s="119" t="str">
        <f>IF($B41="","",IFERROR(INDEX(상담데이터입력!$D$3:$D$502,MATCH($B41,상담데이터입력!$A$3:$A$502,0)),""))</f>
        <v/>
      </c>
      <c r="D41" s="119" t="str">
        <f>IF($B41="","",IFERROR(INDEX(상담데이터입력!$S$3:$S$502,MATCH($B41,상담데이터입력!$A$3:$A$502,0)),""))</f>
        <v/>
      </c>
      <c r="E41" s="121"/>
      <c r="F41" s="122"/>
      <c r="G41" s="123"/>
      <c r="H41" s="123"/>
      <c r="I41" s="124"/>
      <c r="J41" s="125" t="str">
        <f t="shared" si="0"/>
        <v/>
      </c>
      <c r="K41" s="119" t="str">
        <f t="shared" si="1"/>
        <v/>
      </c>
    </row>
    <row r="42" spans="1:11" ht="15" customHeight="1">
      <c r="A42" s="119" t="str">
        <f>IF($B42="","",IFERROR(INDEX(상담데이터입력!$BH$3:$BH$502,MATCH($B42,상담데이터입력!$A$3:$A$502,0)),""))</f>
        <v/>
      </c>
      <c r="B42" s="120"/>
      <c r="C42" s="119" t="str">
        <f>IF($B42="","",IFERROR(INDEX(상담데이터입력!$D$3:$D$502,MATCH($B42,상담데이터입력!$A$3:$A$502,0)),""))</f>
        <v/>
      </c>
      <c r="D42" s="119" t="str">
        <f>IF($B42="","",IFERROR(INDEX(상담데이터입력!$S$3:$S$502,MATCH($B42,상담데이터입력!$A$3:$A$502,0)),""))</f>
        <v/>
      </c>
      <c r="E42" s="121"/>
      <c r="F42" s="122"/>
      <c r="G42" s="123"/>
      <c r="H42" s="123"/>
      <c r="I42" s="124"/>
      <c r="J42" s="125" t="str">
        <f t="shared" si="0"/>
        <v/>
      </c>
      <c r="K42" s="119" t="str">
        <f t="shared" si="1"/>
        <v/>
      </c>
    </row>
    <row r="43" spans="1:11" ht="15" customHeight="1">
      <c r="A43" s="119" t="str">
        <f>IF($B43="","",IFERROR(INDEX(상담데이터입력!$BH$3:$BH$502,MATCH($B43,상담데이터입력!$A$3:$A$502,0)),""))</f>
        <v/>
      </c>
      <c r="B43" s="120"/>
      <c r="C43" s="119" t="str">
        <f>IF($B43="","",IFERROR(INDEX(상담데이터입력!$D$3:$D$502,MATCH($B43,상담데이터입력!$A$3:$A$502,0)),""))</f>
        <v/>
      </c>
      <c r="D43" s="119" t="str">
        <f>IF($B43="","",IFERROR(INDEX(상담데이터입력!$S$3:$S$502,MATCH($B43,상담데이터입력!$A$3:$A$502,0)),""))</f>
        <v/>
      </c>
      <c r="E43" s="121"/>
      <c r="F43" s="122"/>
      <c r="G43" s="123"/>
      <c r="H43" s="123"/>
      <c r="I43" s="124"/>
      <c r="J43" s="125" t="str">
        <f t="shared" si="0"/>
        <v/>
      </c>
      <c r="K43" s="119" t="str">
        <f t="shared" si="1"/>
        <v/>
      </c>
    </row>
    <row r="44" spans="1:11" ht="15" customHeight="1">
      <c r="A44" s="119" t="str">
        <f>IF($B44="","",IFERROR(INDEX(상담데이터입력!$BH$3:$BH$502,MATCH($B44,상담데이터입력!$A$3:$A$502,0)),""))</f>
        <v/>
      </c>
      <c r="B44" s="120"/>
      <c r="C44" s="119" t="str">
        <f>IF($B44="","",IFERROR(INDEX(상담데이터입력!$D$3:$D$502,MATCH($B44,상담데이터입력!$A$3:$A$502,0)),""))</f>
        <v/>
      </c>
      <c r="D44" s="119" t="str">
        <f>IF($B44="","",IFERROR(INDEX(상담데이터입력!$S$3:$S$502,MATCH($B44,상담데이터입력!$A$3:$A$502,0)),""))</f>
        <v/>
      </c>
      <c r="E44" s="121"/>
      <c r="F44" s="122"/>
      <c r="G44" s="123"/>
      <c r="H44" s="123"/>
      <c r="I44" s="124"/>
      <c r="J44" s="125" t="str">
        <f t="shared" si="0"/>
        <v/>
      </c>
      <c r="K44" s="119" t="str">
        <f t="shared" si="1"/>
        <v/>
      </c>
    </row>
    <row r="45" spans="1:11" ht="15" customHeight="1">
      <c r="A45" s="119" t="str">
        <f>IF($B45="","",IFERROR(INDEX(상담데이터입력!$BH$3:$BH$502,MATCH($B45,상담데이터입력!$A$3:$A$502,0)),""))</f>
        <v/>
      </c>
      <c r="B45" s="120"/>
      <c r="C45" s="119" t="str">
        <f>IF($B45="","",IFERROR(INDEX(상담데이터입력!$D$3:$D$502,MATCH($B45,상담데이터입력!$A$3:$A$502,0)),""))</f>
        <v/>
      </c>
      <c r="D45" s="119" t="str">
        <f>IF($B45="","",IFERROR(INDEX(상담데이터입력!$S$3:$S$502,MATCH($B45,상담데이터입력!$A$3:$A$502,0)),""))</f>
        <v/>
      </c>
      <c r="E45" s="121"/>
      <c r="F45" s="122"/>
      <c r="G45" s="123"/>
      <c r="H45" s="123"/>
      <c r="I45" s="124"/>
      <c r="J45" s="125" t="str">
        <f t="shared" si="0"/>
        <v/>
      </c>
      <c r="K45" s="119" t="str">
        <f t="shared" si="1"/>
        <v/>
      </c>
    </row>
    <row r="46" spans="1:11" ht="15" customHeight="1">
      <c r="A46" s="119" t="str">
        <f>IF($B46="","",IFERROR(INDEX(상담데이터입력!$BH$3:$BH$502,MATCH($B46,상담데이터입력!$A$3:$A$502,0)),""))</f>
        <v/>
      </c>
      <c r="B46" s="120"/>
      <c r="C46" s="119" t="str">
        <f>IF($B46="","",IFERROR(INDEX(상담데이터입력!$D$3:$D$502,MATCH($B46,상담데이터입력!$A$3:$A$502,0)),""))</f>
        <v/>
      </c>
      <c r="D46" s="119" t="str">
        <f>IF($B46="","",IFERROR(INDEX(상담데이터입력!$S$3:$S$502,MATCH($B46,상담데이터입력!$A$3:$A$502,0)),""))</f>
        <v/>
      </c>
      <c r="E46" s="121"/>
      <c r="F46" s="122"/>
      <c r="G46" s="123"/>
      <c r="H46" s="123"/>
      <c r="I46" s="124"/>
      <c r="J46" s="125" t="str">
        <f t="shared" si="0"/>
        <v/>
      </c>
      <c r="K46" s="119" t="str">
        <f t="shared" si="1"/>
        <v/>
      </c>
    </row>
    <row r="47" spans="1:11" ht="15" customHeight="1">
      <c r="A47" s="119" t="str">
        <f>IF($B47="","",IFERROR(INDEX(상담데이터입력!$BH$3:$BH$502,MATCH($B47,상담데이터입력!$A$3:$A$502,0)),""))</f>
        <v/>
      </c>
      <c r="B47" s="120"/>
      <c r="C47" s="119" t="str">
        <f>IF($B47="","",IFERROR(INDEX(상담데이터입력!$D$3:$D$502,MATCH($B47,상담데이터입력!$A$3:$A$502,0)),""))</f>
        <v/>
      </c>
      <c r="D47" s="119" t="str">
        <f>IF($B47="","",IFERROR(INDEX(상담데이터입력!$S$3:$S$502,MATCH($B47,상담데이터입력!$A$3:$A$502,0)),""))</f>
        <v/>
      </c>
      <c r="E47" s="121"/>
      <c r="F47" s="122"/>
      <c r="G47" s="123"/>
      <c r="H47" s="123"/>
      <c r="I47" s="124"/>
      <c r="J47" s="125" t="str">
        <f t="shared" si="0"/>
        <v/>
      </c>
      <c r="K47" s="119" t="str">
        <f t="shared" si="1"/>
        <v/>
      </c>
    </row>
    <row r="48" spans="1:11" ht="15" customHeight="1">
      <c r="A48" s="119" t="str">
        <f>IF($B48="","",IFERROR(INDEX(상담데이터입력!$BH$3:$BH$502,MATCH($B48,상담데이터입력!$A$3:$A$502,0)),""))</f>
        <v/>
      </c>
      <c r="B48" s="120"/>
      <c r="C48" s="119" t="str">
        <f>IF($B48="","",IFERROR(INDEX(상담데이터입력!$D$3:$D$502,MATCH($B48,상담데이터입력!$A$3:$A$502,0)),""))</f>
        <v/>
      </c>
      <c r="D48" s="119" t="str">
        <f>IF($B48="","",IFERROR(INDEX(상담데이터입력!$S$3:$S$502,MATCH($B48,상담데이터입력!$A$3:$A$502,0)),""))</f>
        <v/>
      </c>
      <c r="E48" s="121"/>
      <c r="F48" s="122"/>
      <c r="G48" s="123"/>
      <c r="H48" s="123"/>
      <c r="I48" s="124"/>
      <c r="J48" s="125" t="str">
        <f t="shared" si="0"/>
        <v/>
      </c>
      <c r="K48" s="119" t="str">
        <f t="shared" si="1"/>
        <v/>
      </c>
    </row>
    <row r="49" spans="1:11" ht="15" customHeight="1">
      <c r="A49" s="119" t="str">
        <f>IF($B49="","",IFERROR(INDEX(상담데이터입력!$BH$3:$BH$502,MATCH($B49,상담데이터입력!$A$3:$A$502,0)),""))</f>
        <v/>
      </c>
      <c r="B49" s="120"/>
      <c r="C49" s="119" t="str">
        <f>IF($B49="","",IFERROR(INDEX(상담데이터입력!$D$3:$D$502,MATCH($B49,상담데이터입력!$A$3:$A$502,0)),""))</f>
        <v/>
      </c>
      <c r="D49" s="119" t="str">
        <f>IF($B49="","",IFERROR(INDEX(상담데이터입력!$S$3:$S$502,MATCH($B49,상담데이터입력!$A$3:$A$502,0)),""))</f>
        <v/>
      </c>
      <c r="E49" s="121"/>
      <c r="F49" s="122"/>
      <c r="G49" s="123"/>
      <c r="H49" s="123"/>
      <c r="I49" s="124"/>
      <c r="J49" s="125" t="str">
        <f t="shared" si="0"/>
        <v/>
      </c>
      <c r="K49" s="119" t="str">
        <f t="shared" si="1"/>
        <v/>
      </c>
    </row>
    <row r="50" spans="1:11" ht="15" customHeight="1">
      <c r="A50" s="119" t="str">
        <f>IF($B50="","",IFERROR(INDEX(상담데이터입력!$BH$3:$BH$502,MATCH($B50,상담데이터입력!$A$3:$A$502,0)),""))</f>
        <v/>
      </c>
      <c r="B50" s="120"/>
      <c r="C50" s="119" t="str">
        <f>IF($B50="","",IFERROR(INDEX(상담데이터입력!$D$3:$D$502,MATCH($B50,상담데이터입력!$A$3:$A$502,0)),""))</f>
        <v/>
      </c>
      <c r="D50" s="119" t="str">
        <f>IF($B50="","",IFERROR(INDEX(상담데이터입력!$S$3:$S$502,MATCH($B50,상담데이터입력!$A$3:$A$502,0)),""))</f>
        <v/>
      </c>
      <c r="E50" s="121"/>
      <c r="F50" s="122"/>
      <c r="G50" s="123"/>
      <c r="H50" s="123"/>
      <c r="I50" s="124"/>
      <c r="J50" s="125" t="str">
        <f t="shared" si="0"/>
        <v/>
      </c>
      <c r="K50" s="119" t="str">
        <f t="shared" si="1"/>
        <v/>
      </c>
    </row>
    <row r="51" spans="1:11" ht="15" customHeight="1">
      <c r="A51" s="119" t="str">
        <f>IF($B51="","",IFERROR(INDEX(상담데이터입력!$BH$3:$BH$502,MATCH($B51,상담데이터입력!$A$3:$A$502,0)),""))</f>
        <v/>
      </c>
      <c r="B51" s="120"/>
      <c r="C51" s="119" t="str">
        <f>IF($B51="","",IFERROR(INDEX(상담데이터입력!$D$3:$D$502,MATCH($B51,상담데이터입력!$A$3:$A$502,0)),""))</f>
        <v/>
      </c>
      <c r="D51" s="119" t="str">
        <f>IF($B51="","",IFERROR(INDEX(상담데이터입력!$S$3:$S$502,MATCH($B51,상담데이터입력!$A$3:$A$502,0)),""))</f>
        <v/>
      </c>
      <c r="E51" s="121"/>
      <c r="F51" s="122"/>
      <c r="G51" s="123"/>
      <c r="H51" s="123"/>
      <c r="I51" s="124"/>
      <c r="J51" s="125" t="str">
        <f t="shared" si="0"/>
        <v/>
      </c>
      <c r="K51" s="119" t="str">
        <f t="shared" si="1"/>
        <v/>
      </c>
    </row>
    <row r="52" spans="1:11" ht="15" customHeight="1">
      <c r="A52" s="119" t="str">
        <f>IF($B52="","",IFERROR(INDEX(상담데이터입력!$BH$3:$BH$502,MATCH($B52,상담데이터입력!$A$3:$A$502,0)),""))</f>
        <v/>
      </c>
      <c r="B52" s="120"/>
      <c r="C52" s="119" t="str">
        <f>IF($B52="","",IFERROR(INDEX(상담데이터입력!$D$3:$D$502,MATCH($B52,상담데이터입력!$A$3:$A$502,0)),""))</f>
        <v/>
      </c>
      <c r="D52" s="119" t="str">
        <f>IF($B52="","",IFERROR(INDEX(상담데이터입력!$S$3:$S$502,MATCH($B52,상담데이터입력!$A$3:$A$502,0)),""))</f>
        <v/>
      </c>
      <c r="E52" s="121"/>
      <c r="F52" s="122"/>
      <c r="G52" s="123"/>
      <c r="H52" s="123"/>
      <c r="I52" s="124"/>
      <c r="J52" s="125" t="str">
        <f t="shared" si="0"/>
        <v/>
      </c>
      <c r="K52" s="119" t="str">
        <f t="shared" si="1"/>
        <v/>
      </c>
    </row>
    <row r="53" spans="1:11" ht="15" customHeight="1">
      <c r="A53" s="119" t="str">
        <f>IF($B53="","",IFERROR(INDEX(상담데이터입력!$BH$3:$BH$502,MATCH($B53,상담데이터입력!$A$3:$A$502,0)),""))</f>
        <v/>
      </c>
      <c r="B53" s="120"/>
      <c r="C53" s="119" t="str">
        <f>IF($B53="","",IFERROR(INDEX(상담데이터입력!$D$3:$D$502,MATCH($B53,상담데이터입력!$A$3:$A$502,0)),""))</f>
        <v/>
      </c>
      <c r="D53" s="119" t="str">
        <f>IF($B53="","",IFERROR(INDEX(상담데이터입력!$S$3:$S$502,MATCH($B53,상담데이터입력!$A$3:$A$502,0)),""))</f>
        <v/>
      </c>
      <c r="E53" s="121"/>
      <c r="F53" s="122"/>
      <c r="G53" s="123"/>
      <c r="H53" s="123"/>
      <c r="I53" s="124"/>
      <c r="J53" s="125" t="str">
        <f t="shared" si="0"/>
        <v/>
      </c>
      <c r="K53" s="119" t="str">
        <f t="shared" si="1"/>
        <v/>
      </c>
    </row>
    <row r="54" spans="1:11" ht="15" customHeight="1">
      <c r="A54" s="119" t="str">
        <f>IF($B54="","",IFERROR(INDEX(상담데이터입력!$BH$3:$BH$502,MATCH($B54,상담데이터입력!$A$3:$A$502,0)),""))</f>
        <v/>
      </c>
      <c r="B54" s="120"/>
      <c r="C54" s="119" t="str">
        <f>IF($B54="","",IFERROR(INDEX(상담데이터입력!$D$3:$D$502,MATCH($B54,상담데이터입력!$A$3:$A$502,0)),""))</f>
        <v/>
      </c>
      <c r="D54" s="119" t="str">
        <f>IF($B54="","",IFERROR(INDEX(상담데이터입력!$S$3:$S$502,MATCH($B54,상담데이터입력!$A$3:$A$502,0)),""))</f>
        <v/>
      </c>
      <c r="E54" s="121"/>
      <c r="F54" s="122"/>
      <c r="G54" s="123"/>
      <c r="H54" s="123"/>
      <c r="I54" s="124"/>
      <c r="J54" s="125" t="str">
        <f t="shared" si="0"/>
        <v/>
      </c>
      <c r="K54" s="119" t="str">
        <f t="shared" si="1"/>
        <v/>
      </c>
    </row>
    <row r="55" spans="1:11" ht="15" customHeight="1">
      <c r="A55" s="119" t="str">
        <f>IF($B55="","",IFERROR(INDEX(상담데이터입력!$BH$3:$BH$502,MATCH($B55,상담데이터입력!$A$3:$A$502,0)),""))</f>
        <v/>
      </c>
      <c r="B55" s="120"/>
      <c r="C55" s="119" t="str">
        <f>IF($B55="","",IFERROR(INDEX(상담데이터입력!$D$3:$D$502,MATCH($B55,상담데이터입력!$A$3:$A$502,0)),""))</f>
        <v/>
      </c>
      <c r="D55" s="119" t="str">
        <f>IF($B55="","",IFERROR(INDEX(상담데이터입력!$S$3:$S$502,MATCH($B55,상담데이터입력!$A$3:$A$502,0)),""))</f>
        <v/>
      </c>
      <c r="E55" s="121"/>
      <c r="F55" s="122"/>
      <c r="G55" s="123"/>
      <c r="H55" s="123"/>
      <c r="I55" s="124"/>
      <c r="J55" s="125" t="str">
        <f t="shared" si="0"/>
        <v/>
      </c>
      <c r="K55" s="119" t="str">
        <f t="shared" si="1"/>
        <v/>
      </c>
    </row>
    <row r="56" spans="1:11" ht="15" customHeight="1">
      <c r="A56" s="119" t="str">
        <f>IF($B56="","",IFERROR(INDEX(상담데이터입력!$BH$3:$BH$502,MATCH($B56,상담데이터입력!$A$3:$A$502,0)),""))</f>
        <v/>
      </c>
      <c r="B56" s="120"/>
      <c r="C56" s="119" t="str">
        <f>IF($B56="","",IFERROR(INDEX(상담데이터입력!$D$3:$D$502,MATCH($B56,상담데이터입력!$A$3:$A$502,0)),""))</f>
        <v/>
      </c>
      <c r="D56" s="119" t="str">
        <f>IF($B56="","",IFERROR(INDEX(상담데이터입력!$S$3:$S$502,MATCH($B56,상담데이터입력!$A$3:$A$502,0)),""))</f>
        <v/>
      </c>
      <c r="E56" s="121"/>
      <c r="F56" s="122"/>
      <c r="G56" s="123"/>
      <c r="H56" s="123"/>
      <c r="I56" s="124"/>
      <c r="J56" s="125" t="str">
        <f t="shared" si="0"/>
        <v/>
      </c>
      <c r="K56" s="119" t="str">
        <f t="shared" si="1"/>
        <v/>
      </c>
    </row>
    <row r="57" spans="1:11" ht="15" customHeight="1">
      <c r="A57" s="119" t="str">
        <f>IF($B57="","",IFERROR(INDEX(상담데이터입력!$BH$3:$BH$502,MATCH($B57,상담데이터입력!$A$3:$A$502,0)),""))</f>
        <v/>
      </c>
      <c r="B57" s="120"/>
      <c r="C57" s="119" t="str">
        <f>IF($B57="","",IFERROR(INDEX(상담데이터입력!$D$3:$D$502,MATCH($B57,상담데이터입력!$A$3:$A$502,0)),""))</f>
        <v/>
      </c>
      <c r="D57" s="119" t="str">
        <f>IF($B57="","",IFERROR(INDEX(상담데이터입력!$S$3:$S$502,MATCH($B57,상담데이터입력!$A$3:$A$502,0)),""))</f>
        <v/>
      </c>
      <c r="E57" s="121"/>
      <c r="F57" s="122"/>
      <c r="G57" s="123"/>
      <c r="H57" s="123"/>
      <c r="I57" s="124"/>
      <c r="J57" s="125" t="str">
        <f t="shared" si="0"/>
        <v/>
      </c>
      <c r="K57" s="119" t="str">
        <f t="shared" si="1"/>
        <v/>
      </c>
    </row>
    <row r="58" spans="1:11" ht="15" customHeight="1">
      <c r="A58" s="119" t="str">
        <f>IF($B58="","",IFERROR(INDEX(상담데이터입력!$BH$3:$BH$502,MATCH($B58,상담데이터입력!$A$3:$A$502,0)),""))</f>
        <v/>
      </c>
      <c r="B58" s="120"/>
      <c r="C58" s="119" t="str">
        <f>IF($B58="","",IFERROR(INDEX(상담데이터입력!$D$3:$D$502,MATCH($B58,상담데이터입력!$A$3:$A$502,0)),""))</f>
        <v/>
      </c>
      <c r="D58" s="119" t="str">
        <f>IF($B58="","",IFERROR(INDEX(상담데이터입력!$S$3:$S$502,MATCH($B58,상담데이터입력!$A$3:$A$502,0)),""))</f>
        <v/>
      </c>
      <c r="E58" s="121"/>
      <c r="F58" s="122"/>
      <c r="G58" s="123"/>
      <c r="H58" s="123"/>
      <c r="I58" s="124"/>
      <c r="J58" s="125" t="str">
        <f t="shared" si="0"/>
        <v/>
      </c>
      <c r="K58" s="119" t="str">
        <f t="shared" si="1"/>
        <v/>
      </c>
    </row>
    <row r="59" spans="1:11" ht="15" customHeight="1">
      <c r="A59" s="119" t="str">
        <f>IF($B59="","",IFERROR(INDEX(상담데이터입력!$BH$3:$BH$502,MATCH($B59,상담데이터입력!$A$3:$A$502,0)),""))</f>
        <v/>
      </c>
      <c r="B59" s="120"/>
      <c r="C59" s="119" t="str">
        <f>IF($B59="","",IFERROR(INDEX(상담데이터입력!$D$3:$D$502,MATCH($B59,상담데이터입력!$A$3:$A$502,0)),""))</f>
        <v/>
      </c>
      <c r="D59" s="119" t="str">
        <f>IF($B59="","",IFERROR(INDEX(상담데이터입력!$S$3:$S$502,MATCH($B59,상담데이터입력!$A$3:$A$502,0)),""))</f>
        <v/>
      </c>
      <c r="E59" s="121"/>
      <c r="F59" s="122"/>
      <c r="G59" s="123"/>
      <c r="H59" s="123"/>
      <c r="I59" s="124"/>
      <c r="J59" s="125" t="str">
        <f t="shared" si="0"/>
        <v/>
      </c>
      <c r="K59" s="119" t="str">
        <f t="shared" si="1"/>
        <v/>
      </c>
    </row>
    <row r="60" spans="1:11" ht="15" customHeight="1">
      <c r="A60" s="119" t="str">
        <f>IF($B60="","",IFERROR(INDEX(상담데이터입력!$BH$3:$BH$502,MATCH($B60,상담데이터입력!$A$3:$A$502,0)),""))</f>
        <v/>
      </c>
      <c r="B60" s="120"/>
      <c r="C60" s="119" t="str">
        <f>IF($B60="","",IFERROR(INDEX(상담데이터입력!$D$3:$D$502,MATCH($B60,상담데이터입력!$A$3:$A$502,0)),""))</f>
        <v/>
      </c>
      <c r="D60" s="119" t="str">
        <f>IF($B60="","",IFERROR(INDEX(상담데이터입력!$S$3:$S$502,MATCH($B60,상담데이터입력!$A$3:$A$502,0)),""))</f>
        <v/>
      </c>
      <c r="E60" s="121"/>
      <c r="F60" s="122"/>
      <c r="G60" s="123"/>
      <c r="H60" s="123"/>
      <c r="I60" s="124"/>
      <c r="J60" s="125" t="str">
        <f t="shared" si="0"/>
        <v/>
      </c>
      <c r="K60" s="119" t="str">
        <f t="shared" si="1"/>
        <v/>
      </c>
    </row>
    <row r="61" spans="1:11" ht="15" customHeight="1">
      <c r="A61" s="119" t="str">
        <f>IF($B61="","",IFERROR(INDEX(상담데이터입력!$BH$3:$BH$502,MATCH($B61,상담데이터입력!$A$3:$A$502,0)),""))</f>
        <v/>
      </c>
      <c r="B61" s="120"/>
      <c r="C61" s="119" t="str">
        <f>IF($B61="","",IFERROR(INDEX(상담데이터입력!$D$3:$D$502,MATCH($B61,상담데이터입력!$A$3:$A$502,0)),""))</f>
        <v/>
      </c>
      <c r="D61" s="119" t="str">
        <f>IF($B61="","",IFERROR(INDEX(상담데이터입력!$S$3:$S$502,MATCH($B61,상담데이터입력!$A$3:$A$502,0)),""))</f>
        <v/>
      </c>
      <c r="E61" s="121"/>
      <c r="F61" s="122"/>
      <c r="G61" s="123"/>
      <c r="H61" s="123"/>
      <c r="I61" s="124"/>
      <c r="J61" s="125" t="str">
        <f t="shared" si="0"/>
        <v/>
      </c>
      <c r="K61" s="119" t="str">
        <f t="shared" si="1"/>
        <v/>
      </c>
    </row>
    <row r="62" spans="1:11" ht="15" customHeight="1">
      <c r="A62" s="119" t="str">
        <f>IF($B62="","",IFERROR(INDEX(상담데이터입력!$BH$3:$BH$502,MATCH($B62,상담데이터입력!$A$3:$A$502,0)),""))</f>
        <v/>
      </c>
      <c r="B62" s="120"/>
      <c r="C62" s="119" t="str">
        <f>IF($B62="","",IFERROR(INDEX(상담데이터입력!$D$3:$D$502,MATCH($B62,상담데이터입력!$A$3:$A$502,0)),""))</f>
        <v/>
      </c>
      <c r="D62" s="119" t="str">
        <f>IF($B62="","",IFERROR(INDEX(상담데이터입력!$S$3:$S$502,MATCH($B62,상담데이터입력!$A$3:$A$502,0)),""))</f>
        <v/>
      </c>
      <c r="E62" s="121"/>
      <c r="F62" s="122"/>
      <c r="G62" s="123"/>
      <c r="H62" s="123"/>
      <c r="I62" s="124"/>
      <c r="J62" s="125" t="str">
        <f t="shared" si="0"/>
        <v/>
      </c>
      <c r="K62" s="119" t="str">
        <f t="shared" si="1"/>
        <v/>
      </c>
    </row>
    <row r="63" spans="1:11" ht="15" customHeight="1">
      <c r="A63" s="119" t="str">
        <f>IF($B63="","",IFERROR(INDEX(상담데이터입력!$BH$3:$BH$502,MATCH($B63,상담데이터입력!$A$3:$A$502,0)),""))</f>
        <v/>
      </c>
      <c r="B63" s="120"/>
      <c r="C63" s="119" t="str">
        <f>IF($B63="","",IFERROR(INDEX(상담데이터입력!$D$3:$D$502,MATCH($B63,상담데이터입력!$A$3:$A$502,0)),""))</f>
        <v/>
      </c>
      <c r="D63" s="119" t="str">
        <f>IF($B63="","",IFERROR(INDEX(상담데이터입력!$S$3:$S$502,MATCH($B63,상담데이터입력!$A$3:$A$502,0)),""))</f>
        <v/>
      </c>
      <c r="E63" s="121"/>
      <c r="F63" s="122"/>
      <c r="G63" s="123"/>
      <c r="H63" s="123"/>
      <c r="I63" s="124"/>
      <c r="J63" s="125" t="str">
        <f t="shared" si="0"/>
        <v/>
      </c>
      <c r="K63" s="119" t="str">
        <f t="shared" si="1"/>
        <v/>
      </c>
    </row>
    <row r="64" spans="1:11" ht="15" customHeight="1">
      <c r="A64" s="119" t="str">
        <f>IF($B64="","",IFERROR(INDEX(상담데이터입력!$BH$3:$BH$502,MATCH($B64,상담데이터입력!$A$3:$A$502,0)),""))</f>
        <v/>
      </c>
      <c r="B64" s="120"/>
      <c r="C64" s="119" t="str">
        <f>IF($B64="","",IFERROR(INDEX(상담데이터입력!$D$3:$D$502,MATCH($B64,상담데이터입력!$A$3:$A$502,0)),""))</f>
        <v/>
      </c>
      <c r="D64" s="119" t="str">
        <f>IF($B64="","",IFERROR(INDEX(상담데이터입력!$S$3:$S$502,MATCH($B64,상담데이터입력!$A$3:$A$502,0)),""))</f>
        <v/>
      </c>
      <c r="E64" s="121"/>
      <c r="F64" s="122"/>
      <c r="G64" s="123"/>
      <c r="H64" s="123"/>
      <c r="I64" s="124"/>
      <c r="J64" s="125" t="str">
        <f t="shared" si="0"/>
        <v/>
      </c>
      <c r="K64" s="119" t="str">
        <f t="shared" si="1"/>
        <v/>
      </c>
    </row>
    <row r="65" spans="1:11" ht="15" customHeight="1">
      <c r="A65" s="119" t="str">
        <f>IF($B65="","",IFERROR(INDEX(상담데이터입력!$BH$3:$BH$502,MATCH($B65,상담데이터입력!$A$3:$A$502,0)),""))</f>
        <v/>
      </c>
      <c r="B65" s="120"/>
      <c r="C65" s="119" t="str">
        <f>IF($B65="","",IFERROR(INDEX(상담데이터입력!$D$3:$D$502,MATCH($B65,상담데이터입력!$A$3:$A$502,0)),""))</f>
        <v/>
      </c>
      <c r="D65" s="119" t="str">
        <f>IF($B65="","",IFERROR(INDEX(상담데이터입력!$S$3:$S$502,MATCH($B65,상담데이터입력!$A$3:$A$502,0)),""))</f>
        <v/>
      </c>
      <c r="E65" s="121"/>
      <c r="F65" s="122"/>
      <c r="G65" s="123"/>
      <c r="H65" s="123"/>
      <c r="I65" s="124"/>
      <c r="J65" s="125" t="str">
        <f t="shared" si="0"/>
        <v/>
      </c>
      <c r="K65" s="119" t="str">
        <f t="shared" si="1"/>
        <v/>
      </c>
    </row>
    <row r="66" spans="1:11" ht="15" customHeight="1">
      <c r="A66" s="119" t="str">
        <f>IF($B66="","",IFERROR(INDEX(상담데이터입력!$BH$3:$BH$502,MATCH($B66,상담데이터입력!$A$3:$A$502,0)),""))</f>
        <v/>
      </c>
      <c r="B66" s="120"/>
      <c r="C66" s="119" t="str">
        <f>IF($B66="","",IFERROR(INDEX(상담데이터입력!$D$3:$D$502,MATCH($B66,상담데이터입력!$A$3:$A$502,0)),""))</f>
        <v/>
      </c>
      <c r="D66" s="119" t="str">
        <f>IF($B66="","",IFERROR(INDEX(상담데이터입력!$S$3:$S$502,MATCH($B66,상담데이터입력!$A$3:$A$502,0)),""))</f>
        <v/>
      </c>
      <c r="E66" s="121"/>
      <c r="F66" s="122"/>
      <c r="G66" s="123"/>
      <c r="H66" s="123"/>
      <c r="I66" s="124"/>
      <c r="J66" s="125" t="str">
        <f t="shared" si="0"/>
        <v/>
      </c>
      <c r="K66" s="119" t="str">
        <f t="shared" si="1"/>
        <v/>
      </c>
    </row>
    <row r="67" spans="1:11" ht="15" customHeight="1">
      <c r="A67" s="119" t="str">
        <f>IF($B67="","",IFERROR(INDEX(상담데이터입력!$BH$3:$BH$502,MATCH($B67,상담데이터입력!$A$3:$A$502,0)),""))</f>
        <v/>
      </c>
      <c r="B67" s="120"/>
      <c r="C67" s="119" t="str">
        <f>IF($B67="","",IFERROR(INDEX(상담데이터입력!$D$3:$D$502,MATCH($B67,상담데이터입력!$A$3:$A$502,0)),""))</f>
        <v/>
      </c>
      <c r="D67" s="119" t="str">
        <f>IF($B67="","",IFERROR(INDEX(상담데이터입력!$S$3:$S$502,MATCH($B67,상담데이터입력!$A$3:$A$502,0)),""))</f>
        <v/>
      </c>
      <c r="E67" s="121"/>
      <c r="F67" s="122"/>
      <c r="G67" s="123"/>
      <c r="H67" s="123"/>
      <c r="I67" s="124"/>
      <c r="J67" s="125" t="str">
        <f t="shared" si="0"/>
        <v/>
      </c>
      <c r="K67" s="119" t="str">
        <f t="shared" si="1"/>
        <v/>
      </c>
    </row>
    <row r="68" spans="1:11" ht="15" customHeight="1">
      <c r="A68" s="119" t="str">
        <f>IF($B68="","",IFERROR(INDEX(상담데이터입력!$BH$3:$BH$502,MATCH($B68,상담데이터입력!$A$3:$A$502,0)),""))</f>
        <v/>
      </c>
      <c r="B68" s="120"/>
      <c r="C68" s="119" t="str">
        <f>IF($B68="","",IFERROR(INDEX(상담데이터입력!$D$3:$D$502,MATCH($B68,상담데이터입력!$A$3:$A$502,0)),""))</f>
        <v/>
      </c>
      <c r="D68" s="119" t="str">
        <f>IF($B68="","",IFERROR(INDEX(상담데이터입력!$S$3:$S$502,MATCH($B68,상담데이터입력!$A$3:$A$502,0)),""))</f>
        <v/>
      </c>
      <c r="E68" s="121"/>
      <c r="F68" s="122"/>
      <c r="G68" s="123"/>
      <c r="H68" s="123"/>
      <c r="I68" s="124"/>
      <c r="J68" s="125" t="str">
        <f t="shared" si="0"/>
        <v/>
      </c>
      <c r="K68" s="119" t="str">
        <f t="shared" si="1"/>
        <v/>
      </c>
    </row>
    <row r="69" spans="1:11" ht="15" customHeight="1">
      <c r="A69" s="119" t="str">
        <f>IF($B69="","",IFERROR(INDEX(상담데이터입력!$BH$3:$BH$502,MATCH($B69,상담데이터입력!$A$3:$A$502,0)),""))</f>
        <v/>
      </c>
      <c r="B69" s="120"/>
      <c r="C69" s="119" t="str">
        <f>IF($B69="","",IFERROR(INDEX(상담데이터입력!$D$3:$D$502,MATCH($B69,상담데이터입력!$A$3:$A$502,0)),""))</f>
        <v/>
      </c>
      <c r="D69" s="119" t="str">
        <f>IF($B69="","",IFERROR(INDEX(상담데이터입력!$S$3:$S$502,MATCH($B69,상담데이터입력!$A$3:$A$502,0)),""))</f>
        <v/>
      </c>
      <c r="E69" s="121"/>
      <c r="F69" s="122"/>
      <c r="G69" s="123"/>
      <c r="H69" s="123"/>
      <c r="I69" s="124"/>
      <c r="J69" s="125" t="str">
        <f t="shared" ref="J69:J132" si="2">IF(OR($G69="",$F69=""),"",EDATE($G69,IF($F69="1개월",1,IF($F69="3개월",3,IF($F69="6개월",6,0)))))</f>
        <v/>
      </c>
      <c r="K69" s="119" t="str">
        <f t="shared" ref="K69:K132" si="3">IF($B69="","",IF($H69="","재원중","퇴소"))</f>
        <v/>
      </c>
    </row>
    <row r="70" spans="1:11" ht="15" customHeight="1">
      <c r="A70" s="119" t="str">
        <f>IF($B70="","",IFERROR(INDEX(상담데이터입력!$BH$3:$BH$502,MATCH($B70,상담데이터입력!$A$3:$A$502,0)),""))</f>
        <v/>
      </c>
      <c r="B70" s="120"/>
      <c r="C70" s="119" t="str">
        <f>IF($B70="","",IFERROR(INDEX(상담데이터입력!$D$3:$D$502,MATCH($B70,상담데이터입력!$A$3:$A$502,0)),""))</f>
        <v/>
      </c>
      <c r="D70" s="119" t="str">
        <f>IF($B70="","",IFERROR(INDEX(상담데이터입력!$S$3:$S$502,MATCH($B70,상담데이터입력!$A$3:$A$502,0)),""))</f>
        <v/>
      </c>
      <c r="E70" s="121"/>
      <c r="F70" s="122"/>
      <c r="G70" s="123"/>
      <c r="H70" s="123"/>
      <c r="I70" s="124"/>
      <c r="J70" s="125" t="str">
        <f t="shared" si="2"/>
        <v/>
      </c>
      <c r="K70" s="119" t="str">
        <f t="shared" si="3"/>
        <v/>
      </c>
    </row>
    <row r="71" spans="1:11" ht="15" customHeight="1">
      <c r="A71" s="119" t="str">
        <f>IF($B71="","",IFERROR(INDEX(상담데이터입력!$BH$3:$BH$502,MATCH($B71,상담데이터입력!$A$3:$A$502,0)),""))</f>
        <v/>
      </c>
      <c r="B71" s="120"/>
      <c r="C71" s="119" t="str">
        <f>IF($B71="","",IFERROR(INDEX(상담데이터입력!$D$3:$D$502,MATCH($B71,상담데이터입력!$A$3:$A$502,0)),""))</f>
        <v/>
      </c>
      <c r="D71" s="119" t="str">
        <f>IF($B71="","",IFERROR(INDEX(상담데이터입력!$S$3:$S$502,MATCH($B71,상담데이터입력!$A$3:$A$502,0)),""))</f>
        <v/>
      </c>
      <c r="E71" s="121"/>
      <c r="F71" s="122"/>
      <c r="G71" s="123"/>
      <c r="H71" s="123"/>
      <c r="I71" s="124"/>
      <c r="J71" s="125" t="str">
        <f t="shared" si="2"/>
        <v/>
      </c>
      <c r="K71" s="119" t="str">
        <f t="shared" si="3"/>
        <v/>
      </c>
    </row>
    <row r="72" spans="1:11" ht="15" customHeight="1">
      <c r="A72" s="119" t="str">
        <f>IF($B72="","",IFERROR(INDEX(상담데이터입력!$BH$3:$BH$502,MATCH($B72,상담데이터입력!$A$3:$A$502,0)),""))</f>
        <v/>
      </c>
      <c r="B72" s="120"/>
      <c r="C72" s="119" t="str">
        <f>IF($B72="","",IFERROR(INDEX(상담데이터입력!$D$3:$D$502,MATCH($B72,상담데이터입력!$A$3:$A$502,0)),""))</f>
        <v/>
      </c>
      <c r="D72" s="119" t="str">
        <f>IF($B72="","",IFERROR(INDEX(상담데이터입력!$S$3:$S$502,MATCH($B72,상담데이터입력!$A$3:$A$502,0)),""))</f>
        <v/>
      </c>
      <c r="E72" s="121"/>
      <c r="F72" s="122"/>
      <c r="G72" s="123"/>
      <c r="H72" s="123"/>
      <c r="I72" s="124"/>
      <c r="J72" s="125" t="str">
        <f t="shared" si="2"/>
        <v/>
      </c>
      <c r="K72" s="119" t="str">
        <f t="shared" si="3"/>
        <v/>
      </c>
    </row>
    <row r="73" spans="1:11" ht="15" customHeight="1">
      <c r="A73" s="119" t="str">
        <f>IF($B73="","",IFERROR(INDEX(상담데이터입력!$BH$3:$BH$502,MATCH($B73,상담데이터입력!$A$3:$A$502,0)),""))</f>
        <v/>
      </c>
      <c r="B73" s="120"/>
      <c r="C73" s="119" t="str">
        <f>IF($B73="","",IFERROR(INDEX(상담데이터입력!$D$3:$D$502,MATCH($B73,상담데이터입력!$A$3:$A$502,0)),""))</f>
        <v/>
      </c>
      <c r="D73" s="119" t="str">
        <f>IF($B73="","",IFERROR(INDEX(상담데이터입력!$S$3:$S$502,MATCH($B73,상담데이터입력!$A$3:$A$502,0)),""))</f>
        <v/>
      </c>
      <c r="E73" s="121"/>
      <c r="F73" s="122"/>
      <c r="G73" s="123"/>
      <c r="H73" s="123"/>
      <c r="I73" s="124"/>
      <c r="J73" s="125" t="str">
        <f t="shared" si="2"/>
        <v/>
      </c>
      <c r="K73" s="119" t="str">
        <f t="shared" si="3"/>
        <v/>
      </c>
    </row>
    <row r="74" spans="1:11" ht="15" customHeight="1">
      <c r="A74" s="119" t="str">
        <f>IF($B74="","",IFERROR(INDEX(상담데이터입력!$BH$3:$BH$502,MATCH($B74,상담데이터입력!$A$3:$A$502,0)),""))</f>
        <v/>
      </c>
      <c r="B74" s="120"/>
      <c r="C74" s="119" t="str">
        <f>IF($B74="","",IFERROR(INDEX(상담데이터입력!$D$3:$D$502,MATCH($B74,상담데이터입력!$A$3:$A$502,0)),""))</f>
        <v/>
      </c>
      <c r="D74" s="119" t="str">
        <f>IF($B74="","",IFERROR(INDEX(상담데이터입력!$S$3:$S$502,MATCH($B74,상담데이터입력!$A$3:$A$502,0)),""))</f>
        <v/>
      </c>
      <c r="E74" s="121"/>
      <c r="F74" s="122"/>
      <c r="G74" s="123"/>
      <c r="H74" s="123"/>
      <c r="I74" s="124"/>
      <c r="J74" s="125" t="str">
        <f t="shared" si="2"/>
        <v/>
      </c>
      <c r="K74" s="119" t="str">
        <f t="shared" si="3"/>
        <v/>
      </c>
    </row>
    <row r="75" spans="1:11" ht="15" customHeight="1">
      <c r="A75" s="119" t="str">
        <f>IF($B75="","",IFERROR(INDEX(상담데이터입력!$BH$3:$BH$502,MATCH($B75,상담데이터입력!$A$3:$A$502,0)),""))</f>
        <v/>
      </c>
      <c r="B75" s="120"/>
      <c r="C75" s="119" t="str">
        <f>IF($B75="","",IFERROR(INDEX(상담데이터입력!$D$3:$D$502,MATCH($B75,상담데이터입력!$A$3:$A$502,0)),""))</f>
        <v/>
      </c>
      <c r="D75" s="119" t="str">
        <f>IF($B75="","",IFERROR(INDEX(상담데이터입력!$S$3:$S$502,MATCH($B75,상담데이터입력!$A$3:$A$502,0)),""))</f>
        <v/>
      </c>
      <c r="E75" s="121"/>
      <c r="F75" s="122"/>
      <c r="G75" s="123"/>
      <c r="H75" s="123"/>
      <c r="I75" s="124"/>
      <c r="J75" s="125" t="str">
        <f t="shared" si="2"/>
        <v/>
      </c>
      <c r="K75" s="119" t="str">
        <f t="shared" si="3"/>
        <v/>
      </c>
    </row>
    <row r="76" spans="1:11" ht="15" customHeight="1">
      <c r="A76" s="119" t="str">
        <f>IF($B76="","",IFERROR(INDEX(상담데이터입력!$BH$3:$BH$502,MATCH($B76,상담데이터입력!$A$3:$A$502,0)),""))</f>
        <v/>
      </c>
      <c r="B76" s="120"/>
      <c r="C76" s="119" t="str">
        <f>IF($B76="","",IFERROR(INDEX(상담데이터입력!$D$3:$D$502,MATCH($B76,상담데이터입력!$A$3:$A$502,0)),""))</f>
        <v/>
      </c>
      <c r="D76" s="119" t="str">
        <f>IF($B76="","",IFERROR(INDEX(상담데이터입력!$S$3:$S$502,MATCH($B76,상담데이터입력!$A$3:$A$502,0)),""))</f>
        <v/>
      </c>
      <c r="E76" s="121"/>
      <c r="F76" s="122"/>
      <c r="G76" s="123"/>
      <c r="H76" s="123"/>
      <c r="I76" s="124"/>
      <c r="J76" s="125" t="str">
        <f t="shared" si="2"/>
        <v/>
      </c>
      <c r="K76" s="119" t="str">
        <f t="shared" si="3"/>
        <v/>
      </c>
    </row>
    <row r="77" spans="1:11" ht="15" customHeight="1">
      <c r="A77" s="119" t="str">
        <f>IF($B77="","",IFERROR(INDEX(상담데이터입력!$BH$3:$BH$502,MATCH($B77,상담데이터입력!$A$3:$A$502,0)),""))</f>
        <v/>
      </c>
      <c r="B77" s="120"/>
      <c r="C77" s="119" t="str">
        <f>IF($B77="","",IFERROR(INDEX(상담데이터입력!$D$3:$D$502,MATCH($B77,상담데이터입력!$A$3:$A$502,0)),""))</f>
        <v/>
      </c>
      <c r="D77" s="119" t="str">
        <f>IF($B77="","",IFERROR(INDEX(상담데이터입력!$S$3:$S$502,MATCH($B77,상담데이터입력!$A$3:$A$502,0)),""))</f>
        <v/>
      </c>
      <c r="E77" s="121"/>
      <c r="F77" s="122"/>
      <c r="G77" s="123"/>
      <c r="H77" s="123"/>
      <c r="I77" s="124"/>
      <c r="J77" s="125" t="str">
        <f t="shared" si="2"/>
        <v/>
      </c>
      <c r="K77" s="119" t="str">
        <f t="shared" si="3"/>
        <v/>
      </c>
    </row>
    <row r="78" spans="1:11" ht="15" customHeight="1">
      <c r="A78" s="119" t="str">
        <f>IF($B78="","",IFERROR(INDEX(상담데이터입력!$BH$3:$BH$502,MATCH($B78,상담데이터입력!$A$3:$A$502,0)),""))</f>
        <v/>
      </c>
      <c r="B78" s="120"/>
      <c r="C78" s="119" t="str">
        <f>IF($B78="","",IFERROR(INDEX(상담데이터입력!$D$3:$D$502,MATCH($B78,상담데이터입력!$A$3:$A$502,0)),""))</f>
        <v/>
      </c>
      <c r="D78" s="119" t="str">
        <f>IF($B78="","",IFERROR(INDEX(상담데이터입력!$S$3:$S$502,MATCH($B78,상담데이터입력!$A$3:$A$502,0)),""))</f>
        <v/>
      </c>
      <c r="E78" s="121"/>
      <c r="F78" s="122"/>
      <c r="G78" s="123"/>
      <c r="H78" s="123"/>
      <c r="I78" s="124"/>
      <c r="J78" s="125" t="str">
        <f t="shared" si="2"/>
        <v/>
      </c>
      <c r="K78" s="119" t="str">
        <f t="shared" si="3"/>
        <v/>
      </c>
    </row>
    <row r="79" spans="1:11" ht="15" customHeight="1">
      <c r="A79" s="119" t="str">
        <f>IF($B79="","",IFERROR(INDEX(상담데이터입력!$BH$3:$BH$502,MATCH($B79,상담데이터입력!$A$3:$A$502,0)),""))</f>
        <v/>
      </c>
      <c r="B79" s="120"/>
      <c r="C79" s="119" t="str">
        <f>IF($B79="","",IFERROR(INDEX(상담데이터입력!$D$3:$D$502,MATCH($B79,상담데이터입력!$A$3:$A$502,0)),""))</f>
        <v/>
      </c>
      <c r="D79" s="119" t="str">
        <f>IF($B79="","",IFERROR(INDEX(상담데이터입력!$S$3:$S$502,MATCH($B79,상담데이터입력!$A$3:$A$502,0)),""))</f>
        <v/>
      </c>
      <c r="E79" s="121"/>
      <c r="F79" s="122"/>
      <c r="G79" s="123"/>
      <c r="H79" s="123"/>
      <c r="I79" s="124"/>
      <c r="J79" s="125" t="str">
        <f t="shared" si="2"/>
        <v/>
      </c>
      <c r="K79" s="119" t="str">
        <f t="shared" si="3"/>
        <v/>
      </c>
    </row>
    <row r="80" spans="1:11" ht="15" customHeight="1">
      <c r="A80" s="119" t="str">
        <f>IF($B80="","",IFERROR(INDEX(상담데이터입력!$BH$3:$BH$502,MATCH($B80,상담데이터입력!$A$3:$A$502,0)),""))</f>
        <v/>
      </c>
      <c r="B80" s="120"/>
      <c r="C80" s="119" t="str">
        <f>IF($B80="","",IFERROR(INDEX(상담데이터입력!$D$3:$D$502,MATCH($B80,상담데이터입력!$A$3:$A$502,0)),""))</f>
        <v/>
      </c>
      <c r="D80" s="119" t="str">
        <f>IF($B80="","",IFERROR(INDEX(상담데이터입력!$S$3:$S$502,MATCH($B80,상담데이터입력!$A$3:$A$502,0)),""))</f>
        <v/>
      </c>
      <c r="E80" s="121"/>
      <c r="F80" s="122"/>
      <c r="G80" s="123"/>
      <c r="H80" s="123"/>
      <c r="I80" s="124"/>
      <c r="J80" s="125" t="str">
        <f t="shared" si="2"/>
        <v/>
      </c>
      <c r="K80" s="119" t="str">
        <f t="shared" si="3"/>
        <v/>
      </c>
    </row>
    <row r="81" spans="1:11" ht="15" customHeight="1">
      <c r="A81" s="119" t="str">
        <f>IF($B81="","",IFERROR(INDEX(상담데이터입력!$BH$3:$BH$502,MATCH($B81,상담데이터입력!$A$3:$A$502,0)),""))</f>
        <v/>
      </c>
      <c r="B81" s="120"/>
      <c r="C81" s="119" t="str">
        <f>IF($B81="","",IFERROR(INDEX(상담데이터입력!$D$3:$D$502,MATCH($B81,상담데이터입력!$A$3:$A$502,0)),""))</f>
        <v/>
      </c>
      <c r="D81" s="119" t="str">
        <f>IF($B81="","",IFERROR(INDEX(상담데이터입력!$S$3:$S$502,MATCH($B81,상담데이터입력!$A$3:$A$502,0)),""))</f>
        <v/>
      </c>
      <c r="E81" s="121"/>
      <c r="F81" s="122"/>
      <c r="G81" s="123"/>
      <c r="H81" s="123"/>
      <c r="I81" s="124"/>
      <c r="J81" s="125" t="str">
        <f t="shared" si="2"/>
        <v/>
      </c>
      <c r="K81" s="119" t="str">
        <f t="shared" si="3"/>
        <v/>
      </c>
    </row>
    <row r="82" spans="1:11" ht="15" customHeight="1">
      <c r="A82" s="119" t="str">
        <f>IF($B82="","",IFERROR(INDEX(상담데이터입력!$BH$3:$BH$502,MATCH($B82,상담데이터입력!$A$3:$A$502,0)),""))</f>
        <v/>
      </c>
      <c r="B82" s="120"/>
      <c r="C82" s="119" t="str">
        <f>IF($B82="","",IFERROR(INDEX(상담데이터입력!$D$3:$D$502,MATCH($B82,상담데이터입력!$A$3:$A$502,0)),""))</f>
        <v/>
      </c>
      <c r="D82" s="119" t="str">
        <f>IF($B82="","",IFERROR(INDEX(상담데이터입력!$S$3:$S$502,MATCH($B82,상담데이터입력!$A$3:$A$502,0)),""))</f>
        <v/>
      </c>
      <c r="E82" s="121"/>
      <c r="F82" s="122"/>
      <c r="G82" s="123"/>
      <c r="H82" s="123"/>
      <c r="I82" s="124"/>
      <c r="J82" s="125" t="str">
        <f t="shared" si="2"/>
        <v/>
      </c>
      <c r="K82" s="119" t="str">
        <f t="shared" si="3"/>
        <v/>
      </c>
    </row>
    <row r="83" spans="1:11" ht="15" customHeight="1">
      <c r="A83" s="119" t="str">
        <f>IF($B83="","",IFERROR(INDEX(상담데이터입력!$BH$3:$BH$502,MATCH($B83,상담데이터입력!$A$3:$A$502,0)),""))</f>
        <v/>
      </c>
      <c r="B83" s="120"/>
      <c r="C83" s="119" t="str">
        <f>IF($B83="","",IFERROR(INDEX(상담데이터입력!$D$3:$D$502,MATCH($B83,상담데이터입력!$A$3:$A$502,0)),""))</f>
        <v/>
      </c>
      <c r="D83" s="119" t="str">
        <f>IF($B83="","",IFERROR(INDEX(상담데이터입력!$S$3:$S$502,MATCH($B83,상담데이터입력!$A$3:$A$502,0)),""))</f>
        <v/>
      </c>
      <c r="E83" s="121"/>
      <c r="F83" s="122"/>
      <c r="G83" s="123"/>
      <c r="H83" s="123"/>
      <c r="I83" s="124"/>
      <c r="J83" s="125" t="str">
        <f t="shared" si="2"/>
        <v/>
      </c>
      <c r="K83" s="119" t="str">
        <f t="shared" si="3"/>
        <v/>
      </c>
    </row>
    <row r="84" spans="1:11" ht="15" customHeight="1">
      <c r="A84" s="119" t="str">
        <f>IF($B84="","",IFERROR(INDEX(상담데이터입력!$BH$3:$BH$502,MATCH($B84,상담데이터입력!$A$3:$A$502,0)),""))</f>
        <v/>
      </c>
      <c r="B84" s="120"/>
      <c r="C84" s="119" t="str">
        <f>IF($B84="","",IFERROR(INDEX(상담데이터입력!$D$3:$D$502,MATCH($B84,상담데이터입력!$A$3:$A$502,0)),""))</f>
        <v/>
      </c>
      <c r="D84" s="119" t="str">
        <f>IF($B84="","",IFERROR(INDEX(상담데이터입력!$S$3:$S$502,MATCH($B84,상담데이터입력!$A$3:$A$502,0)),""))</f>
        <v/>
      </c>
      <c r="E84" s="121"/>
      <c r="F84" s="122"/>
      <c r="G84" s="123"/>
      <c r="H84" s="123"/>
      <c r="I84" s="124"/>
      <c r="J84" s="125" t="str">
        <f t="shared" si="2"/>
        <v/>
      </c>
      <c r="K84" s="119" t="str">
        <f t="shared" si="3"/>
        <v/>
      </c>
    </row>
    <row r="85" spans="1:11" ht="15" customHeight="1">
      <c r="A85" s="119" t="str">
        <f>IF($B85="","",IFERROR(INDEX(상담데이터입력!$BH$3:$BH$502,MATCH($B85,상담데이터입력!$A$3:$A$502,0)),""))</f>
        <v/>
      </c>
      <c r="B85" s="120"/>
      <c r="C85" s="119" t="str">
        <f>IF($B85="","",IFERROR(INDEX(상담데이터입력!$D$3:$D$502,MATCH($B85,상담데이터입력!$A$3:$A$502,0)),""))</f>
        <v/>
      </c>
      <c r="D85" s="119" t="str">
        <f>IF($B85="","",IFERROR(INDEX(상담데이터입력!$S$3:$S$502,MATCH($B85,상담데이터입력!$A$3:$A$502,0)),""))</f>
        <v/>
      </c>
      <c r="E85" s="121"/>
      <c r="F85" s="122"/>
      <c r="G85" s="123"/>
      <c r="H85" s="123"/>
      <c r="I85" s="124"/>
      <c r="J85" s="125" t="str">
        <f t="shared" si="2"/>
        <v/>
      </c>
      <c r="K85" s="119" t="str">
        <f t="shared" si="3"/>
        <v/>
      </c>
    </row>
    <row r="86" spans="1:11" ht="15" customHeight="1">
      <c r="A86" s="119" t="str">
        <f>IF($B86="","",IFERROR(INDEX(상담데이터입력!$BH$3:$BH$502,MATCH($B86,상담데이터입력!$A$3:$A$502,0)),""))</f>
        <v/>
      </c>
      <c r="B86" s="120"/>
      <c r="C86" s="119" t="str">
        <f>IF($B86="","",IFERROR(INDEX(상담데이터입력!$D$3:$D$502,MATCH($B86,상담데이터입력!$A$3:$A$502,0)),""))</f>
        <v/>
      </c>
      <c r="D86" s="119" t="str">
        <f>IF($B86="","",IFERROR(INDEX(상담데이터입력!$S$3:$S$502,MATCH($B86,상담데이터입력!$A$3:$A$502,0)),""))</f>
        <v/>
      </c>
      <c r="E86" s="121"/>
      <c r="F86" s="122"/>
      <c r="G86" s="123"/>
      <c r="H86" s="123"/>
      <c r="I86" s="124"/>
      <c r="J86" s="125" t="str">
        <f t="shared" si="2"/>
        <v/>
      </c>
      <c r="K86" s="119" t="str">
        <f t="shared" si="3"/>
        <v/>
      </c>
    </row>
    <row r="87" spans="1:11" ht="15" customHeight="1">
      <c r="A87" s="119" t="str">
        <f>IF($B87="","",IFERROR(INDEX(상담데이터입력!$BH$3:$BH$502,MATCH($B87,상담데이터입력!$A$3:$A$502,0)),""))</f>
        <v/>
      </c>
      <c r="B87" s="120"/>
      <c r="C87" s="119" t="str">
        <f>IF($B87="","",IFERROR(INDEX(상담데이터입력!$D$3:$D$502,MATCH($B87,상담데이터입력!$A$3:$A$502,0)),""))</f>
        <v/>
      </c>
      <c r="D87" s="119" t="str">
        <f>IF($B87="","",IFERROR(INDEX(상담데이터입력!$S$3:$S$502,MATCH($B87,상담데이터입력!$A$3:$A$502,0)),""))</f>
        <v/>
      </c>
      <c r="E87" s="121"/>
      <c r="F87" s="122"/>
      <c r="G87" s="123"/>
      <c r="H87" s="123"/>
      <c r="I87" s="124"/>
      <c r="J87" s="125" t="str">
        <f t="shared" si="2"/>
        <v/>
      </c>
      <c r="K87" s="119" t="str">
        <f t="shared" si="3"/>
        <v/>
      </c>
    </row>
    <row r="88" spans="1:11" ht="15" customHeight="1">
      <c r="A88" s="119" t="str">
        <f>IF($B88="","",IFERROR(INDEX(상담데이터입력!$BH$3:$BH$502,MATCH($B88,상담데이터입력!$A$3:$A$502,0)),""))</f>
        <v/>
      </c>
      <c r="B88" s="120"/>
      <c r="C88" s="119" t="str">
        <f>IF($B88="","",IFERROR(INDEX(상담데이터입력!$D$3:$D$502,MATCH($B88,상담데이터입력!$A$3:$A$502,0)),""))</f>
        <v/>
      </c>
      <c r="D88" s="119" t="str">
        <f>IF($B88="","",IFERROR(INDEX(상담데이터입력!$S$3:$S$502,MATCH($B88,상담데이터입력!$A$3:$A$502,0)),""))</f>
        <v/>
      </c>
      <c r="E88" s="121"/>
      <c r="F88" s="122"/>
      <c r="G88" s="123"/>
      <c r="H88" s="123"/>
      <c r="I88" s="124"/>
      <c r="J88" s="125" t="str">
        <f t="shared" si="2"/>
        <v/>
      </c>
      <c r="K88" s="119" t="str">
        <f t="shared" si="3"/>
        <v/>
      </c>
    </row>
    <row r="89" spans="1:11" ht="15" customHeight="1">
      <c r="A89" s="119" t="str">
        <f>IF($B89="","",IFERROR(INDEX(상담데이터입력!$BH$3:$BH$502,MATCH($B89,상담데이터입력!$A$3:$A$502,0)),""))</f>
        <v/>
      </c>
      <c r="B89" s="120"/>
      <c r="C89" s="119" t="str">
        <f>IF($B89="","",IFERROR(INDEX(상담데이터입력!$D$3:$D$502,MATCH($B89,상담데이터입력!$A$3:$A$502,0)),""))</f>
        <v/>
      </c>
      <c r="D89" s="119" t="str">
        <f>IF($B89="","",IFERROR(INDEX(상담데이터입력!$S$3:$S$502,MATCH($B89,상담데이터입력!$A$3:$A$502,0)),""))</f>
        <v/>
      </c>
      <c r="E89" s="121"/>
      <c r="F89" s="122"/>
      <c r="G89" s="123"/>
      <c r="H89" s="123"/>
      <c r="I89" s="124"/>
      <c r="J89" s="125" t="str">
        <f t="shared" si="2"/>
        <v/>
      </c>
      <c r="K89" s="119" t="str">
        <f t="shared" si="3"/>
        <v/>
      </c>
    </row>
    <row r="90" spans="1:11" ht="15" customHeight="1">
      <c r="A90" s="119" t="str">
        <f>IF($B90="","",IFERROR(INDEX(상담데이터입력!$BH$3:$BH$502,MATCH($B90,상담데이터입력!$A$3:$A$502,0)),""))</f>
        <v/>
      </c>
      <c r="B90" s="120"/>
      <c r="C90" s="119" t="str">
        <f>IF($B90="","",IFERROR(INDEX(상담데이터입력!$D$3:$D$502,MATCH($B90,상담데이터입력!$A$3:$A$502,0)),""))</f>
        <v/>
      </c>
      <c r="D90" s="119" t="str">
        <f>IF($B90="","",IFERROR(INDEX(상담데이터입력!$S$3:$S$502,MATCH($B90,상담데이터입력!$A$3:$A$502,0)),""))</f>
        <v/>
      </c>
      <c r="E90" s="121"/>
      <c r="F90" s="122"/>
      <c r="G90" s="123"/>
      <c r="H90" s="123"/>
      <c r="I90" s="124"/>
      <c r="J90" s="125" t="str">
        <f t="shared" si="2"/>
        <v/>
      </c>
      <c r="K90" s="119" t="str">
        <f t="shared" si="3"/>
        <v/>
      </c>
    </row>
    <row r="91" spans="1:11" ht="15" customHeight="1">
      <c r="A91" s="119" t="str">
        <f>IF($B91="","",IFERROR(INDEX(상담데이터입력!$BH$3:$BH$502,MATCH($B91,상담데이터입력!$A$3:$A$502,0)),""))</f>
        <v/>
      </c>
      <c r="B91" s="120"/>
      <c r="C91" s="119" t="str">
        <f>IF($B91="","",IFERROR(INDEX(상담데이터입력!$D$3:$D$502,MATCH($B91,상담데이터입력!$A$3:$A$502,0)),""))</f>
        <v/>
      </c>
      <c r="D91" s="119" t="str">
        <f>IF($B91="","",IFERROR(INDEX(상담데이터입력!$S$3:$S$502,MATCH($B91,상담데이터입력!$A$3:$A$502,0)),""))</f>
        <v/>
      </c>
      <c r="E91" s="121"/>
      <c r="F91" s="122"/>
      <c r="G91" s="123"/>
      <c r="H91" s="123"/>
      <c r="I91" s="124"/>
      <c r="J91" s="125" t="str">
        <f t="shared" si="2"/>
        <v/>
      </c>
      <c r="K91" s="119" t="str">
        <f t="shared" si="3"/>
        <v/>
      </c>
    </row>
    <row r="92" spans="1:11" ht="15" customHeight="1">
      <c r="A92" s="119" t="str">
        <f>IF($B92="","",IFERROR(INDEX(상담데이터입력!$BH$3:$BH$502,MATCH($B92,상담데이터입력!$A$3:$A$502,0)),""))</f>
        <v/>
      </c>
      <c r="B92" s="120"/>
      <c r="C92" s="119" t="str">
        <f>IF($B92="","",IFERROR(INDEX(상담데이터입력!$D$3:$D$502,MATCH($B92,상담데이터입력!$A$3:$A$502,0)),""))</f>
        <v/>
      </c>
      <c r="D92" s="119" t="str">
        <f>IF($B92="","",IFERROR(INDEX(상담데이터입력!$S$3:$S$502,MATCH($B92,상담데이터입력!$A$3:$A$502,0)),""))</f>
        <v/>
      </c>
      <c r="E92" s="121"/>
      <c r="F92" s="122"/>
      <c r="G92" s="123"/>
      <c r="H92" s="123"/>
      <c r="I92" s="124"/>
      <c r="J92" s="125" t="str">
        <f t="shared" si="2"/>
        <v/>
      </c>
      <c r="K92" s="119" t="str">
        <f t="shared" si="3"/>
        <v/>
      </c>
    </row>
    <row r="93" spans="1:11" ht="15" customHeight="1">
      <c r="A93" s="119" t="str">
        <f>IF($B93="","",IFERROR(INDEX(상담데이터입력!$BH$3:$BH$502,MATCH($B93,상담데이터입력!$A$3:$A$502,0)),""))</f>
        <v/>
      </c>
      <c r="B93" s="120"/>
      <c r="C93" s="119" t="str">
        <f>IF($B93="","",IFERROR(INDEX(상담데이터입력!$D$3:$D$502,MATCH($B93,상담데이터입력!$A$3:$A$502,0)),""))</f>
        <v/>
      </c>
      <c r="D93" s="119" t="str">
        <f>IF($B93="","",IFERROR(INDEX(상담데이터입력!$S$3:$S$502,MATCH($B93,상담데이터입력!$A$3:$A$502,0)),""))</f>
        <v/>
      </c>
      <c r="E93" s="121"/>
      <c r="F93" s="122"/>
      <c r="G93" s="123"/>
      <c r="H93" s="123"/>
      <c r="I93" s="124"/>
      <c r="J93" s="125" t="str">
        <f t="shared" si="2"/>
        <v/>
      </c>
      <c r="K93" s="119" t="str">
        <f t="shared" si="3"/>
        <v/>
      </c>
    </row>
    <row r="94" spans="1:11" ht="15" customHeight="1">
      <c r="A94" s="119" t="str">
        <f>IF($B94="","",IFERROR(INDEX(상담데이터입력!$BH$3:$BH$502,MATCH($B94,상담데이터입력!$A$3:$A$502,0)),""))</f>
        <v/>
      </c>
      <c r="B94" s="120"/>
      <c r="C94" s="119" t="str">
        <f>IF($B94="","",IFERROR(INDEX(상담데이터입력!$D$3:$D$502,MATCH($B94,상담데이터입력!$A$3:$A$502,0)),""))</f>
        <v/>
      </c>
      <c r="D94" s="119" t="str">
        <f>IF($B94="","",IFERROR(INDEX(상담데이터입력!$S$3:$S$502,MATCH($B94,상담데이터입력!$A$3:$A$502,0)),""))</f>
        <v/>
      </c>
      <c r="E94" s="121"/>
      <c r="F94" s="122"/>
      <c r="G94" s="123"/>
      <c r="H94" s="123"/>
      <c r="I94" s="124"/>
      <c r="J94" s="125" t="str">
        <f t="shared" si="2"/>
        <v/>
      </c>
      <c r="K94" s="119" t="str">
        <f t="shared" si="3"/>
        <v/>
      </c>
    </row>
    <row r="95" spans="1:11" ht="15" customHeight="1">
      <c r="A95" s="119" t="str">
        <f>IF($B95="","",IFERROR(INDEX(상담데이터입력!$BH$3:$BH$502,MATCH($B95,상담데이터입력!$A$3:$A$502,0)),""))</f>
        <v/>
      </c>
      <c r="B95" s="120"/>
      <c r="C95" s="119" t="str">
        <f>IF($B95="","",IFERROR(INDEX(상담데이터입력!$D$3:$D$502,MATCH($B95,상담데이터입력!$A$3:$A$502,0)),""))</f>
        <v/>
      </c>
      <c r="D95" s="119" t="str">
        <f>IF($B95="","",IFERROR(INDEX(상담데이터입력!$S$3:$S$502,MATCH($B95,상담데이터입력!$A$3:$A$502,0)),""))</f>
        <v/>
      </c>
      <c r="E95" s="121"/>
      <c r="F95" s="122"/>
      <c r="G95" s="123"/>
      <c r="H95" s="123"/>
      <c r="I95" s="124"/>
      <c r="J95" s="125" t="str">
        <f t="shared" si="2"/>
        <v/>
      </c>
      <c r="K95" s="119" t="str">
        <f t="shared" si="3"/>
        <v/>
      </c>
    </row>
    <row r="96" spans="1:11" ht="15" customHeight="1">
      <c r="A96" s="119" t="str">
        <f>IF($B96="","",IFERROR(INDEX(상담데이터입력!$BH$3:$BH$502,MATCH($B96,상담데이터입력!$A$3:$A$502,0)),""))</f>
        <v/>
      </c>
      <c r="B96" s="120"/>
      <c r="C96" s="119" t="str">
        <f>IF($B96="","",IFERROR(INDEX(상담데이터입력!$D$3:$D$502,MATCH($B96,상담데이터입력!$A$3:$A$502,0)),""))</f>
        <v/>
      </c>
      <c r="D96" s="119" t="str">
        <f>IF($B96="","",IFERROR(INDEX(상담데이터입력!$S$3:$S$502,MATCH($B96,상담데이터입력!$A$3:$A$502,0)),""))</f>
        <v/>
      </c>
      <c r="E96" s="121"/>
      <c r="F96" s="122"/>
      <c r="G96" s="123"/>
      <c r="H96" s="123"/>
      <c r="I96" s="124"/>
      <c r="J96" s="125" t="str">
        <f t="shared" si="2"/>
        <v/>
      </c>
      <c r="K96" s="119" t="str">
        <f t="shared" si="3"/>
        <v/>
      </c>
    </row>
    <row r="97" spans="1:11" ht="15" customHeight="1">
      <c r="A97" s="119" t="str">
        <f>IF($B97="","",IFERROR(INDEX(상담데이터입력!$BH$3:$BH$502,MATCH($B97,상담데이터입력!$A$3:$A$502,0)),""))</f>
        <v/>
      </c>
      <c r="B97" s="120"/>
      <c r="C97" s="119" t="str">
        <f>IF($B97="","",IFERROR(INDEX(상담데이터입력!$D$3:$D$502,MATCH($B97,상담데이터입력!$A$3:$A$502,0)),""))</f>
        <v/>
      </c>
      <c r="D97" s="119" t="str">
        <f>IF($B97="","",IFERROR(INDEX(상담데이터입력!$S$3:$S$502,MATCH($B97,상담데이터입력!$A$3:$A$502,0)),""))</f>
        <v/>
      </c>
      <c r="E97" s="121"/>
      <c r="F97" s="122"/>
      <c r="G97" s="123"/>
      <c r="H97" s="123"/>
      <c r="I97" s="124"/>
      <c r="J97" s="125" t="str">
        <f t="shared" si="2"/>
        <v/>
      </c>
      <c r="K97" s="119" t="str">
        <f t="shared" si="3"/>
        <v/>
      </c>
    </row>
    <row r="98" spans="1:11" ht="15" customHeight="1">
      <c r="A98" s="119" t="str">
        <f>IF($B98="","",IFERROR(INDEX(상담데이터입력!$BH$3:$BH$502,MATCH($B98,상담데이터입력!$A$3:$A$502,0)),""))</f>
        <v/>
      </c>
      <c r="B98" s="120"/>
      <c r="C98" s="119" t="str">
        <f>IF($B98="","",IFERROR(INDEX(상담데이터입력!$D$3:$D$502,MATCH($B98,상담데이터입력!$A$3:$A$502,0)),""))</f>
        <v/>
      </c>
      <c r="D98" s="119" t="str">
        <f>IF($B98="","",IFERROR(INDEX(상담데이터입력!$S$3:$S$502,MATCH($B98,상담데이터입력!$A$3:$A$502,0)),""))</f>
        <v/>
      </c>
      <c r="E98" s="121"/>
      <c r="F98" s="122"/>
      <c r="G98" s="123"/>
      <c r="H98" s="123"/>
      <c r="I98" s="124"/>
      <c r="J98" s="125" t="str">
        <f t="shared" si="2"/>
        <v/>
      </c>
      <c r="K98" s="119" t="str">
        <f t="shared" si="3"/>
        <v/>
      </c>
    </row>
    <row r="99" spans="1:11" ht="15" customHeight="1">
      <c r="A99" s="119" t="str">
        <f>IF($B99="","",IFERROR(INDEX(상담데이터입력!$BH$3:$BH$502,MATCH($B99,상담데이터입력!$A$3:$A$502,0)),""))</f>
        <v/>
      </c>
      <c r="B99" s="120"/>
      <c r="C99" s="119" t="str">
        <f>IF($B99="","",IFERROR(INDEX(상담데이터입력!$D$3:$D$502,MATCH($B99,상담데이터입력!$A$3:$A$502,0)),""))</f>
        <v/>
      </c>
      <c r="D99" s="119" t="str">
        <f>IF($B99="","",IFERROR(INDEX(상담데이터입력!$S$3:$S$502,MATCH($B99,상담데이터입력!$A$3:$A$502,0)),""))</f>
        <v/>
      </c>
      <c r="E99" s="121"/>
      <c r="F99" s="122"/>
      <c r="G99" s="123"/>
      <c r="H99" s="123"/>
      <c r="I99" s="124"/>
      <c r="J99" s="125" t="str">
        <f t="shared" si="2"/>
        <v/>
      </c>
      <c r="K99" s="119" t="str">
        <f t="shared" si="3"/>
        <v/>
      </c>
    </row>
    <row r="100" spans="1:11" ht="15" customHeight="1">
      <c r="A100" s="119" t="str">
        <f>IF($B100="","",IFERROR(INDEX(상담데이터입력!$BH$3:$BH$502,MATCH($B100,상담데이터입력!$A$3:$A$502,0)),""))</f>
        <v/>
      </c>
      <c r="B100" s="120"/>
      <c r="C100" s="119" t="str">
        <f>IF($B100="","",IFERROR(INDEX(상담데이터입력!$D$3:$D$502,MATCH($B100,상담데이터입력!$A$3:$A$502,0)),""))</f>
        <v/>
      </c>
      <c r="D100" s="119" t="str">
        <f>IF($B100="","",IFERROR(INDEX(상담데이터입력!$S$3:$S$502,MATCH($B100,상담데이터입력!$A$3:$A$502,0)),""))</f>
        <v/>
      </c>
      <c r="E100" s="121"/>
      <c r="F100" s="122"/>
      <c r="G100" s="123"/>
      <c r="H100" s="123"/>
      <c r="I100" s="124"/>
      <c r="J100" s="125" t="str">
        <f t="shared" si="2"/>
        <v/>
      </c>
      <c r="K100" s="119" t="str">
        <f t="shared" si="3"/>
        <v/>
      </c>
    </row>
    <row r="101" spans="1:11" ht="15" customHeight="1">
      <c r="A101" s="119" t="str">
        <f>IF($B101="","",IFERROR(INDEX(상담데이터입력!$BH$3:$BH$502,MATCH($B101,상담데이터입력!$A$3:$A$502,0)),""))</f>
        <v/>
      </c>
      <c r="B101" s="120"/>
      <c r="C101" s="119" t="str">
        <f>IF($B101="","",IFERROR(INDEX(상담데이터입력!$D$3:$D$502,MATCH($B101,상담데이터입력!$A$3:$A$502,0)),""))</f>
        <v/>
      </c>
      <c r="D101" s="119" t="str">
        <f>IF($B101="","",IFERROR(INDEX(상담데이터입력!$S$3:$S$502,MATCH($B101,상담데이터입력!$A$3:$A$502,0)),""))</f>
        <v/>
      </c>
      <c r="E101" s="121"/>
      <c r="F101" s="122"/>
      <c r="G101" s="123"/>
      <c r="H101" s="123"/>
      <c r="I101" s="124"/>
      <c r="J101" s="125" t="str">
        <f t="shared" si="2"/>
        <v/>
      </c>
      <c r="K101" s="119" t="str">
        <f t="shared" si="3"/>
        <v/>
      </c>
    </row>
    <row r="102" spans="1:11" ht="15" customHeight="1">
      <c r="A102" s="119" t="str">
        <f>IF($B102="","",IFERROR(INDEX(상담데이터입력!$BH$3:$BH$502,MATCH($B102,상담데이터입력!$A$3:$A$502,0)),""))</f>
        <v/>
      </c>
      <c r="B102" s="120"/>
      <c r="C102" s="119" t="str">
        <f>IF($B102="","",IFERROR(INDEX(상담데이터입력!$D$3:$D$502,MATCH($B102,상담데이터입력!$A$3:$A$502,0)),""))</f>
        <v/>
      </c>
      <c r="D102" s="119" t="str">
        <f>IF($B102="","",IFERROR(INDEX(상담데이터입력!$S$3:$S$502,MATCH($B102,상담데이터입력!$A$3:$A$502,0)),""))</f>
        <v/>
      </c>
      <c r="E102" s="121"/>
      <c r="F102" s="122"/>
      <c r="G102" s="123"/>
      <c r="H102" s="123"/>
      <c r="I102" s="124"/>
      <c r="J102" s="125" t="str">
        <f t="shared" si="2"/>
        <v/>
      </c>
      <c r="K102" s="119" t="str">
        <f t="shared" si="3"/>
        <v/>
      </c>
    </row>
    <row r="103" spans="1:11" ht="15" customHeight="1">
      <c r="A103" s="119" t="str">
        <f>IF($B103="","",IFERROR(INDEX(상담데이터입력!$BH$3:$BH$502,MATCH($B103,상담데이터입력!$A$3:$A$502,0)),""))</f>
        <v/>
      </c>
      <c r="B103" s="120"/>
      <c r="C103" s="119" t="str">
        <f>IF($B103="","",IFERROR(INDEX(상담데이터입력!$D$3:$D$502,MATCH($B103,상담데이터입력!$A$3:$A$502,0)),""))</f>
        <v/>
      </c>
      <c r="D103" s="119" t="str">
        <f>IF($B103="","",IFERROR(INDEX(상담데이터입력!$S$3:$S$502,MATCH($B103,상담데이터입력!$A$3:$A$502,0)),""))</f>
        <v/>
      </c>
      <c r="E103" s="121"/>
      <c r="F103" s="122"/>
      <c r="G103" s="123"/>
      <c r="H103" s="123"/>
      <c r="I103" s="124"/>
      <c r="J103" s="125" t="str">
        <f t="shared" si="2"/>
        <v/>
      </c>
      <c r="K103" s="119" t="str">
        <f t="shared" si="3"/>
        <v/>
      </c>
    </row>
    <row r="104" spans="1:11" ht="15" customHeight="1">
      <c r="A104" s="119" t="str">
        <f>IF($B104="","",IFERROR(INDEX(상담데이터입력!$BH$3:$BH$502,MATCH($B104,상담데이터입력!$A$3:$A$502,0)),""))</f>
        <v/>
      </c>
      <c r="B104" s="120"/>
      <c r="C104" s="119" t="str">
        <f>IF($B104="","",IFERROR(INDEX(상담데이터입력!$D$3:$D$502,MATCH($B104,상담데이터입력!$A$3:$A$502,0)),""))</f>
        <v/>
      </c>
      <c r="D104" s="119" t="str">
        <f>IF($B104="","",IFERROR(INDEX(상담데이터입력!$S$3:$S$502,MATCH($B104,상담데이터입력!$A$3:$A$502,0)),""))</f>
        <v/>
      </c>
      <c r="E104" s="121"/>
      <c r="F104" s="122"/>
      <c r="G104" s="123"/>
      <c r="H104" s="123"/>
      <c r="I104" s="124"/>
      <c r="J104" s="125" t="str">
        <f t="shared" si="2"/>
        <v/>
      </c>
      <c r="K104" s="119" t="str">
        <f t="shared" si="3"/>
        <v/>
      </c>
    </row>
    <row r="105" spans="1:11" ht="15" customHeight="1">
      <c r="A105" s="119" t="str">
        <f>IF($B105="","",IFERROR(INDEX(상담데이터입력!$BH$3:$BH$502,MATCH($B105,상담데이터입력!$A$3:$A$502,0)),""))</f>
        <v/>
      </c>
      <c r="B105" s="120"/>
      <c r="C105" s="119" t="str">
        <f>IF($B105="","",IFERROR(INDEX(상담데이터입력!$D$3:$D$502,MATCH($B105,상담데이터입력!$A$3:$A$502,0)),""))</f>
        <v/>
      </c>
      <c r="D105" s="119" t="str">
        <f>IF($B105="","",IFERROR(INDEX(상담데이터입력!$S$3:$S$502,MATCH($B105,상담데이터입력!$A$3:$A$502,0)),""))</f>
        <v/>
      </c>
      <c r="E105" s="121"/>
      <c r="F105" s="122"/>
      <c r="G105" s="123"/>
      <c r="H105" s="123"/>
      <c r="I105" s="124"/>
      <c r="J105" s="125" t="str">
        <f t="shared" si="2"/>
        <v/>
      </c>
      <c r="K105" s="119" t="str">
        <f t="shared" si="3"/>
        <v/>
      </c>
    </row>
    <row r="106" spans="1:11" ht="15" customHeight="1">
      <c r="A106" s="119" t="str">
        <f>IF($B106="","",IFERROR(INDEX(상담데이터입력!$BH$3:$BH$502,MATCH($B106,상담데이터입력!$A$3:$A$502,0)),""))</f>
        <v/>
      </c>
      <c r="B106" s="120"/>
      <c r="C106" s="119" t="str">
        <f>IF($B106="","",IFERROR(INDEX(상담데이터입력!$D$3:$D$502,MATCH($B106,상담데이터입력!$A$3:$A$502,0)),""))</f>
        <v/>
      </c>
      <c r="D106" s="119" t="str">
        <f>IF($B106="","",IFERROR(INDEX(상담데이터입력!$S$3:$S$502,MATCH($B106,상담데이터입력!$A$3:$A$502,0)),""))</f>
        <v/>
      </c>
      <c r="E106" s="121"/>
      <c r="F106" s="122"/>
      <c r="G106" s="123"/>
      <c r="H106" s="123"/>
      <c r="I106" s="124"/>
      <c r="J106" s="125" t="str">
        <f t="shared" si="2"/>
        <v/>
      </c>
      <c r="K106" s="119" t="str">
        <f t="shared" si="3"/>
        <v/>
      </c>
    </row>
    <row r="107" spans="1:11" ht="15" customHeight="1">
      <c r="A107" s="119" t="str">
        <f>IF($B107="","",IFERROR(INDEX(상담데이터입력!$BH$3:$BH$502,MATCH($B107,상담데이터입력!$A$3:$A$502,0)),""))</f>
        <v/>
      </c>
      <c r="B107" s="120"/>
      <c r="C107" s="119" t="str">
        <f>IF($B107="","",IFERROR(INDEX(상담데이터입력!$D$3:$D$502,MATCH($B107,상담데이터입력!$A$3:$A$502,0)),""))</f>
        <v/>
      </c>
      <c r="D107" s="119" t="str">
        <f>IF($B107="","",IFERROR(INDEX(상담데이터입력!$S$3:$S$502,MATCH($B107,상담데이터입력!$A$3:$A$502,0)),""))</f>
        <v/>
      </c>
      <c r="E107" s="121"/>
      <c r="F107" s="122"/>
      <c r="G107" s="123"/>
      <c r="H107" s="123"/>
      <c r="I107" s="124"/>
      <c r="J107" s="125" t="str">
        <f t="shared" si="2"/>
        <v/>
      </c>
      <c r="K107" s="119" t="str">
        <f t="shared" si="3"/>
        <v/>
      </c>
    </row>
    <row r="108" spans="1:11" ht="15" customHeight="1">
      <c r="A108" s="119" t="str">
        <f>IF($B108="","",IFERROR(INDEX(상담데이터입력!$BH$3:$BH$502,MATCH($B108,상담데이터입력!$A$3:$A$502,0)),""))</f>
        <v/>
      </c>
      <c r="B108" s="120"/>
      <c r="C108" s="119" t="str">
        <f>IF($B108="","",IFERROR(INDEX(상담데이터입력!$D$3:$D$502,MATCH($B108,상담데이터입력!$A$3:$A$502,0)),""))</f>
        <v/>
      </c>
      <c r="D108" s="119" t="str">
        <f>IF($B108="","",IFERROR(INDEX(상담데이터입력!$S$3:$S$502,MATCH($B108,상담데이터입력!$A$3:$A$502,0)),""))</f>
        <v/>
      </c>
      <c r="E108" s="121"/>
      <c r="F108" s="122"/>
      <c r="G108" s="123"/>
      <c r="H108" s="123"/>
      <c r="I108" s="124"/>
      <c r="J108" s="125" t="str">
        <f t="shared" si="2"/>
        <v/>
      </c>
      <c r="K108" s="119" t="str">
        <f t="shared" si="3"/>
        <v/>
      </c>
    </row>
    <row r="109" spans="1:11" ht="15" customHeight="1">
      <c r="A109" s="119" t="str">
        <f>IF($B109="","",IFERROR(INDEX(상담데이터입력!$BH$3:$BH$502,MATCH($B109,상담데이터입력!$A$3:$A$502,0)),""))</f>
        <v/>
      </c>
      <c r="B109" s="120"/>
      <c r="C109" s="119" t="str">
        <f>IF($B109="","",IFERROR(INDEX(상담데이터입력!$D$3:$D$502,MATCH($B109,상담데이터입력!$A$3:$A$502,0)),""))</f>
        <v/>
      </c>
      <c r="D109" s="119" t="str">
        <f>IF($B109="","",IFERROR(INDEX(상담데이터입력!$S$3:$S$502,MATCH($B109,상담데이터입력!$A$3:$A$502,0)),""))</f>
        <v/>
      </c>
      <c r="E109" s="121"/>
      <c r="F109" s="122"/>
      <c r="G109" s="123"/>
      <c r="H109" s="123"/>
      <c r="I109" s="124"/>
      <c r="J109" s="125" t="str">
        <f t="shared" si="2"/>
        <v/>
      </c>
      <c r="K109" s="119" t="str">
        <f t="shared" si="3"/>
        <v/>
      </c>
    </row>
    <row r="110" spans="1:11" ht="15" customHeight="1">
      <c r="A110" s="119" t="str">
        <f>IF($B110="","",IFERROR(INDEX(상담데이터입력!$BH$3:$BH$502,MATCH($B110,상담데이터입력!$A$3:$A$502,0)),""))</f>
        <v/>
      </c>
      <c r="B110" s="120"/>
      <c r="C110" s="119" t="str">
        <f>IF($B110="","",IFERROR(INDEX(상담데이터입력!$D$3:$D$502,MATCH($B110,상담데이터입력!$A$3:$A$502,0)),""))</f>
        <v/>
      </c>
      <c r="D110" s="119" t="str">
        <f>IF($B110="","",IFERROR(INDEX(상담데이터입력!$S$3:$S$502,MATCH($B110,상담데이터입력!$A$3:$A$502,0)),""))</f>
        <v/>
      </c>
      <c r="E110" s="121"/>
      <c r="F110" s="122"/>
      <c r="G110" s="123"/>
      <c r="H110" s="123"/>
      <c r="I110" s="124"/>
      <c r="J110" s="125" t="str">
        <f t="shared" si="2"/>
        <v/>
      </c>
      <c r="K110" s="119" t="str">
        <f t="shared" si="3"/>
        <v/>
      </c>
    </row>
    <row r="111" spans="1:11" ht="15" customHeight="1">
      <c r="A111" s="119" t="str">
        <f>IF($B111="","",IFERROR(INDEX(상담데이터입력!$BH$3:$BH$502,MATCH($B111,상담데이터입력!$A$3:$A$502,0)),""))</f>
        <v/>
      </c>
      <c r="B111" s="120"/>
      <c r="C111" s="119" t="str">
        <f>IF($B111="","",IFERROR(INDEX(상담데이터입력!$D$3:$D$502,MATCH($B111,상담데이터입력!$A$3:$A$502,0)),""))</f>
        <v/>
      </c>
      <c r="D111" s="119" t="str">
        <f>IF($B111="","",IFERROR(INDEX(상담데이터입력!$S$3:$S$502,MATCH($B111,상담데이터입력!$A$3:$A$502,0)),""))</f>
        <v/>
      </c>
      <c r="E111" s="121"/>
      <c r="F111" s="122"/>
      <c r="G111" s="123"/>
      <c r="H111" s="123"/>
      <c r="I111" s="124"/>
      <c r="J111" s="125" t="str">
        <f t="shared" si="2"/>
        <v/>
      </c>
      <c r="K111" s="119" t="str">
        <f t="shared" si="3"/>
        <v/>
      </c>
    </row>
    <row r="112" spans="1:11" ht="15" customHeight="1">
      <c r="A112" s="119" t="str">
        <f>IF($B112="","",IFERROR(INDEX(상담데이터입력!$BH$3:$BH$502,MATCH($B112,상담데이터입력!$A$3:$A$502,0)),""))</f>
        <v/>
      </c>
      <c r="B112" s="120"/>
      <c r="C112" s="119" t="str">
        <f>IF($B112="","",IFERROR(INDEX(상담데이터입력!$D$3:$D$502,MATCH($B112,상담데이터입력!$A$3:$A$502,0)),""))</f>
        <v/>
      </c>
      <c r="D112" s="119" t="str">
        <f>IF($B112="","",IFERROR(INDEX(상담데이터입력!$S$3:$S$502,MATCH($B112,상담데이터입력!$A$3:$A$502,0)),""))</f>
        <v/>
      </c>
      <c r="E112" s="121"/>
      <c r="F112" s="122"/>
      <c r="G112" s="123"/>
      <c r="H112" s="123"/>
      <c r="I112" s="124"/>
      <c r="J112" s="125" t="str">
        <f t="shared" si="2"/>
        <v/>
      </c>
      <c r="K112" s="119" t="str">
        <f t="shared" si="3"/>
        <v/>
      </c>
    </row>
    <row r="113" spans="1:11" ht="15" customHeight="1">
      <c r="A113" s="119" t="str">
        <f>IF($B113="","",IFERROR(INDEX(상담데이터입력!$BH$3:$BH$502,MATCH($B113,상담데이터입력!$A$3:$A$502,0)),""))</f>
        <v/>
      </c>
      <c r="B113" s="120"/>
      <c r="C113" s="119" t="str">
        <f>IF($B113="","",IFERROR(INDEX(상담데이터입력!$D$3:$D$502,MATCH($B113,상담데이터입력!$A$3:$A$502,0)),""))</f>
        <v/>
      </c>
      <c r="D113" s="119" t="str">
        <f>IF($B113="","",IFERROR(INDEX(상담데이터입력!$S$3:$S$502,MATCH($B113,상담데이터입력!$A$3:$A$502,0)),""))</f>
        <v/>
      </c>
      <c r="E113" s="121"/>
      <c r="F113" s="122"/>
      <c r="G113" s="123"/>
      <c r="H113" s="123"/>
      <c r="I113" s="124"/>
      <c r="J113" s="125" t="str">
        <f t="shared" si="2"/>
        <v/>
      </c>
      <c r="K113" s="119" t="str">
        <f t="shared" si="3"/>
        <v/>
      </c>
    </row>
    <row r="114" spans="1:11" ht="15" customHeight="1">
      <c r="A114" s="119" t="str">
        <f>IF($B114="","",IFERROR(INDEX(상담데이터입력!$BH$3:$BH$502,MATCH($B114,상담데이터입력!$A$3:$A$502,0)),""))</f>
        <v/>
      </c>
      <c r="B114" s="120"/>
      <c r="C114" s="119" t="str">
        <f>IF($B114="","",IFERROR(INDEX(상담데이터입력!$D$3:$D$502,MATCH($B114,상담데이터입력!$A$3:$A$502,0)),""))</f>
        <v/>
      </c>
      <c r="D114" s="119" t="str">
        <f>IF($B114="","",IFERROR(INDEX(상담데이터입력!$S$3:$S$502,MATCH($B114,상담데이터입력!$A$3:$A$502,0)),""))</f>
        <v/>
      </c>
      <c r="E114" s="121"/>
      <c r="F114" s="122"/>
      <c r="G114" s="123"/>
      <c r="H114" s="123"/>
      <c r="I114" s="124"/>
      <c r="J114" s="125" t="str">
        <f t="shared" si="2"/>
        <v/>
      </c>
      <c r="K114" s="119" t="str">
        <f t="shared" si="3"/>
        <v/>
      </c>
    </row>
    <row r="115" spans="1:11" ht="15" customHeight="1">
      <c r="A115" s="119" t="str">
        <f>IF($B115="","",IFERROR(INDEX(상담데이터입력!$BH$3:$BH$502,MATCH($B115,상담데이터입력!$A$3:$A$502,0)),""))</f>
        <v/>
      </c>
      <c r="B115" s="120"/>
      <c r="C115" s="119" t="str">
        <f>IF($B115="","",IFERROR(INDEX(상담데이터입력!$D$3:$D$502,MATCH($B115,상담데이터입력!$A$3:$A$502,0)),""))</f>
        <v/>
      </c>
      <c r="D115" s="119" t="str">
        <f>IF($B115="","",IFERROR(INDEX(상담데이터입력!$S$3:$S$502,MATCH($B115,상담데이터입력!$A$3:$A$502,0)),""))</f>
        <v/>
      </c>
      <c r="E115" s="121"/>
      <c r="F115" s="122"/>
      <c r="G115" s="123"/>
      <c r="H115" s="123"/>
      <c r="I115" s="124"/>
      <c r="J115" s="125" t="str">
        <f t="shared" si="2"/>
        <v/>
      </c>
      <c r="K115" s="119" t="str">
        <f t="shared" si="3"/>
        <v/>
      </c>
    </row>
    <row r="116" spans="1:11" ht="15" customHeight="1">
      <c r="A116" s="119" t="str">
        <f>IF($B116="","",IFERROR(INDEX(상담데이터입력!$BH$3:$BH$502,MATCH($B116,상담데이터입력!$A$3:$A$502,0)),""))</f>
        <v/>
      </c>
      <c r="B116" s="120"/>
      <c r="C116" s="119" t="str">
        <f>IF($B116="","",IFERROR(INDEX(상담데이터입력!$D$3:$D$502,MATCH($B116,상담데이터입력!$A$3:$A$502,0)),""))</f>
        <v/>
      </c>
      <c r="D116" s="119" t="str">
        <f>IF($B116="","",IFERROR(INDEX(상담데이터입력!$S$3:$S$502,MATCH($B116,상담데이터입력!$A$3:$A$502,0)),""))</f>
        <v/>
      </c>
      <c r="E116" s="121"/>
      <c r="F116" s="122"/>
      <c r="G116" s="123"/>
      <c r="H116" s="123"/>
      <c r="I116" s="124"/>
      <c r="J116" s="125" t="str">
        <f t="shared" si="2"/>
        <v/>
      </c>
      <c r="K116" s="119" t="str">
        <f t="shared" si="3"/>
        <v/>
      </c>
    </row>
    <row r="117" spans="1:11" ht="15" customHeight="1">
      <c r="A117" s="119" t="str">
        <f>IF($B117="","",IFERROR(INDEX(상담데이터입력!$BH$3:$BH$502,MATCH($B117,상담데이터입력!$A$3:$A$502,0)),""))</f>
        <v/>
      </c>
      <c r="B117" s="120"/>
      <c r="C117" s="119" t="str">
        <f>IF($B117="","",IFERROR(INDEX(상담데이터입력!$D$3:$D$502,MATCH($B117,상담데이터입력!$A$3:$A$502,0)),""))</f>
        <v/>
      </c>
      <c r="D117" s="119" t="str">
        <f>IF($B117="","",IFERROR(INDEX(상담데이터입력!$S$3:$S$502,MATCH($B117,상담데이터입력!$A$3:$A$502,0)),""))</f>
        <v/>
      </c>
      <c r="E117" s="121"/>
      <c r="F117" s="122"/>
      <c r="G117" s="123"/>
      <c r="H117" s="123"/>
      <c r="I117" s="124"/>
      <c r="J117" s="125" t="str">
        <f t="shared" si="2"/>
        <v/>
      </c>
      <c r="K117" s="119" t="str">
        <f t="shared" si="3"/>
        <v/>
      </c>
    </row>
    <row r="118" spans="1:11" ht="15" customHeight="1">
      <c r="A118" s="119" t="str">
        <f>IF($B118="","",IFERROR(INDEX(상담데이터입력!$BH$3:$BH$502,MATCH($B118,상담데이터입력!$A$3:$A$502,0)),""))</f>
        <v/>
      </c>
      <c r="B118" s="120"/>
      <c r="C118" s="119" t="str">
        <f>IF($B118="","",IFERROR(INDEX(상담데이터입력!$D$3:$D$502,MATCH($B118,상담데이터입력!$A$3:$A$502,0)),""))</f>
        <v/>
      </c>
      <c r="D118" s="119" t="str">
        <f>IF($B118="","",IFERROR(INDEX(상담데이터입력!$S$3:$S$502,MATCH($B118,상담데이터입력!$A$3:$A$502,0)),""))</f>
        <v/>
      </c>
      <c r="E118" s="121"/>
      <c r="F118" s="122"/>
      <c r="G118" s="123"/>
      <c r="H118" s="123"/>
      <c r="I118" s="124"/>
      <c r="J118" s="125" t="str">
        <f t="shared" si="2"/>
        <v/>
      </c>
      <c r="K118" s="119" t="str">
        <f t="shared" si="3"/>
        <v/>
      </c>
    </row>
    <row r="119" spans="1:11" ht="15" customHeight="1">
      <c r="A119" s="119" t="str">
        <f>IF($B119="","",IFERROR(INDEX(상담데이터입력!$BH$3:$BH$502,MATCH($B119,상담데이터입력!$A$3:$A$502,0)),""))</f>
        <v/>
      </c>
      <c r="B119" s="120"/>
      <c r="C119" s="119" t="str">
        <f>IF($B119="","",IFERROR(INDEX(상담데이터입력!$D$3:$D$502,MATCH($B119,상담데이터입력!$A$3:$A$502,0)),""))</f>
        <v/>
      </c>
      <c r="D119" s="119" t="str">
        <f>IF($B119="","",IFERROR(INDEX(상담데이터입력!$S$3:$S$502,MATCH($B119,상담데이터입력!$A$3:$A$502,0)),""))</f>
        <v/>
      </c>
      <c r="E119" s="121"/>
      <c r="F119" s="122"/>
      <c r="G119" s="123"/>
      <c r="H119" s="123"/>
      <c r="I119" s="124"/>
      <c r="J119" s="125" t="str">
        <f t="shared" si="2"/>
        <v/>
      </c>
      <c r="K119" s="119" t="str">
        <f t="shared" si="3"/>
        <v/>
      </c>
    </row>
    <row r="120" spans="1:11" ht="15" customHeight="1">
      <c r="A120" s="119" t="str">
        <f>IF($B120="","",IFERROR(INDEX(상담데이터입력!$BH$3:$BH$502,MATCH($B120,상담데이터입력!$A$3:$A$502,0)),""))</f>
        <v/>
      </c>
      <c r="B120" s="120"/>
      <c r="C120" s="119" t="str">
        <f>IF($B120="","",IFERROR(INDEX(상담데이터입력!$D$3:$D$502,MATCH($B120,상담데이터입력!$A$3:$A$502,0)),""))</f>
        <v/>
      </c>
      <c r="D120" s="119" t="str">
        <f>IF($B120="","",IFERROR(INDEX(상담데이터입력!$S$3:$S$502,MATCH($B120,상담데이터입력!$A$3:$A$502,0)),""))</f>
        <v/>
      </c>
      <c r="E120" s="121"/>
      <c r="F120" s="122"/>
      <c r="G120" s="123"/>
      <c r="H120" s="123"/>
      <c r="I120" s="124"/>
      <c r="J120" s="125" t="str">
        <f t="shared" si="2"/>
        <v/>
      </c>
      <c r="K120" s="119" t="str">
        <f t="shared" si="3"/>
        <v/>
      </c>
    </row>
    <row r="121" spans="1:11" ht="15" customHeight="1">
      <c r="A121" s="119" t="str">
        <f>IF($B121="","",IFERROR(INDEX(상담데이터입력!$BH$3:$BH$502,MATCH($B121,상담데이터입력!$A$3:$A$502,0)),""))</f>
        <v/>
      </c>
      <c r="B121" s="120"/>
      <c r="C121" s="119" t="str">
        <f>IF($B121="","",IFERROR(INDEX(상담데이터입력!$D$3:$D$502,MATCH($B121,상담데이터입력!$A$3:$A$502,0)),""))</f>
        <v/>
      </c>
      <c r="D121" s="119" t="str">
        <f>IF($B121="","",IFERROR(INDEX(상담데이터입력!$S$3:$S$502,MATCH($B121,상담데이터입력!$A$3:$A$502,0)),""))</f>
        <v/>
      </c>
      <c r="E121" s="121"/>
      <c r="F121" s="122"/>
      <c r="G121" s="123"/>
      <c r="H121" s="123"/>
      <c r="I121" s="124"/>
      <c r="J121" s="125" t="str">
        <f t="shared" si="2"/>
        <v/>
      </c>
      <c r="K121" s="119" t="str">
        <f t="shared" si="3"/>
        <v/>
      </c>
    </row>
    <row r="122" spans="1:11" ht="15" customHeight="1">
      <c r="A122" s="119" t="str">
        <f>IF($B122="","",IFERROR(INDEX(상담데이터입력!$BH$3:$BH$502,MATCH($B122,상담데이터입력!$A$3:$A$502,0)),""))</f>
        <v/>
      </c>
      <c r="B122" s="120"/>
      <c r="C122" s="119" t="str">
        <f>IF($B122="","",IFERROR(INDEX(상담데이터입력!$D$3:$D$502,MATCH($B122,상담데이터입력!$A$3:$A$502,0)),""))</f>
        <v/>
      </c>
      <c r="D122" s="119" t="str">
        <f>IF($B122="","",IFERROR(INDEX(상담데이터입력!$S$3:$S$502,MATCH($B122,상담데이터입력!$A$3:$A$502,0)),""))</f>
        <v/>
      </c>
      <c r="E122" s="121"/>
      <c r="F122" s="122"/>
      <c r="G122" s="123"/>
      <c r="H122" s="123"/>
      <c r="I122" s="124"/>
      <c r="J122" s="125" t="str">
        <f t="shared" si="2"/>
        <v/>
      </c>
      <c r="K122" s="119" t="str">
        <f t="shared" si="3"/>
        <v/>
      </c>
    </row>
    <row r="123" spans="1:11" ht="15" customHeight="1">
      <c r="A123" s="119" t="str">
        <f>IF($B123="","",IFERROR(INDEX(상담데이터입력!$BH$3:$BH$502,MATCH($B123,상담데이터입력!$A$3:$A$502,0)),""))</f>
        <v/>
      </c>
      <c r="B123" s="120"/>
      <c r="C123" s="119" t="str">
        <f>IF($B123="","",IFERROR(INDEX(상담데이터입력!$D$3:$D$502,MATCH($B123,상담데이터입력!$A$3:$A$502,0)),""))</f>
        <v/>
      </c>
      <c r="D123" s="119" t="str">
        <f>IF($B123="","",IFERROR(INDEX(상담데이터입력!$S$3:$S$502,MATCH($B123,상담데이터입력!$A$3:$A$502,0)),""))</f>
        <v/>
      </c>
      <c r="E123" s="121"/>
      <c r="F123" s="122"/>
      <c r="G123" s="123"/>
      <c r="H123" s="123"/>
      <c r="I123" s="124"/>
      <c r="J123" s="125" t="str">
        <f t="shared" si="2"/>
        <v/>
      </c>
      <c r="K123" s="119" t="str">
        <f t="shared" si="3"/>
        <v/>
      </c>
    </row>
    <row r="124" spans="1:11" ht="15" customHeight="1">
      <c r="A124" s="119" t="str">
        <f>IF($B124="","",IFERROR(INDEX(상담데이터입력!$BH$3:$BH$502,MATCH($B124,상담데이터입력!$A$3:$A$502,0)),""))</f>
        <v/>
      </c>
      <c r="B124" s="120"/>
      <c r="C124" s="119" t="str">
        <f>IF($B124="","",IFERROR(INDEX(상담데이터입력!$D$3:$D$502,MATCH($B124,상담데이터입력!$A$3:$A$502,0)),""))</f>
        <v/>
      </c>
      <c r="D124" s="119" t="str">
        <f>IF($B124="","",IFERROR(INDEX(상담데이터입력!$S$3:$S$502,MATCH($B124,상담데이터입력!$A$3:$A$502,0)),""))</f>
        <v/>
      </c>
      <c r="E124" s="121"/>
      <c r="F124" s="122"/>
      <c r="G124" s="123"/>
      <c r="H124" s="123"/>
      <c r="I124" s="124"/>
      <c r="J124" s="125" t="str">
        <f t="shared" si="2"/>
        <v/>
      </c>
      <c r="K124" s="119" t="str">
        <f t="shared" si="3"/>
        <v/>
      </c>
    </row>
    <row r="125" spans="1:11" ht="15" customHeight="1">
      <c r="A125" s="119" t="str">
        <f>IF($B125="","",IFERROR(INDEX(상담데이터입력!$BH$3:$BH$502,MATCH($B125,상담데이터입력!$A$3:$A$502,0)),""))</f>
        <v/>
      </c>
      <c r="B125" s="120"/>
      <c r="C125" s="119" t="str">
        <f>IF($B125="","",IFERROR(INDEX(상담데이터입력!$D$3:$D$502,MATCH($B125,상담데이터입력!$A$3:$A$502,0)),""))</f>
        <v/>
      </c>
      <c r="D125" s="119" t="str">
        <f>IF($B125="","",IFERROR(INDEX(상담데이터입력!$S$3:$S$502,MATCH($B125,상담데이터입력!$A$3:$A$502,0)),""))</f>
        <v/>
      </c>
      <c r="E125" s="121"/>
      <c r="F125" s="122"/>
      <c r="G125" s="123"/>
      <c r="H125" s="123"/>
      <c r="I125" s="124"/>
      <c r="J125" s="125" t="str">
        <f t="shared" si="2"/>
        <v/>
      </c>
      <c r="K125" s="119" t="str">
        <f t="shared" si="3"/>
        <v/>
      </c>
    </row>
    <row r="126" spans="1:11" ht="15" customHeight="1">
      <c r="A126" s="119" t="str">
        <f>IF($B126="","",IFERROR(INDEX(상담데이터입력!$BH$3:$BH$502,MATCH($B126,상담데이터입력!$A$3:$A$502,0)),""))</f>
        <v/>
      </c>
      <c r="B126" s="120"/>
      <c r="C126" s="119" t="str">
        <f>IF($B126="","",IFERROR(INDEX(상담데이터입력!$D$3:$D$502,MATCH($B126,상담데이터입력!$A$3:$A$502,0)),""))</f>
        <v/>
      </c>
      <c r="D126" s="119" t="str">
        <f>IF($B126="","",IFERROR(INDEX(상담데이터입력!$S$3:$S$502,MATCH($B126,상담데이터입력!$A$3:$A$502,0)),""))</f>
        <v/>
      </c>
      <c r="E126" s="121"/>
      <c r="F126" s="122"/>
      <c r="G126" s="123"/>
      <c r="H126" s="123"/>
      <c r="I126" s="124"/>
      <c r="J126" s="125" t="str">
        <f t="shared" si="2"/>
        <v/>
      </c>
      <c r="K126" s="119" t="str">
        <f t="shared" si="3"/>
        <v/>
      </c>
    </row>
    <row r="127" spans="1:11" ht="15" customHeight="1">
      <c r="A127" s="119" t="str">
        <f>IF($B127="","",IFERROR(INDEX(상담데이터입력!$BH$3:$BH$502,MATCH($B127,상담데이터입력!$A$3:$A$502,0)),""))</f>
        <v/>
      </c>
      <c r="B127" s="120"/>
      <c r="C127" s="119" t="str">
        <f>IF($B127="","",IFERROR(INDEX(상담데이터입력!$D$3:$D$502,MATCH($B127,상담데이터입력!$A$3:$A$502,0)),""))</f>
        <v/>
      </c>
      <c r="D127" s="119" t="str">
        <f>IF($B127="","",IFERROR(INDEX(상담데이터입력!$S$3:$S$502,MATCH($B127,상담데이터입력!$A$3:$A$502,0)),""))</f>
        <v/>
      </c>
      <c r="E127" s="121"/>
      <c r="F127" s="122"/>
      <c r="G127" s="123"/>
      <c r="H127" s="123"/>
      <c r="I127" s="124"/>
      <c r="J127" s="125" t="str">
        <f t="shared" si="2"/>
        <v/>
      </c>
      <c r="K127" s="119" t="str">
        <f t="shared" si="3"/>
        <v/>
      </c>
    </row>
    <row r="128" spans="1:11" ht="15" customHeight="1">
      <c r="A128" s="119" t="str">
        <f>IF($B128="","",IFERROR(INDEX(상담데이터입력!$BH$3:$BH$502,MATCH($B128,상담데이터입력!$A$3:$A$502,0)),""))</f>
        <v/>
      </c>
      <c r="B128" s="120"/>
      <c r="C128" s="119" t="str">
        <f>IF($B128="","",IFERROR(INDEX(상담데이터입력!$D$3:$D$502,MATCH($B128,상담데이터입력!$A$3:$A$502,0)),""))</f>
        <v/>
      </c>
      <c r="D128" s="119" t="str">
        <f>IF($B128="","",IFERROR(INDEX(상담데이터입력!$S$3:$S$502,MATCH($B128,상담데이터입력!$A$3:$A$502,0)),""))</f>
        <v/>
      </c>
      <c r="E128" s="121"/>
      <c r="F128" s="122"/>
      <c r="G128" s="123"/>
      <c r="H128" s="123"/>
      <c r="I128" s="124"/>
      <c r="J128" s="125" t="str">
        <f t="shared" si="2"/>
        <v/>
      </c>
      <c r="K128" s="119" t="str">
        <f t="shared" si="3"/>
        <v/>
      </c>
    </row>
    <row r="129" spans="1:11" ht="15" customHeight="1">
      <c r="A129" s="119" t="str">
        <f>IF($B129="","",IFERROR(INDEX(상담데이터입력!$BH$3:$BH$502,MATCH($B129,상담데이터입력!$A$3:$A$502,0)),""))</f>
        <v/>
      </c>
      <c r="B129" s="120"/>
      <c r="C129" s="119" t="str">
        <f>IF($B129="","",IFERROR(INDEX(상담데이터입력!$D$3:$D$502,MATCH($B129,상담데이터입력!$A$3:$A$502,0)),""))</f>
        <v/>
      </c>
      <c r="D129" s="119" t="str">
        <f>IF($B129="","",IFERROR(INDEX(상담데이터입력!$S$3:$S$502,MATCH($B129,상담데이터입력!$A$3:$A$502,0)),""))</f>
        <v/>
      </c>
      <c r="E129" s="121"/>
      <c r="F129" s="122"/>
      <c r="G129" s="123"/>
      <c r="H129" s="123"/>
      <c r="I129" s="124"/>
      <c r="J129" s="125" t="str">
        <f t="shared" si="2"/>
        <v/>
      </c>
      <c r="K129" s="119" t="str">
        <f t="shared" si="3"/>
        <v/>
      </c>
    </row>
    <row r="130" spans="1:11" ht="15" customHeight="1">
      <c r="A130" s="119" t="str">
        <f>IF($B130="","",IFERROR(INDEX(상담데이터입력!$BH$3:$BH$502,MATCH($B130,상담데이터입력!$A$3:$A$502,0)),""))</f>
        <v/>
      </c>
      <c r="B130" s="120"/>
      <c r="C130" s="119" t="str">
        <f>IF($B130="","",IFERROR(INDEX(상담데이터입력!$D$3:$D$502,MATCH($B130,상담데이터입력!$A$3:$A$502,0)),""))</f>
        <v/>
      </c>
      <c r="D130" s="119" t="str">
        <f>IF($B130="","",IFERROR(INDEX(상담데이터입력!$S$3:$S$502,MATCH($B130,상담데이터입력!$A$3:$A$502,0)),""))</f>
        <v/>
      </c>
      <c r="E130" s="121"/>
      <c r="F130" s="122"/>
      <c r="G130" s="123"/>
      <c r="H130" s="123"/>
      <c r="I130" s="124"/>
      <c r="J130" s="125" t="str">
        <f t="shared" si="2"/>
        <v/>
      </c>
      <c r="K130" s="119" t="str">
        <f t="shared" si="3"/>
        <v/>
      </c>
    </row>
    <row r="131" spans="1:11" ht="15" customHeight="1">
      <c r="A131" s="119" t="str">
        <f>IF($B131="","",IFERROR(INDEX(상담데이터입력!$BH$3:$BH$502,MATCH($B131,상담데이터입력!$A$3:$A$502,0)),""))</f>
        <v/>
      </c>
      <c r="B131" s="120"/>
      <c r="C131" s="119" t="str">
        <f>IF($B131="","",IFERROR(INDEX(상담데이터입력!$D$3:$D$502,MATCH($B131,상담데이터입력!$A$3:$A$502,0)),""))</f>
        <v/>
      </c>
      <c r="D131" s="119" t="str">
        <f>IF($B131="","",IFERROR(INDEX(상담데이터입력!$S$3:$S$502,MATCH($B131,상담데이터입력!$A$3:$A$502,0)),""))</f>
        <v/>
      </c>
      <c r="E131" s="121"/>
      <c r="F131" s="122"/>
      <c r="G131" s="123"/>
      <c r="H131" s="123"/>
      <c r="I131" s="124"/>
      <c r="J131" s="125" t="str">
        <f t="shared" si="2"/>
        <v/>
      </c>
      <c r="K131" s="119" t="str">
        <f t="shared" si="3"/>
        <v/>
      </c>
    </row>
    <row r="132" spans="1:11" ht="15" customHeight="1">
      <c r="A132" s="119" t="str">
        <f>IF($B132="","",IFERROR(INDEX(상담데이터입력!$BH$3:$BH$502,MATCH($B132,상담데이터입력!$A$3:$A$502,0)),""))</f>
        <v/>
      </c>
      <c r="B132" s="120"/>
      <c r="C132" s="119" t="str">
        <f>IF($B132="","",IFERROR(INDEX(상담데이터입력!$D$3:$D$502,MATCH($B132,상담데이터입력!$A$3:$A$502,0)),""))</f>
        <v/>
      </c>
      <c r="D132" s="119" t="str">
        <f>IF($B132="","",IFERROR(INDEX(상담데이터입력!$S$3:$S$502,MATCH($B132,상담데이터입력!$A$3:$A$502,0)),""))</f>
        <v/>
      </c>
      <c r="E132" s="121"/>
      <c r="F132" s="122"/>
      <c r="G132" s="123"/>
      <c r="H132" s="123"/>
      <c r="I132" s="124"/>
      <c r="J132" s="125" t="str">
        <f t="shared" si="2"/>
        <v/>
      </c>
      <c r="K132" s="119" t="str">
        <f t="shared" si="3"/>
        <v/>
      </c>
    </row>
    <row r="133" spans="1:11" ht="15" customHeight="1">
      <c r="A133" s="119" t="str">
        <f>IF($B133="","",IFERROR(INDEX(상담데이터입력!$BH$3:$BH$502,MATCH($B133,상담데이터입력!$A$3:$A$502,0)),""))</f>
        <v/>
      </c>
      <c r="B133" s="120"/>
      <c r="C133" s="119" t="str">
        <f>IF($B133="","",IFERROR(INDEX(상담데이터입력!$D$3:$D$502,MATCH($B133,상담데이터입력!$A$3:$A$502,0)),""))</f>
        <v/>
      </c>
      <c r="D133" s="119" t="str">
        <f>IF($B133="","",IFERROR(INDEX(상담데이터입력!$S$3:$S$502,MATCH($B133,상담데이터입력!$A$3:$A$502,0)),""))</f>
        <v/>
      </c>
      <c r="E133" s="121"/>
      <c r="F133" s="122"/>
      <c r="G133" s="123"/>
      <c r="H133" s="123"/>
      <c r="I133" s="124"/>
      <c r="J133" s="125" t="str">
        <f t="shared" ref="J133:J196" si="4">IF(OR($G133="",$F133=""),"",EDATE($G133,IF($F133="1개월",1,IF($F133="3개월",3,IF($F133="6개월",6,0)))))</f>
        <v/>
      </c>
      <c r="K133" s="119" t="str">
        <f t="shared" ref="K133:K196" si="5">IF($B133="","",IF($H133="","재원중","퇴소"))</f>
        <v/>
      </c>
    </row>
    <row r="134" spans="1:11" ht="15" customHeight="1">
      <c r="A134" s="119" t="str">
        <f>IF($B134="","",IFERROR(INDEX(상담데이터입력!$BH$3:$BH$502,MATCH($B134,상담데이터입력!$A$3:$A$502,0)),""))</f>
        <v/>
      </c>
      <c r="B134" s="120"/>
      <c r="C134" s="119" t="str">
        <f>IF($B134="","",IFERROR(INDEX(상담데이터입력!$D$3:$D$502,MATCH($B134,상담데이터입력!$A$3:$A$502,0)),""))</f>
        <v/>
      </c>
      <c r="D134" s="119" t="str">
        <f>IF($B134="","",IFERROR(INDEX(상담데이터입력!$S$3:$S$502,MATCH($B134,상담데이터입력!$A$3:$A$502,0)),""))</f>
        <v/>
      </c>
      <c r="E134" s="121"/>
      <c r="F134" s="122"/>
      <c r="G134" s="123"/>
      <c r="H134" s="123"/>
      <c r="I134" s="124"/>
      <c r="J134" s="125" t="str">
        <f t="shared" si="4"/>
        <v/>
      </c>
      <c r="K134" s="119" t="str">
        <f t="shared" si="5"/>
        <v/>
      </c>
    </row>
    <row r="135" spans="1:11" ht="15" customHeight="1">
      <c r="A135" s="119" t="str">
        <f>IF($B135="","",IFERROR(INDEX(상담데이터입력!$BH$3:$BH$502,MATCH($B135,상담데이터입력!$A$3:$A$502,0)),""))</f>
        <v/>
      </c>
      <c r="B135" s="120"/>
      <c r="C135" s="119" t="str">
        <f>IF($B135="","",IFERROR(INDEX(상담데이터입력!$D$3:$D$502,MATCH($B135,상담데이터입력!$A$3:$A$502,0)),""))</f>
        <v/>
      </c>
      <c r="D135" s="119" t="str">
        <f>IF($B135="","",IFERROR(INDEX(상담데이터입력!$S$3:$S$502,MATCH($B135,상담데이터입력!$A$3:$A$502,0)),""))</f>
        <v/>
      </c>
      <c r="E135" s="121"/>
      <c r="F135" s="122"/>
      <c r="G135" s="123"/>
      <c r="H135" s="123"/>
      <c r="I135" s="124"/>
      <c r="J135" s="125" t="str">
        <f t="shared" si="4"/>
        <v/>
      </c>
      <c r="K135" s="119" t="str">
        <f t="shared" si="5"/>
        <v/>
      </c>
    </row>
    <row r="136" spans="1:11" ht="15" customHeight="1">
      <c r="A136" s="119" t="str">
        <f>IF($B136="","",IFERROR(INDEX(상담데이터입력!$BH$3:$BH$502,MATCH($B136,상담데이터입력!$A$3:$A$502,0)),""))</f>
        <v/>
      </c>
      <c r="B136" s="120"/>
      <c r="C136" s="119" t="str">
        <f>IF($B136="","",IFERROR(INDEX(상담데이터입력!$D$3:$D$502,MATCH($B136,상담데이터입력!$A$3:$A$502,0)),""))</f>
        <v/>
      </c>
      <c r="D136" s="119" t="str">
        <f>IF($B136="","",IFERROR(INDEX(상담데이터입력!$S$3:$S$502,MATCH($B136,상담데이터입력!$A$3:$A$502,0)),""))</f>
        <v/>
      </c>
      <c r="E136" s="121"/>
      <c r="F136" s="122"/>
      <c r="G136" s="123"/>
      <c r="H136" s="123"/>
      <c r="I136" s="124"/>
      <c r="J136" s="125" t="str">
        <f t="shared" si="4"/>
        <v/>
      </c>
      <c r="K136" s="119" t="str">
        <f t="shared" si="5"/>
        <v/>
      </c>
    </row>
    <row r="137" spans="1:11" ht="15" customHeight="1">
      <c r="A137" s="119" t="str">
        <f>IF($B137="","",IFERROR(INDEX(상담데이터입력!$BH$3:$BH$502,MATCH($B137,상담데이터입력!$A$3:$A$502,0)),""))</f>
        <v/>
      </c>
      <c r="B137" s="120"/>
      <c r="C137" s="119" t="str">
        <f>IF($B137="","",IFERROR(INDEX(상담데이터입력!$D$3:$D$502,MATCH($B137,상담데이터입력!$A$3:$A$502,0)),""))</f>
        <v/>
      </c>
      <c r="D137" s="119" t="str">
        <f>IF($B137="","",IFERROR(INDEX(상담데이터입력!$S$3:$S$502,MATCH($B137,상담데이터입력!$A$3:$A$502,0)),""))</f>
        <v/>
      </c>
      <c r="E137" s="121"/>
      <c r="F137" s="122"/>
      <c r="G137" s="123"/>
      <c r="H137" s="123"/>
      <c r="I137" s="124"/>
      <c r="J137" s="125" t="str">
        <f t="shared" si="4"/>
        <v/>
      </c>
      <c r="K137" s="119" t="str">
        <f t="shared" si="5"/>
        <v/>
      </c>
    </row>
    <row r="138" spans="1:11" ht="15" customHeight="1">
      <c r="A138" s="119" t="str">
        <f>IF($B138="","",IFERROR(INDEX(상담데이터입력!$BH$3:$BH$502,MATCH($B138,상담데이터입력!$A$3:$A$502,0)),""))</f>
        <v/>
      </c>
      <c r="B138" s="120"/>
      <c r="C138" s="119" t="str">
        <f>IF($B138="","",IFERROR(INDEX(상담데이터입력!$D$3:$D$502,MATCH($B138,상담데이터입력!$A$3:$A$502,0)),""))</f>
        <v/>
      </c>
      <c r="D138" s="119" t="str">
        <f>IF($B138="","",IFERROR(INDEX(상담데이터입력!$S$3:$S$502,MATCH($B138,상담데이터입력!$A$3:$A$502,0)),""))</f>
        <v/>
      </c>
      <c r="E138" s="121"/>
      <c r="F138" s="122"/>
      <c r="G138" s="123"/>
      <c r="H138" s="123"/>
      <c r="I138" s="124"/>
      <c r="J138" s="125" t="str">
        <f t="shared" si="4"/>
        <v/>
      </c>
      <c r="K138" s="119" t="str">
        <f t="shared" si="5"/>
        <v/>
      </c>
    </row>
    <row r="139" spans="1:11" ht="15" customHeight="1">
      <c r="A139" s="119" t="str">
        <f>IF($B139="","",IFERROR(INDEX(상담데이터입력!$BH$3:$BH$502,MATCH($B139,상담데이터입력!$A$3:$A$502,0)),""))</f>
        <v/>
      </c>
      <c r="B139" s="120"/>
      <c r="C139" s="119" t="str">
        <f>IF($B139="","",IFERROR(INDEX(상담데이터입력!$D$3:$D$502,MATCH($B139,상담데이터입력!$A$3:$A$502,0)),""))</f>
        <v/>
      </c>
      <c r="D139" s="119" t="str">
        <f>IF($B139="","",IFERROR(INDEX(상담데이터입력!$S$3:$S$502,MATCH($B139,상담데이터입력!$A$3:$A$502,0)),""))</f>
        <v/>
      </c>
      <c r="E139" s="121"/>
      <c r="F139" s="122"/>
      <c r="G139" s="123"/>
      <c r="H139" s="123"/>
      <c r="I139" s="124"/>
      <c r="J139" s="125" t="str">
        <f t="shared" si="4"/>
        <v/>
      </c>
      <c r="K139" s="119" t="str">
        <f t="shared" si="5"/>
        <v/>
      </c>
    </row>
    <row r="140" spans="1:11" ht="15" customHeight="1">
      <c r="A140" s="119" t="str">
        <f>IF($B140="","",IFERROR(INDEX(상담데이터입력!$BH$3:$BH$502,MATCH($B140,상담데이터입력!$A$3:$A$502,0)),""))</f>
        <v/>
      </c>
      <c r="B140" s="120"/>
      <c r="C140" s="119" t="str">
        <f>IF($B140="","",IFERROR(INDEX(상담데이터입력!$D$3:$D$502,MATCH($B140,상담데이터입력!$A$3:$A$502,0)),""))</f>
        <v/>
      </c>
      <c r="D140" s="119" t="str">
        <f>IF($B140="","",IFERROR(INDEX(상담데이터입력!$S$3:$S$502,MATCH($B140,상담데이터입력!$A$3:$A$502,0)),""))</f>
        <v/>
      </c>
      <c r="E140" s="121"/>
      <c r="F140" s="122"/>
      <c r="G140" s="123"/>
      <c r="H140" s="123"/>
      <c r="I140" s="124"/>
      <c r="J140" s="125" t="str">
        <f t="shared" si="4"/>
        <v/>
      </c>
      <c r="K140" s="119" t="str">
        <f t="shared" si="5"/>
        <v/>
      </c>
    </row>
    <row r="141" spans="1:11" ht="15" customHeight="1">
      <c r="A141" s="119" t="str">
        <f>IF($B141="","",IFERROR(INDEX(상담데이터입력!$BH$3:$BH$502,MATCH($B141,상담데이터입력!$A$3:$A$502,0)),""))</f>
        <v/>
      </c>
      <c r="B141" s="120"/>
      <c r="C141" s="119" t="str">
        <f>IF($B141="","",IFERROR(INDEX(상담데이터입력!$D$3:$D$502,MATCH($B141,상담데이터입력!$A$3:$A$502,0)),""))</f>
        <v/>
      </c>
      <c r="D141" s="119" t="str">
        <f>IF($B141="","",IFERROR(INDEX(상담데이터입력!$S$3:$S$502,MATCH($B141,상담데이터입력!$A$3:$A$502,0)),""))</f>
        <v/>
      </c>
      <c r="E141" s="121"/>
      <c r="F141" s="122"/>
      <c r="G141" s="123"/>
      <c r="H141" s="123"/>
      <c r="I141" s="124"/>
      <c r="J141" s="125" t="str">
        <f t="shared" si="4"/>
        <v/>
      </c>
      <c r="K141" s="119" t="str">
        <f t="shared" si="5"/>
        <v/>
      </c>
    </row>
    <row r="142" spans="1:11" ht="15" customHeight="1">
      <c r="A142" s="119" t="str">
        <f>IF($B142="","",IFERROR(INDEX(상담데이터입력!$BH$3:$BH$502,MATCH($B142,상담데이터입력!$A$3:$A$502,0)),""))</f>
        <v/>
      </c>
      <c r="B142" s="120"/>
      <c r="C142" s="119" t="str">
        <f>IF($B142="","",IFERROR(INDEX(상담데이터입력!$D$3:$D$502,MATCH($B142,상담데이터입력!$A$3:$A$502,0)),""))</f>
        <v/>
      </c>
      <c r="D142" s="119" t="str">
        <f>IF($B142="","",IFERROR(INDEX(상담데이터입력!$S$3:$S$502,MATCH($B142,상담데이터입력!$A$3:$A$502,0)),""))</f>
        <v/>
      </c>
      <c r="E142" s="121"/>
      <c r="F142" s="122"/>
      <c r="G142" s="123"/>
      <c r="H142" s="123"/>
      <c r="I142" s="124"/>
      <c r="J142" s="125" t="str">
        <f t="shared" si="4"/>
        <v/>
      </c>
      <c r="K142" s="119" t="str">
        <f t="shared" si="5"/>
        <v/>
      </c>
    </row>
    <row r="143" spans="1:11" ht="15" customHeight="1">
      <c r="A143" s="119" t="str">
        <f>IF($B143="","",IFERROR(INDEX(상담데이터입력!$BH$3:$BH$502,MATCH($B143,상담데이터입력!$A$3:$A$502,0)),""))</f>
        <v/>
      </c>
      <c r="B143" s="120"/>
      <c r="C143" s="119" t="str">
        <f>IF($B143="","",IFERROR(INDEX(상담데이터입력!$D$3:$D$502,MATCH($B143,상담데이터입력!$A$3:$A$502,0)),""))</f>
        <v/>
      </c>
      <c r="D143" s="119" t="str">
        <f>IF($B143="","",IFERROR(INDEX(상담데이터입력!$S$3:$S$502,MATCH($B143,상담데이터입력!$A$3:$A$502,0)),""))</f>
        <v/>
      </c>
      <c r="E143" s="121"/>
      <c r="F143" s="122"/>
      <c r="G143" s="123"/>
      <c r="H143" s="123"/>
      <c r="I143" s="124"/>
      <c r="J143" s="125" t="str">
        <f t="shared" si="4"/>
        <v/>
      </c>
      <c r="K143" s="119" t="str">
        <f t="shared" si="5"/>
        <v/>
      </c>
    </row>
    <row r="144" spans="1:11" ht="15" customHeight="1">
      <c r="A144" s="119" t="str">
        <f>IF($B144="","",IFERROR(INDEX(상담데이터입력!$BH$3:$BH$502,MATCH($B144,상담데이터입력!$A$3:$A$502,0)),""))</f>
        <v/>
      </c>
      <c r="B144" s="120"/>
      <c r="C144" s="119" t="str">
        <f>IF($B144="","",IFERROR(INDEX(상담데이터입력!$D$3:$D$502,MATCH($B144,상담데이터입력!$A$3:$A$502,0)),""))</f>
        <v/>
      </c>
      <c r="D144" s="119" t="str">
        <f>IF($B144="","",IFERROR(INDEX(상담데이터입력!$S$3:$S$502,MATCH($B144,상담데이터입력!$A$3:$A$502,0)),""))</f>
        <v/>
      </c>
      <c r="E144" s="121"/>
      <c r="F144" s="122"/>
      <c r="G144" s="123"/>
      <c r="H144" s="123"/>
      <c r="I144" s="124"/>
      <c r="J144" s="125" t="str">
        <f t="shared" si="4"/>
        <v/>
      </c>
      <c r="K144" s="119" t="str">
        <f t="shared" si="5"/>
        <v/>
      </c>
    </row>
    <row r="145" spans="1:11" ht="15" customHeight="1">
      <c r="A145" s="119" t="str">
        <f>IF($B145="","",IFERROR(INDEX(상담데이터입력!$BH$3:$BH$502,MATCH($B145,상담데이터입력!$A$3:$A$502,0)),""))</f>
        <v/>
      </c>
      <c r="B145" s="120"/>
      <c r="C145" s="119" t="str">
        <f>IF($B145="","",IFERROR(INDEX(상담데이터입력!$D$3:$D$502,MATCH($B145,상담데이터입력!$A$3:$A$502,0)),""))</f>
        <v/>
      </c>
      <c r="D145" s="119" t="str">
        <f>IF($B145="","",IFERROR(INDEX(상담데이터입력!$S$3:$S$502,MATCH($B145,상담데이터입력!$A$3:$A$502,0)),""))</f>
        <v/>
      </c>
      <c r="E145" s="121"/>
      <c r="F145" s="122"/>
      <c r="G145" s="123"/>
      <c r="H145" s="123"/>
      <c r="I145" s="124"/>
      <c r="J145" s="125" t="str">
        <f t="shared" si="4"/>
        <v/>
      </c>
      <c r="K145" s="119" t="str">
        <f t="shared" si="5"/>
        <v/>
      </c>
    </row>
    <row r="146" spans="1:11" ht="15" customHeight="1">
      <c r="A146" s="119" t="str">
        <f>IF($B146="","",IFERROR(INDEX(상담데이터입력!$BH$3:$BH$502,MATCH($B146,상담데이터입력!$A$3:$A$502,0)),""))</f>
        <v/>
      </c>
      <c r="B146" s="120"/>
      <c r="C146" s="119" t="str">
        <f>IF($B146="","",IFERROR(INDEX(상담데이터입력!$D$3:$D$502,MATCH($B146,상담데이터입력!$A$3:$A$502,0)),""))</f>
        <v/>
      </c>
      <c r="D146" s="119" t="str">
        <f>IF($B146="","",IFERROR(INDEX(상담데이터입력!$S$3:$S$502,MATCH($B146,상담데이터입력!$A$3:$A$502,0)),""))</f>
        <v/>
      </c>
      <c r="E146" s="121"/>
      <c r="F146" s="122"/>
      <c r="G146" s="123"/>
      <c r="H146" s="123"/>
      <c r="I146" s="124"/>
      <c r="J146" s="125" t="str">
        <f t="shared" si="4"/>
        <v/>
      </c>
      <c r="K146" s="119" t="str">
        <f t="shared" si="5"/>
        <v/>
      </c>
    </row>
    <row r="147" spans="1:11" ht="15" customHeight="1">
      <c r="A147" s="119" t="str">
        <f>IF($B147="","",IFERROR(INDEX(상담데이터입력!$BH$3:$BH$502,MATCH($B147,상담데이터입력!$A$3:$A$502,0)),""))</f>
        <v/>
      </c>
      <c r="B147" s="120"/>
      <c r="C147" s="119" t="str">
        <f>IF($B147="","",IFERROR(INDEX(상담데이터입력!$D$3:$D$502,MATCH($B147,상담데이터입력!$A$3:$A$502,0)),""))</f>
        <v/>
      </c>
      <c r="D147" s="119" t="str">
        <f>IF($B147="","",IFERROR(INDEX(상담데이터입력!$S$3:$S$502,MATCH($B147,상담데이터입력!$A$3:$A$502,0)),""))</f>
        <v/>
      </c>
      <c r="E147" s="121"/>
      <c r="F147" s="122"/>
      <c r="G147" s="123"/>
      <c r="H147" s="123"/>
      <c r="I147" s="124"/>
      <c r="J147" s="125" t="str">
        <f t="shared" si="4"/>
        <v/>
      </c>
      <c r="K147" s="119" t="str">
        <f t="shared" si="5"/>
        <v/>
      </c>
    </row>
    <row r="148" spans="1:11" ht="15" customHeight="1">
      <c r="A148" s="119" t="str">
        <f>IF($B148="","",IFERROR(INDEX(상담데이터입력!$BH$3:$BH$502,MATCH($B148,상담데이터입력!$A$3:$A$502,0)),""))</f>
        <v/>
      </c>
      <c r="B148" s="120"/>
      <c r="C148" s="119" t="str">
        <f>IF($B148="","",IFERROR(INDEX(상담데이터입력!$D$3:$D$502,MATCH($B148,상담데이터입력!$A$3:$A$502,0)),""))</f>
        <v/>
      </c>
      <c r="D148" s="119" t="str">
        <f>IF($B148="","",IFERROR(INDEX(상담데이터입력!$S$3:$S$502,MATCH($B148,상담데이터입력!$A$3:$A$502,0)),""))</f>
        <v/>
      </c>
      <c r="E148" s="121"/>
      <c r="F148" s="122"/>
      <c r="G148" s="123"/>
      <c r="H148" s="123"/>
      <c r="I148" s="124"/>
      <c r="J148" s="125" t="str">
        <f t="shared" si="4"/>
        <v/>
      </c>
      <c r="K148" s="119" t="str">
        <f t="shared" si="5"/>
        <v/>
      </c>
    </row>
    <row r="149" spans="1:11" ht="15" customHeight="1">
      <c r="A149" s="119" t="str">
        <f>IF($B149="","",IFERROR(INDEX(상담데이터입력!$BH$3:$BH$502,MATCH($B149,상담데이터입력!$A$3:$A$502,0)),""))</f>
        <v/>
      </c>
      <c r="B149" s="120"/>
      <c r="C149" s="119" t="str">
        <f>IF($B149="","",IFERROR(INDEX(상담데이터입력!$D$3:$D$502,MATCH($B149,상담데이터입력!$A$3:$A$502,0)),""))</f>
        <v/>
      </c>
      <c r="D149" s="119" t="str">
        <f>IF($B149="","",IFERROR(INDEX(상담데이터입력!$S$3:$S$502,MATCH($B149,상담데이터입력!$A$3:$A$502,0)),""))</f>
        <v/>
      </c>
      <c r="E149" s="121"/>
      <c r="F149" s="122"/>
      <c r="G149" s="123"/>
      <c r="H149" s="123"/>
      <c r="I149" s="124"/>
      <c r="J149" s="125" t="str">
        <f t="shared" si="4"/>
        <v/>
      </c>
      <c r="K149" s="119" t="str">
        <f t="shared" si="5"/>
        <v/>
      </c>
    </row>
    <row r="150" spans="1:11" ht="15" customHeight="1">
      <c r="A150" s="119" t="str">
        <f>IF($B150="","",IFERROR(INDEX(상담데이터입력!$BH$3:$BH$502,MATCH($B150,상담데이터입력!$A$3:$A$502,0)),""))</f>
        <v/>
      </c>
      <c r="B150" s="120"/>
      <c r="C150" s="119" t="str">
        <f>IF($B150="","",IFERROR(INDEX(상담데이터입력!$D$3:$D$502,MATCH($B150,상담데이터입력!$A$3:$A$502,0)),""))</f>
        <v/>
      </c>
      <c r="D150" s="119" t="str">
        <f>IF($B150="","",IFERROR(INDEX(상담데이터입력!$S$3:$S$502,MATCH($B150,상담데이터입력!$A$3:$A$502,0)),""))</f>
        <v/>
      </c>
      <c r="E150" s="121"/>
      <c r="F150" s="122"/>
      <c r="G150" s="123"/>
      <c r="H150" s="123"/>
      <c r="I150" s="124"/>
      <c r="J150" s="125" t="str">
        <f t="shared" si="4"/>
        <v/>
      </c>
      <c r="K150" s="119" t="str">
        <f t="shared" si="5"/>
        <v/>
      </c>
    </row>
    <row r="151" spans="1:11" ht="15" customHeight="1">
      <c r="A151" s="119" t="str">
        <f>IF($B151="","",IFERROR(INDEX(상담데이터입력!$BH$3:$BH$502,MATCH($B151,상담데이터입력!$A$3:$A$502,0)),""))</f>
        <v/>
      </c>
      <c r="B151" s="120"/>
      <c r="C151" s="119" t="str">
        <f>IF($B151="","",IFERROR(INDEX(상담데이터입력!$D$3:$D$502,MATCH($B151,상담데이터입력!$A$3:$A$502,0)),""))</f>
        <v/>
      </c>
      <c r="D151" s="119" t="str">
        <f>IF($B151="","",IFERROR(INDEX(상담데이터입력!$S$3:$S$502,MATCH($B151,상담데이터입력!$A$3:$A$502,0)),""))</f>
        <v/>
      </c>
      <c r="E151" s="121"/>
      <c r="F151" s="122"/>
      <c r="G151" s="123"/>
      <c r="H151" s="123"/>
      <c r="I151" s="124"/>
      <c r="J151" s="125" t="str">
        <f t="shared" si="4"/>
        <v/>
      </c>
      <c r="K151" s="119" t="str">
        <f t="shared" si="5"/>
        <v/>
      </c>
    </row>
    <row r="152" spans="1:11" ht="15" customHeight="1">
      <c r="A152" s="119" t="str">
        <f>IF($B152="","",IFERROR(INDEX(상담데이터입력!$BH$3:$BH$502,MATCH($B152,상담데이터입력!$A$3:$A$502,0)),""))</f>
        <v/>
      </c>
      <c r="B152" s="120"/>
      <c r="C152" s="119" t="str">
        <f>IF($B152="","",IFERROR(INDEX(상담데이터입력!$D$3:$D$502,MATCH($B152,상담데이터입력!$A$3:$A$502,0)),""))</f>
        <v/>
      </c>
      <c r="D152" s="119" t="str">
        <f>IF($B152="","",IFERROR(INDEX(상담데이터입력!$S$3:$S$502,MATCH($B152,상담데이터입력!$A$3:$A$502,0)),""))</f>
        <v/>
      </c>
      <c r="E152" s="121"/>
      <c r="F152" s="122"/>
      <c r="G152" s="123"/>
      <c r="H152" s="123"/>
      <c r="I152" s="124"/>
      <c r="J152" s="125" t="str">
        <f t="shared" si="4"/>
        <v/>
      </c>
      <c r="K152" s="119" t="str">
        <f t="shared" si="5"/>
        <v/>
      </c>
    </row>
    <row r="153" spans="1:11" ht="15" customHeight="1">
      <c r="A153" s="119" t="str">
        <f>IF($B153="","",IFERROR(INDEX(상담데이터입력!$BH$3:$BH$502,MATCH($B153,상담데이터입력!$A$3:$A$502,0)),""))</f>
        <v/>
      </c>
      <c r="B153" s="120"/>
      <c r="C153" s="119" t="str">
        <f>IF($B153="","",IFERROR(INDEX(상담데이터입력!$D$3:$D$502,MATCH($B153,상담데이터입력!$A$3:$A$502,0)),""))</f>
        <v/>
      </c>
      <c r="D153" s="119" t="str">
        <f>IF($B153="","",IFERROR(INDEX(상담데이터입력!$S$3:$S$502,MATCH($B153,상담데이터입력!$A$3:$A$502,0)),""))</f>
        <v/>
      </c>
      <c r="E153" s="121"/>
      <c r="F153" s="122"/>
      <c r="G153" s="123"/>
      <c r="H153" s="123"/>
      <c r="I153" s="124"/>
      <c r="J153" s="125" t="str">
        <f t="shared" si="4"/>
        <v/>
      </c>
      <c r="K153" s="119" t="str">
        <f t="shared" si="5"/>
        <v/>
      </c>
    </row>
    <row r="154" spans="1:11" ht="15" customHeight="1">
      <c r="A154" s="119" t="str">
        <f>IF($B154="","",IFERROR(INDEX(상담데이터입력!$BH$3:$BH$502,MATCH($B154,상담데이터입력!$A$3:$A$502,0)),""))</f>
        <v/>
      </c>
      <c r="B154" s="120"/>
      <c r="C154" s="119" t="str">
        <f>IF($B154="","",IFERROR(INDEX(상담데이터입력!$D$3:$D$502,MATCH($B154,상담데이터입력!$A$3:$A$502,0)),""))</f>
        <v/>
      </c>
      <c r="D154" s="119" t="str">
        <f>IF($B154="","",IFERROR(INDEX(상담데이터입력!$S$3:$S$502,MATCH($B154,상담데이터입력!$A$3:$A$502,0)),""))</f>
        <v/>
      </c>
      <c r="E154" s="121"/>
      <c r="F154" s="122"/>
      <c r="G154" s="123"/>
      <c r="H154" s="123"/>
      <c r="I154" s="124"/>
      <c r="J154" s="125" t="str">
        <f t="shared" si="4"/>
        <v/>
      </c>
      <c r="K154" s="119" t="str">
        <f t="shared" si="5"/>
        <v/>
      </c>
    </row>
    <row r="155" spans="1:11" ht="15" customHeight="1">
      <c r="A155" s="119" t="str">
        <f>IF($B155="","",IFERROR(INDEX(상담데이터입력!$BH$3:$BH$502,MATCH($B155,상담데이터입력!$A$3:$A$502,0)),""))</f>
        <v/>
      </c>
      <c r="B155" s="120"/>
      <c r="C155" s="119" t="str">
        <f>IF($B155="","",IFERROR(INDEX(상담데이터입력!$D$3:$D$502,MATCH($B155,상담데이터입력!$A$3:$A$502,0)),""))</f>
        <v/>
      </c>
      <c r="D155" s="119" t="str">
        <f>IF($B155="","",IFERROR(INDEX(상담데이터입력!$S$3:$S$502,MATCH($B155,상담데이터입력!$A$3:$A$502,0)),""))</f>
        <v/>
      </c>
      <c r="E155" s="121"/>
      <c r="F155" s="122"/>
      <c r="G155" s="123"/>
      <c r="H155" s="123"/>
      <c r="I155" s="124"/>
      <c r="J155" s="125" t="str">
        <f t="shared" si="4"/>
        <v/>
      </c>
      <c r="K155" s="119" t="str">
        <f t="shared" si="5"/>
        <v/>
      </c>
    </row>
    <row r="156" spans="1:11" ht="15" customHeight="1">
      <c r="A156" s="119" t="str">
        <f>IF($B156="","",IFERROR(INDEX(상담데이터입력!$BH$3:$BH$502,MATCH($B156,상담데이터입력!$A$3:$A$502,0)),""))</f>
        <v/>
      </c>
      <c r="B156" s="120"/>
      <c r="C156" s="119" t="str">
        <f>IF($B156="","",IFERROR(INDEX(상담데이터입력!$D$3:$D$502,MATCH($B156,상담데이터입력!$A$3:$A$502,0)),""))</f>
        <v/>
      </c>
      <c r="D156" s="119" t="str">
        <f>IF($B156="","",IFERROR(INDEX(상담데이터입력!$S$3:$S$502,MATCH($B156,상담데이터입력!$A$3:$A$502,0)),""))</f>
        <v/>
      </c>
      <c r="E156" s="121"/>
      <c r="F156" s="122"/>
      <c r="G156" s="123"/>
      <c r="H156" s="123"/>
      <c r="I156" s="124"/>
      <c r="J156" s="125" t="str">
        <f t="shared" si="4"/>
        <v/>
      </c>
      <c r="K156" s="119" t="str">
        <f t="shared" si="5"/>
        <v/>
      </c>
    </row>
    <row r="157" spans="1:11" ht="15" customHeight="1">
      <c r="A157" s="119" t="str">
        <f>IF($B157="","",IFERROR(INDEX(상담데이터입력!$BH$3:$BH$502,MATCH($B157,상담데이터입력!$A$3:$A$502,0)),""))</f>
        <v/>
      </c>
      <c r="B157" s="120"/>
      <c r="C157" s="119" t="str">
        <f>IF($B157="","",IFERROR(INDEX(상담데이터입력!$D$3:$D$502,MATCH($B157,상담데이터입력!$A$3:$A$502,0)),""))</f>
        <v/>
      </c>
      <c r="D157" s="119" t="str">
        <f>IF($B157="","",IFERROR(INDEX(상담데이터입력!$S$3:$S$502,MATCH($B157,상담데이터입력!$A$3:$A$502,0)),""))</f>
        <v/>
      </c>
      <c r="E157" s="121"/>
      <c r="F157" s="122"/>
      <c r="G157" s="123"/>
      <c r="H157" s="123"/>
      <c r="I157" s="124"/>
      <c r="J157" s="125" t="str">
        <f t="shared" si="4"/>
        <v/>
      </c>
      <c r="K157" s="119" t="str">
        <f t="shared" si="5"/>
        <v/>
      </c>
    </row>
    <row r="158" spans="1:11" ht="15" customHeight="1">
      <c r="A158" s="119" t="str">
        <f>IF($B158="","",IFERROR(INDEX(상담데이터입력!$BH$3:$BH$502,MATCH($B158,상담데이터입력!$A$3:$A$502,0)),""))</f>
        <v/>
      </c>
      <c r="B158" s="120"/>
      <c r="C158" s="119" t="str">
        <f>IF($B158="","",IFERROR(INDEX(상담데이터입력!$D$3:$D$502,MATCH($B158,상담데이터입력!$A$3:$A$502,0)),""))</f>
        <v/>
      </c>
      <c r="D158" s="119" t="str">
        <f>IF($B158="","",IFERROR(INDEX(상담데이터입력!$S$3:$S$502,MATCH($B158,상담데이터입력!$A$3:$A$502,0)),""))</f>
        <v/>
      </c>
      <c r="E158" s="121"/>
      <c r="F158" s="122"/>
      <c r="G158" s="123"/>
      <c r="H158" s="123"/>
      <c r="I158" s="124"/>
      <c r="J158" s="125" t="str">
        <f t="shared" si="4"/>
        <v/>
      </c>
      <c r="K158" s="119" t="str">
        <f t="shared" si="5"/>
        <v/>
      </c>
    </row>
    <row r="159" spans="1:11" ht="15" customHeight="1">
      <c r="A159" s="119" t="str">
        <f>IF($B159="","",IFERROR(INDEX(상담데이터입력!$BH$3:$BH$502,MATCH($B159,상담데이터입력!$A$3:$A$502,0)),""))</f>
        <v/>
      </c>
      <c r="B159" s="120"/>
      <c r="C159" s="119" t="str">
        <f>IF($B159="","",IFERROR(INDEX(상담데이터입력!$D$3:$D$502,MATCH($B159,상담데이터입력!$A$3:$A$502,0)),""))</f>
        <v/>
      </c>
      <c r="D159" s="119" t="str">
        <f>IF($B159="","",IFERROR(INDEX(상담데이터입력!$S$3:$S$502,MATCH($B159,상담데이터입력!$A$3:$A$502,0)),""))</f>
        <v/>
      </c>
      <c r="E159" s="121"/>
      <c r="F159" s="122"/>
      <c r="G159" s="123"/>
      <c r="H159" s="123"/>
      <c r="I159" s="124"/>
      <c r="J159" s="125" t="str">
        <f t="shared" si="4"/>
        <v/>
      </c>
      <c r="K159" s="119" t="str">
        <f t="shared" si="5"/>
        <v/>
      </c>
    </row>
    <row r="160" spans="1:11" ht="15" customHeight="1">
      <c r="A160" s="119" t="str">
        <f>IF($B160="","",IFERROR(INDEX(상담데이터입력!$BH$3:$BH$502,MATCH($B160,상담데이터입력!$A$3:$A$502,0)),""))</f>
        <v/>
      </c>
      <c r="B160" s="120"/>
      <c r="C160" s="119" t="str">
        <f>IF($B160="","",IFERROR(INDEX(상담데이터입력!$D$3:$D$502,MATCH($B160,상담데이터입력!$A$3:$A$502,0)),""))</f>
        <v/>
      </c>
      <c r="D160" s="119" t="str">
        <f>IF($B160="","",IFERROR(INDEX(상담데이터입력!$S$3:$S$502,MATCH($B160,상담데이터입력!$A$3:$A$502,0)),""))</f>
        <v/>
      </c>
      <c r="E160" s="121"/>
      <c r="F160" s="122"/>
      <c r="G160" s="123"/>
      <c r="H160" s="123"/>
      <c r="I160" s="124"/>
      <c r="J160" s="125" t="str">
        <f t="shared" si="4"/>
        <v/>
      </c>
      <c r="K160" s="119" t="str">
        <f t="shared" si="5"/>
        <v/>
      </c>
    </row>
    <row r="161" spans="1:11" ht="15" customHeight="1">
      <c r="A161" s="119" t="str">
        <f>IF($B161="","",IFERROR(INDEX(상담데이터입력!$BH$3:$BH$502,MATCH($B161,상담데이터입력!$A$3:$A$502,0)),""))</f>
        <v/>
      </c>
      <c r="B161" s="120"/>
      <c r="C161" s="119" t="str">
        <f>IF($B161="","",IFERROR(INDEX(상담데이터입력!$D$3:$D$502,MATCH($B161,상담데이터입력!$A$3:$A$502,0)),""))</f>
        <v/>
      </c>
      <c r="D161" s="119" t="str">
        <f>IF($B161="","",IFERROR(INDEX(상담데이터입력!$S$3:$S$502,MATCH($B161,상담데이터입력!$A$3:$A$502,0)),""))</f>
        <v/>
      </c>
      <c r="E161" s="121"/>
      <c r="F161" s="122"/>
      <c r="G161" s="123"/>
      <c r="H161" s="123"/>
      <c r="I161" s="124"/>
      <c r="J161" s="125" t="str">
        <f t="shared" si="4"/>
        <v/>
      </c>
      <c r="K161" s="119" t="str">
        <f t="shared" si="5"/>
        <v/>
      </c>
    </row>
    <row r="162" spans="1:11" ht="15" customHeight="1">
      <c r="A162" s="119" t="str">
        <f>IF($B162="","",IFERROR(INDEX(상담데이터입력!$BH$3:$BH$502,MATCH($B162,상담데이터입력!$A$3:$A$502,0)),""))</f>
        <v/>
      </c>
      <c r="B162" s="120"/>
      <c r="C162" s="119" t="str">
        <f>IF($B162="","",IFERROR(INDEX(상담데이터입력!$D$3:$D$502,MATCH($B162,상담데이터입력!$A$3:$A$502,0)),""))</f>
        <v/>
      </c>
      <c r="D162" s="119" t="str">
        <f>IF($B162="","",IFERROR(INDEX(상담데이터입력!$S$3:$S$502,MATCH($B162,상담데이터입력!$A$3:$A$502,0)),""))</f>
        <v/>
      </c>
      <c r="E162" s="121"/>
      <c r="F162" s="122"/>
      <c r="G162" s="123"/>
      <c r="H162" s="123"/>
      <c r="I162" s="124"/>
      <c r="J162" s="125" t="str">
        <f t="shared" si="4"/>
        <v/>
      </c>
      <c r="K162" s="119" t="str">
        <f t="shared" si="5"/>
        <v/>
      </c>
    </row>
    <row r="163" spans="1:11" ht="15" customHeight="1">
      <c r="A163" s="119" t="str">
        <f>IF($B163="","",IFERROR(INDEX(상담데이터입력!$BH$3:$BH$502,MATCH($B163,상담데이터입력!$A$3:$A$502,0)),""))</f>
        <v/>
      </c>
      <c r="B163" s="120"/>
      <c r="C163" s="119" t="str">
        <f>IF($B163="","",IFERROR(INDEX(상담데이터입력!$D$3:$D$502,MATCH($B163,상담데이터입력!$A$3:$A$502,0)),""))</f>
        <v/>
      </c>
      <c r="D163" s="119" t="str">
        <f>IF($B163="","",IFERROR(INDEX(상담데이터입력!$S$3:$S$502,MATCH($B163,상담데이터입력!$A$3:$A$502,0)),""))</f>
        <v/>
      </c>
      <c r="E163" s="121"/>
      <c r="F163" s="122"/>
      <c r="G163" s="123"/>
      <c r="H163" s="123"/>
      <c r="I163" s="124"/>
      <c r="J163" s="125" t="str">
        <f t="shared" si="4"/>
        <v/>
      </c>
      <c r="K163" s="119" t="str">
        <f t="shared" si="5"/>
        <v/>
      </c>
    </row>
    <row r="164" spans="1:11" ht="15" customHeight="1">
      <c r="A164" s="119" t="str">
        <f>IF($B164="","",IFERROR(INDEX(상담데이터입력!$BH$3:$BH$502,MATCH($B164,상담데이터입력!$A$3:$A$502,0)),""))</f>
        <v/>
      </c>
      <c r="B164" s="120"/>
      <c r="C164" s="119" t="str">
        <f>IF($B164="","",IFERROR(INDEX(상담데이터입력!$D$3:$D$502,MATCH($B164,상담데이터입력!$A$3:$A$502,0)),""))</f>
        <v/>
      </c>
      <c r="D164" s="119" t="str">
        <f>IF($B164="","",IFERROR(INDEX(상담데이터입력!$S$3:$S$502,MATCH($B164,상담데이터입력!$A$3:$A$502,0)),""))</f>
        <v/>
      </c>
      <c r="E164" s="121"/>
      <c r="F164" s="122"/>
      <c r="G164" s="123"/>
      <c r="H164" s="123"/>
      <c r="I164" s="124"/>
      <c r="J164" s="125" t="str">
        <f t="shared" si="4"/>
        <v/>
      </c>
      <c r="K164" s="119" t="str">
        <f t="shared" si="5"/>
        <v/>
      </c>
    </row>
    <row r="165" spans="1:11" ht="15" customHeight="1">
      <c r="A165" s="119" t="str">
        <f>IF($B165="","",IFERROR(INDEX(상담데이터입력!$BH$3:$BH$502,MATCH($B165,상담데이터입력!$A$3:$A$502,0)),""))</f>
        <v/>
      </c>
      <c r="B165" s="120"/>
      <c r="C165" s="119" t="str">
        <f>IF($B165="","",IFERROR(INDEX(상담데이터입력!$D$3:$D$502,MATCH($B165,상담데이터입력!$A$3:$A$502,0)),""))</f>
        <v/>
      </c>
      <c r="D165" s="119" t="str">
        <f>IF($B165="","",IFERROR(INDEX(상담데이터입력!$S$3:$S$502,MATCH($B165,상담데이터입력!$A$3:$A$502,0)),""))</f>
        <v/>
      </c>
      <c r="E165" s="121"/>
      <c r="F165" s="122"/>
      <c r="G165" s="123"/>
      <c r="H165" s="123"/>
      <c r="I165" s="124"/>
      <c r="J165" s="125" t="str">
        <f t="shared" si="4"/>
        <v/>
      </c>
      <c r="K165" s="119" t="str">
        <f t="shared" si="5"/>
        <v/>
      </c>
    </row>
    <row r="166" spans="1:11" ht="15" customHeight="1">
      <c r="A166" s="119" t="str">
        <f>IF($B166="","",IFERROR(INDEX(상담데이터입력!$BH$3:$BH$502,MATCH($B166,상담데이터입력!$A$3:$A$502,0)),""))</f>
        <v/>
      </c>
      <c r="B166" s="120"/>
      <c r="C166" s="119" t="str">
        <f>IF($B166="","",IFERROR(INDEX(상담데이터입력!$D$3:$D$502,MATCH($B166,상담데이터입력!$A$3:$A$502,0)),""))</f>
        <v/>
      </c>
      <c r="D166" s="119" t="str">
        <f>IF($B166="","",IFERROR(INDEX(상담데이터입력!$S$3:$S$502,MATCH($B166,상담데이터입력!$A$3:$A$502,0)),""))</f>
        <v/>
      </c>
      <c r="E166" s="121"/>
      <c r="F166" s="122"/>
      <c r="G166" s="123"/>
      <c r="H166" s="123"/>
      <c r="I166" s="124"/>
      <c r="J166" s="125" t="str">
        <f t="shared" si="4"/>
        <v/>
      </c>
      <c r="K166" s="119" t="str">
        <f t="shared" si="5"/>
        <v/>
      </c>
    </row>
    <row r="167" spans="1:11" ht="15" customHeight="1">
      <c r="A167" s="119" t="str">
        <f>IF($B167="","",IFERROR(INDEX(상담데이터입력!$BH$3:$BH$502,MATCH($B167,상담데이터입력!$A$3:$A$502,0)),""))</f>
        <v/>
      </c>
      <c r="B167" s="120"/>
      <c r="C167" s="119" t="str">
        <f>IF($B167="","",IFERROR(INDEX(상담데이터입력!$D$3:$D$502,MATCH($B167,상담데이터입력!$A$3:$A$502,0)),""))</f>
        <v/>
      </c>
      <c r="D167" s="119" t="str">
        <f>IF($B167="","",IFERROR(INDEX(상담데이터입력!$S$3:$S$502,MATCH($B167,상담데이터입력!$A$3:$A$502,0)),""))</f>
        <v/>
      </c>
      <c r="E167" s="121"/>
      <c r="F167" s="122"/>
      <c r="G167" s="123"/>
      <c r="H167" s="123"/>
      <c r="I167" s="124"/>
      <c r="J167" s="125" t="str">
        <f t="shared" si="4"/>
        <v/>
      </c>
      <c r="K167" s="119" t="str">
        <f t="shared" si="5"/>
        <v/>
      </c>
    </row>
    <row r="168" spans="1:11" ht="15" customHeight="1">
      <c r="A168" s="119" t="str">
        <f>IF($B168="","",IFERROR(INDEX(상담데이터입력!$BH$3:$BH$502,MATCH($B168,상담데이터입력!$A$3:$A$502,0)),""))</f>
        <v/>
      </c>
      <c r="B168" s="120"/>
      <c r="C168" s="119" t="str">
        <f>IF($B168="","",IFERROR(INDEX(상담데이터입력!$D$3:$D$502,MATCH($B168,상담데이터입력!$A$3:$A$502,0)),""))</f>
        <v/>
      </c>
      <c r="D168" s="119" t="str">
        <f>IF($B168="","",IFERROR(INDEX(상담데이터입력!$S$3:$S$502,MATCH($B168,상담데이터입력!$A$3:$A$502,0)),""))</f>
        <v/>
      </c>
      <c r="E168" s="121"/>
      <c r="F168" s="122"/>
      <c r="G168" s="123"/>
      <c r="H168" s="123"/>
      <c r="I168" s="124"/>
      <c r="J168" s="125" t="str">
        <f t="shared" si="4"/>
        <v/>
      </c>
      <c r="K168" s="119" t="str">
        <f t="shared" si="5"/>
        <v/>
      </c>
    </row>
    <row r="169" spans="1:11" ht="15" customHeight="1">
      <c r="A169" s="119" t="str">
        <f>IF($B169="","",IFERROR(INDEX(상담데이터입력!$BH$3:$BH$502,MATCH($B169,상담데이터입력!$A$3:$A$502,0)),""))</f>
        <v/>
      </c>
      <c r="B169" s="120"/>
      <c r="C169" s="119" t="str">
        <f>IF($B169="","",IFERROR(INDEX(상담데이터입력!$D$3:$D$502,MATCH($B169,상담데이터입력!$A$3:$A$502,0)),""))</f>
        <v/>
      </c>
      <c r="D169" s="119" t="str">
        <f>IF($B169="","",IFERROR(INDEX(상담데이터입력!$S$3:$S$502,MATCH($B169,상담데이터입력!$A$3:$A$502,0)),""))</f>
        <v/>
      </c>
      <c r="E169" s="121"/>
      <c r="F169" s="122"/>
      <c r="G169" s="123"/>
      <c r="H169" s="123"/>
      <c r="I169" s="124"/>
      <c r="J169" s="125" t="str">
        <f t="shared" si="4"/>
        <v/>
      </c>
      <c r="K169" s="119" t="str">
        <f t="shared" si="5"/>
        <v/>
      </c>
    </row>
    <row r="170" spans="1:11" ht="15" customHeight="1">
      <c r="A170" s="119" t="str">
        <f>IF($B170="","",IFERROR(INDEX(상담데이터입력!$BH$3:$BH$502,MATCH($B170,상담데이터입력!$A$3:$A$502,0)),""))</f>
        <v/>
      </c>
      <c r="B170" s="120"/>
      <c r="C170" s="119" t="str">
        <f>IF($B170="","",IFERROR(INDEX(상담데이터입력!$D$3:$D$502,MATCH($B170,상담데이터입력!$A$3:$A$502,0)),""))</f>
        <v/>
      </c>
      <c r="D170" s="119" t="str">
        <f>IF($B170="","",IFERROR(INDEX(상담데이터입력!$S$3:$S$502,MATCH($B170,상담데이터입력!$A$3:$A$502,0)),""))</f>
        <v/>
      </c>
      <c r="E170" s="121"/>
      <c r="F170" s="122"/>
      <c r="G170" s="123"/>
      <c r="H170" s="123"/>
      <c r="I170" s="124"/>
      <c r="J170" s="125" t="str">
        <f t="shared" si="4"/>
        <v/>
      </c>
      <c r="K170" s="119" t="str">
        <f t="shared" si="5"/>
        <v/>
      </c>
    </row>
    <row r="171" spans="1:11" ht="15" customHeight="1">
      <c r="A171" s="119" t="str">
        <f>IF($B171="","",IFERROR(INDEX(상담데이터입력!$BH$3:$BH$502,MATCH($B171,상담데이터입력!$A$3:$A$502,0)),""))</f>
        <v/>
      </c>
      <c r="B171" s="120"/>
      <c r="C171" s="119" t="str">
        <f>IF($B171="","",IFERROR(INDEX(상담데이터입력!$D$3:$D$502,MATCH($B171,상담데이터입력!$A$3:$A$502,0)),""))</f>
        <v/>
      </c>
      <c r="D171" s="119" t="str">
        <f>IF($B171="","",IFERROR(INDEX(상담데이터입력!$S$3:$S$502,MATCH($B171,상담데이터입력!$A$3:$A$502,0)),""))</f>
        <v/>
      </c>
      <c r="E171" s="121"/>
      <c r="F171" s="122"/>
      <c r="G171" s="123"/>
      <c r="H171" s="123"/>
      <c r="I171" s="124"/>
      <c r="J171" s="125" t="str">
        <f t="shared" si="4"/>
        <v/>
      </c>
      <c r="K171" s="119" t="str">
        <f t="shared" si="5"/>
        <v/>
      </c>
    </row>
    <row r="172" spans="1:11" ht="15" customHeight="1">
      <c r="A172" s="119" t="str">
        <f>IF($B172="","",IFERROR(INDEX(상담데이터입력!$BH$3:$BH$502,MATCH($B172,상담데이터입력!$A$3:$A$502,0)),""))</f>
        <v/>
      </c>
      <c r="B172" s="120"/>
      <c r="C172" s="119" t="str">
        <f>IF($B172="","",IFERROR(INDEX(상담데이터입력!$D$3:$D$502,MATCH($B172,상담데이터입력!$A$3:$A$502,0)),""))</f>
        <v/>
      </c>
      <c r="D172" s="119" t="str">
        <f>IF($B172="","",IFERROR(INDEX(상담데이터입력!$S$3:$S$502,MATCH($B172,상담데이터입력!$A$3:$A$502,0)),""))</f>
        <v/>
      </c>
      <c r="E172" s="121"/>
      <c r="F172" s="122"/>
      <c r="G172" s="123"/>
      <c r="H172" s="123"/>
      <c r="I172" s="124"/>
      <c r="J172" s="125" t="str">
        <f t="shared" si="4"/>
        <v/>
      </c>
      <c r="K172" s="119" t="str">
        <f t="shared" si="5"/>
        <v/>
      </c>
    </row>
    <row r="173" spans="1:11" ht="15" customHeight="1">
      <c r="A173" s="119" t="str">
        <f>IF($B173="","",IFERROR(INDEX(상담데이터입력!$BH$3:$BH$502,MATCH($B173,상담데이터입력!$A$3:$A$502,0)),""))</f>
        <v/>
      </c>
      <c r="B173" s="120"/>
      <c r="C173" s="119" t="str">
        <f>IF($B173="","",IFERROR(INDEX(상담데이터입력!$D$3:$D$502,MATCH($B173,상담데이터입력!$A$3:$A$502,0)),""))</f>
        <v/>
      </c>
      <c r="D173" s="119" t="str">
        <f>IF($B173="","",IFERROR(INDEX(상담데이터입력!$S$3:$S$502,MATCH($B173,상담데이터입력!$A$3:$A$502,0)),""))</f>
        <v/>
      </c>
      <c r="E173" s="121"/>
      <c r="F173" s="122"/>
      <c r="G173" s="123"/>
      <c r="H173" s="123"/>
      <c r="I173" s="124"/>
      <c r="J173" s="125" t="str">
        <f t="shared" si="4"/>
        <v/>
      </c>
      <c r="K173" s="119" t="str">
        <f t="shared" si="5"/>
        <v/>
      </c>
    </row>
    <row r="174" spans="1:11" ht="15" customHeight="1">
      <c r="A174" s="119" t="str">
        <f>IF($B174="","",IFERROR(INDEX(상담데이터입력!$BH$3:$BH$502,MATCH($B174,상담데이터입력!$A$3:$A$502,0)),""))</f>
        <v/>
      </c>
      <c r="B174" s="120"/>
      <c r="C174" s="119" t="str">
        <f>IF($B174="","",IFERROR(INDEX(상담데이터입력!$D$3:$D$502,MATCH($B174,상담데이터입력!$A$3:$A$502,0)),""))</f>
        <v/>
      </c>
      <c r="D174" s="119" t="str">
        <f>IF($B174="","",IFERROR(INDEX(상담데이터입력!$S$3:$S$502,MATCH($B174,상담데이터입력!$A$3:$A$502,0)),""))</f>
        <v/>
      </c>
      <c r="E174" s="121"/>
      <c r="F174" s="122"/>
      <c r="G174" s="123"/>
      <c r="H174" s="123"/>
      <c r="I174" s="124"/>
      <c r="J174" s="125" t="str">
        <f t="shared" si="4"/>
        <v/>
      </c>
      <c r="K174" s="119" t="str">
        <f t="shared" si="5"/>
        <v/>
      </c>
    </row>
    <row r="175" spans="1:11" ht="15" customHeight="1">
      <c r="A175" s="119" t="str">
        <f>IF($B175="","",IFERROR(INDEX(상담데이터입력!$BH$3:$BH$502,MATCH($B175,상담데이터입력!$A$3:$A$502,0)),""))</f>
        <v/>
      </c>
      <c r="B175" s="120"/>
      <c r="C175" s="119" t="str">
        <f>IF($B175="","",IFERROR(INDEX(상담데이터입력!$D$3:$D$502,MATCH($B175,상담데이터입력!$A$3:$A$502,0)),""))</f>
        <v/>
      </c>
      <c r="D175" s="119" t="str">
        <f>IF($B175="","",IFERROR(INDEX(상담데이터입력!$S$3:$S$502,MATCH($B175,상담데이터입력!$A$3:$A$502,0)),""))</f>
        <v/>
      </c>
      <c r="E175" s="121"/>
      <c r="F175" s="122"/>
      <c r="G175" s="123"/>
      <c r="H175" s="123"/>
      <c r="I175" s="124"/>
      <c r="J175" s="125" t="str">
        <f t="shared" si="4"/>
        <v/>
      </c>
      <c r="K175" s="119" t="str">
        <f t="shared" si="5"/>
        <v/>
      </c>
    </row>
    <row r="176" spans="1:11" ht="15" customHeight="1">
      <c r="A176" s="119" t="str">
        <f>IF($B176="","",IFERROR(INDEX(상담데이터입력!$BH$3:$BH$502,MATCH($B176,상담데이터입력!$A$3:$A$502,0)),""))</f>
        <v/>
      </c>
      <c r="B176" s="120"/>
      <c r="C176" s="119" t="str">
        <f>IF($B176="","",IFERROR(INDEX(상담데이터입력!$D$3:$D$502,MATCH($B176,상담데이터입력!$A$3:$A$502,0)),""))</f>
        <v/>
      </c>
      <c r="D176" s="119" t="str">
        <f>IF($B176="","",IFERROR(INDEX(상담데이터입력!$S$3:$S$502,MATCH($B176,상담데이터입력!$A$3:$A$502,0)),""))</f>
        <v/>
      </c>
      <c r="E176" s="121"/>
      <c r="F176" s="122"/>
      <c r="G176" s="123"/>
      <c r="H176" s="123"/>
      <c r="I176" s="124"/>
      <c r="J176" s="125" t="str">
        <f t="shared" si="4"/>
        <v/>
      </c>
      <c r="K176" s="119" t="str">
        <f t="shared" si="5"/>
        <v/>
      </c>
    </row>
    <row r="177" spans="1:11" ht="15" customHeight="1">
      <c r="A177" s="119" t="str">
        <f>IF($B177="","",IFERROR(INDEX(상담데이터입력!$BH$3:$BH$502,MATCH($B177,상담데이터입력!$A$3:$A$502,0)),""))</f>
        <v/>
      </c>
      <c r="B177" s="120"/>
      <c r="C177" s="119" t="str">
        <f>IF($B177="","",IFERROR(INDEX(상담데이터입력!$D$3:$D$502,MATCH($B177,상담데이터입력!$A$3:$A$502,0)),""))</f>
        <v/>
      </c>
      <c r="D177" s="119" t="str">
        <f>IF($B177="","",IFERROR(INDEX(상담데이터입력!$S$3:$S$502,MATCH($B177,상담데이터입력!$A$3:$A$502,0)),""))</f>
        <v/>
      </c>
      <c r="E177" s="121"/>
      <c r="F177" s="122"/>
      <c r="G177" s="123"/>
      <c r="H177" s="123"/>
      <c r="I177" s="124"/>
      <c r="J177" s="125" t="str">
        <f t="shared" si="4"/>
        <v/>
      </c>
      <c r="K177" s="119" t="str">
        <f t="shared" si="5"/>
        <v/>
      </c>
    </row>
    <row r="178" spans="1:11" ht="15" customHeight="1">
      <c r="A178" s="119" t="str">
        <f>IF($B178="","",IFERROR(INDEX(상담데이터입력!$BH$3:$BH$502,MATCH($B178,상담데이터입력!$A$3:$A$502,0)),""))</f>
        <v/>
      </c>
      <c r="B178" s="120"/>
      <c r="C178" s="119" t="str">
        <f>IF($B178="","",IFERROR(INDEX(상담데이터입력!$D$3:$D$502,MATCH($B178,상담데이터입력!$A$3:$A$502,0)),""))</f>
        <v/>
      </c>
      <c r="D178" s="119" t="str">
        <f>IF($B178="","",IFERROR(INDEX(상담데이터입력!$S$3:$S$502,MATCH($B178,상담데이터입력!$A$3:$A$502,0)),""))</f>
        <v/>
      </c>
      <c r="E178" s="121"/>
      <c r="F178" s="122"/>
      <c r="G178" s="123"/>
      <c r="H178" s="123"/>
      <c r="I178" s="124"/>
      <c r="J178" s="125" t="str">
        <f t="shared" si="4"/>
        <v/>
      </c>
      <c r="K178" s="119" t="str">
        <f t="shared" si="5"/>
        <v/>
      </c>
    </row>
    <row r="179" spans="1:11" ht="15" customHeight="1">
      <c r="A179" s="119" t="str">
        <f>IF($B179="","",IFERROR(INDEX(상담데이터입력!$BH$3:$BH$502,MATCH($B179,상담데이터입력!$A$3:$A$502,0)),""))</f>
        <v/>
      </c>
      <c r="B179" s="120"/>
      <c r="C179" s="119" t="str">
        <f>IF($B179="","",IFERROR(INDEX(상담데이터입력!$D$3:$D$502,MATCH($B179,상담데이터입력!$A$3:$A$502,0)),""))</f>
        <v/>
      </c>
      <c r="D179" s="119" t="str">
        <f>IF($B179="","",IFERROR(INDEX(상담데이터입력!$S$3:$S$502,MATCH($B179,상담데이터입력!$A$3:$A$502,0)),""))</f>
        <v/>
      </c>
      <c r="E179" s="121"/>
      <c r="F179" s="122"/>
      <c r="G179" s="123"/>
      <c r="H179" s="123"/>
      <c r="I179" s="124"/>
      <c r="J179" s="125" t="str">
        <f t="shared" si="4"/>
        <v/>
      </c>
      <c r="K179" s="119" t="str">
        <f t="shared" si="5"/>
        <v/>
      </c>
    </row>
    <row r="180" spans="1:11" ht="15" customHeight="1">
      <c r="A180" s="119" t="str">
        <f>IF($B180="","",IFERROR(INDEX(상담데이터입력!$BH$3:$BH$502,MATCH($B180,상담데이터입력!$A$3:$A$502,0)),""))</f>
        <v/>
      </c>
      <c r="B180" s="120"/>
      <c r="C180" s="119" t="str">
        <f>IF($B180="","",IFERROR(INDEX(상담데이터입력!$D$3:$D$502,MATCH($B180,상담데이터입력!$A$3:$A$502,0)),""))</f>
        <v/>
      </c>
      <c r="D180" s="119" t="str">
        <f>IF($B180="","",IFERROR(INDEX(상담데이터입력!$S$3:$S$502,MATCH($B180,상담데이터입력!$A$3:$A$502,0)),""))</f>
        <v/>
      </c>
      <c r="E180" s="121"/>
      <c r="F180" s="122"/>
      <c r="G180" s="123"/>
      <c r="H180" s="123"/>
      <c r="I180" s="124"/>
      <c r="J180" s="125" t="str">
        <f t="shared" si="4"/>
        <v/>
      </c>
      <c r="K180" s="119" t="str">
        <f t="shared" si="5"/>
        <v/>
      </c>
    </row>
    <row r="181" spans="1:11" ht="15" customHeight="1">
      <c r="A181" s="119" t="str">
        <f>IF($B181="","",IFERROR(INDEX(상담데이터입력!$BH$3:$BH$502,MATCH($B181,상담데이터입력!$A$3:$A$502,0)),""))</f>
        <v/>
      </c>
      <c r="B181" s="120"/>
      <c r="C181" s="119" t="str">
        <f>IF($B181="","",IFERROR(INDEX(상담데이터입력!$D$3:$D$502,MATCH($B181,상담데이터입력!$A$3:$A$502,0)),""))</f>
        <v/>
      </c>
      <c r="D181" s="119" t="str">
        <f>IF($B181="","",IFERROR(INDEX(상담데이터입력!$S$3:$S$502,MATCH($B181,상담데이터입력!$A$3:$A$502,0)),""))</f>
        <v/>
      </c>
      <c r="E181" s="121"/>
      <c r="F181" s="122"/>
      <c r="G181" s="123"/>
      <c r="H181" s="123"/>
      <c r="I181" s="124"/>
      <c r="J181" s="125" t="str">
        <f t="shared" si="4"/>
        <v/>
      </c>
      <c r="K181" s="119" t="str">
        <f t="shared" si="5"/>
        <v/>
      </c>
    </row>
    <row r="182" spans="1:11" ht="15" customHeight="1">
      <c r="A182" s="119" t="str">
        <f>IF($B182="","",IFERROR(INDEX(상담데이터입력!$BH$3:$BH$502,MATCH($B182,상담데이터입력!$A$3:$A$502,0)),""))</f>
        <v/>
      </c>
      <c r="B182" s="120"/>
      <c r="C182" s="119" t="str">
        <f>IF($B182="","",IFERROR(INDEX(상담데이터입력!$D$3:$D$502,MATCH($B182,상담데이터입력!$A$3:$A$502,0)),""))</f>
        <v/>
      </c>
      <c r="D182" s="119" t="str">
        <f>IF($B182="","",IFERROR(INDEX(상담데이터입력!$S$3:$S$502,MATCH($B182,상담데이터입력!$A$3:$A$502,0)),""))</f>
        <v/>
      </c>
      <c r="E182" s="121"/>
      <c r="F182" s="122"/>
      <c r="G182" s="123"/>
      <c r="H182" s="123"/>
      <c r="I182" s="124"/>
      <c r="J182" s="125" t="str">
        <f t="shared" si="4"/>
        <v/>
      </c>
      <c r="K182" s="119" t="str">
        <f t="shared" si="5"/>
        <v/>
      </c>
    </row>
    <row r="183" spans="1:11" ht="15" customHeight="1">
      <c r="A183" s="119" t="str">
        <f>IF($B183="","",IFERROR(INDEX(상담데이터입력!$BH$3:$BH$502,MATCH($B183,상담데이터입력!$A$3:$A$502,0)),""))</f>
        <v/>
      </c>
      <c r="B183" s="120"/>
      <c r="C183" s="119" t="str">
        <f>IF($B183="","",IFERROR(INDEX(상담데이터입력!$D$3:$D$502,MATCH($B183,상담데이터입력!$A$3:$A$502,0)),""))</f>
        <v/>
      </c>
      <c r="D183" s="119" t="str">
        <f>IF($B183="","",IFERROR(INDEX(상담데이터입력!$S$3:$S$502,MATCH($B183,상담데이터입력!$A$3:$A$502,0)),""))</f>
        <v/>
      </c>
      <c r="E183" s="121"/>
      <c r="F183" s="122"/>
      <c r="G183" s="123"/>
      <c r="H183" s="123"/>
      <c r="I183" s="124"/>
      <c r="J183" s="125" t="str">
        <f t="shared" si="4"/>
        <v/>
      </c>
      <c r="K183" s="119" t="str">
        <f t="shared" si="5"/>
        <v/>
      </c>
    </row>
    <row r="184" spans="1:11" ht="15" customHeight="1">
      <c r="A184" s="119" t="str">
        <f>IF($B184="","",IFERROR(INDEX(상담데이터입력!$BH$3:$BH$502,MATCH($B184,상담데이터입력!$A$3:$A$502,0)),""))</f>
        <v/>
      </c>
      <c r="B184" s="120"/>
      <c r="C184" s="119" t="str">
        <f>IF($B184="","",IFERROR(INDEX(상담데이터입력!$D$3:$D$502,MATCH($B184,상담데이터입력!$A$3:$A$502,0)),""))</f>
        <v/>
      </c>
      <c r="D184" s="119" t="str">
        <f>IF($B184="","",IFERROR(INDEX(상담데이터입력!$S$3:$S$502,MATCH($B184,상담데이터입력!$A$3:$A$502,0)),""))</f>
        <v/>
      </c>
      <c r="E184" s="121"/>
      <c r="F184" s="122"/>
      <c r="G184" s="123"/>
      <c r="H184" s="123"/>
      <c r="I184" s="124"/>
      <c r="J184" s="125" t="str">
        <f t="shared" si="4"/>
        <v/>
      </c>
      <c r="K184" s="119" t="str">
        <f t="shared" si="5"/>
        <v/>
      </c>
    </row>
    <row r="185" spans="1:11" ht="15" customHeight="1">
      <c r="A185" s="119" t="str">
        <f>IF($B185="","",IFERROR(INDEX(상담데이터입력!$BH$3:$BH$502,MATCH($B185,상담데이터입력!$A$3:$A$502,0)),""))</f>
        <v/>
      </c>
      <c r="B185" s="120"/>
      <c r="C185" s="119" t="str">
        <f>IF($B185="","",IFERROR(INDEX(상담데이터입력!$D$3:$D$502,MATCH($B185,상담데이터입력!$A$3:$A$502,0)),""))</f>
        <v/>
      </c>
      <c r="D185" s="119" t="str">
        <f>IF($B185="","",IFERROR(INDEX(상담데이터입력!$S$3:$S$502,MATCH($B185,상담데이터입력!$A$3:$A$502,0)),""))</f>
        <v/>
      </c>
      <c r="E185" s="121"/>
      <c r="F185" s="122"/>
      <c r="G185" s="123"/>
      <c r="H185" s="123"/>
      <c r="I185" s="124"/>
      <c r="J185" s="125" t="str">
        <f t="shared" si="4"/>
        <v/>
      </c>
      <c r="K185" s="119" t="str">
        <f t="shared" si="5"/>
        <v/>
      </c>
    </row>
    <row r="186" spans="1:11" ht="15" customHeight="1">
      <c r="A186" s="119" t="str">
        <f>IF($B186="","",IFERROR(INDEX(상담데이터입력!$BH$3:$BH$502,MATCH($B186,상담데이터입력!$A$3:$A$502,0)),""))</f>
        <v/>
      </c>
      <c r="B186" s="120"/>
      <c r="C186" s="119" t="str">
        <f>IF($B186="","",IFERROR(INDEX(상담데이터입력!$D$3:$D$502,MATCH($B186,상담데이터입력!$A$3:$A$502,0)),""))</f>
        <v/>
      </c>
      <c r="D186" s="119" t="str">
        <f>IF($B186="","",IFERROR(INDEX(상담데이터입력!$S$3:$S$502,MATCH($B186,상담데이터입력!$A$3:$A$502,0)),""))</f>
        <v/>
      </c>
      <c r="E186" s="121"/>
      <c r="F186" s="122"/>
      <c r="G186" s="123"/>
      <c r="H186" s="123"/>
      <c r="I186" s="124"/>
      <c r="J186" s="125" t="str">
        <f t="shared" si="4"/>
        <v/>
      </c>
      <c r="K186" s="119" t="str">
        <f t="shared" si="5"/>
        <v/>
      </c>
    </row>
    <row r="187" spans="1:11" ht="15" customHeight="1">
      <c r="A187" s="119" t="str">
        <f>IF($B187="","",IFERROR(INDEX(상담데이터입력!$BH$3:$BH$502,MATCH($B187,상담데이터입력!$A$3:$A$502,0)),""))</f>
        <v/>
      </c>
      <c r="B187" s="120"/>
      <c r="C187" s="119" t="str">
        <f>IF($B187="","",IFERROR(INDEX(상담데이터입력!$D$3:$D$502,MATCH($B187,상담데이터입력!$A$3:$A$502,0)),""))</f>
        <v/>
      </c>
      <c r="D187" s="119" t="str">
        <f>IF($B187="","",IFERROR(INDEX(상담데이터입력!$S$3:$S$502,MATCH($B187,상담데이터입력!$A$3:$A$502,0)),""))</f>
        <v/>
      </c>
      <c r="E187" s="121"/>
      <c r="F187" s="122"/>
      <c r="G187" s="123"/>
      <c r="H187" s="123"/>
      <c r="I187" s="124"/>
      <c r="J187" s="125" t="str">
        <f t="shared" si="4"/>
        <v/>
      </c>
      <c r="K187" s="119" t="str">
        <f t="shared" si="5"/>
        <v/>
      </c>
    </row>
    <row r="188" spans="1:11" ht="15" customHeight="1">
      <c r="A188" s="119" t="str">
        <f>IF($B188="","",IFERROR(INDEX(상담데이터입력!$BH$3:$BH$502,MATCH($B188,상담데이터입력!$A$3:$A$502,0)),""))</f>
        <v/>
      </c>
      <c r="B188" s="120"/>
      <c r="C188" s="119" t="str">
        <f>IF($B188="","",IFERROR(INDEX(상담데이터입력!$D$3:$D$502,MATCH($B188,상담데이터입력!$A$3:$A$502,0)),""))</f>
        <v/>
      </c>
      <c r="D188" s="119" t="str">
        <f>IF($B188="","",IFERROR(INDEX(상담데이터입력!$S$3:$S$502,MATCH($B188,상담데이터입력!$A$3:$A$502,0)),""))</f>
        <v/>
      </c>
      <c r="E188" s="121"/>
      <c r="F188" s="122"/>
      <c r="G188" s="123"/>
      <c r="H188" s="123"/>
      <c r="I188" s="124"/>
      <c r="J188" s="125" t="str">
        <f t="shared" si="4"/>
        <v/>
      </c>
      <c r="K188" s="119" t="str">
        <f t="shared" si="5"/>
        <v/>
      </c>
    </row>
    <row r="189" spans="1:11" ht="15" customHeight="1">
      <c r="A189" s="119" t="str">
        <f>IF($B189="","",IFERROR(INDEX(상담데이터입력!$BH$3:$BH$502,MATCH($B189,상담데이터입력!$A$3:$A$502,0)),""))</f>
        <v/>
      </c>
      <c r="B189" s="120"/>
      <c r="C189" s="119" t="str">
        <f>IF($B189="","",IFERROR(INDEX(상담데이터입력!$D$3:$D$502,MATCH($B189,상담데이터입력!$A$3:$A$502,0)),""))</f>
        <v/>
      </c>
      <c r="D189" s="119" t="str">
        <f>IF($B189="","",IFERROR(INDEX(상담데이터입력!$S$3:$S$502,MATCH($B189,상담데이터입력!$A$3:$A$502,0)),""))</f>
        <v/>
      </c>
      <c r="E189" s="121"/>
      <c r="F189" s="122"/>
      <c r="G189" s="123"/>
      <c r="H189" s="123"/>
      <c r="I189" s="124"/>
      <c r="J189" s="125" t="str">
        <f t="shared" si="4"/>
        <v/>
      </c>
      <c r="K189" s="119" t="str">
        <f t="shared" si="5"/>
        <v/>
      </c>
    </row>
    <row r="190" spans="1:11" ht="15" customHeight="1">
      <c r="A190" s="119" t="str">
        <f>IF($B190="","",IFERROR(INDEX(상담데이터입력!$BH$3:$BH$502,MATCH($B190,상담데이터입력!$A$3:$A$502,0)),""))</f>
        <v/>
      </c>
      <c r="B190" s="120"/>
      <c r="C190" s="119" t="str">
        <f>IF($B190="","",IFERROR(INDEX(상담데이터입력!$D$3:$D$502,MATCH($B190,상담데이터입력!$A$3:$A$502,0)),""))</f>
        <v/>
      </c>
      <c r="D190" s="119" t="str">
        <f>IF($B190="","",IFERROR(INDEX(상담데이터입력!$S$3:$S$502,MATCH($B190,상담데이터입력!$A$3:$A$502,0)),""))</f>
        <v/>
      </c>
      <c r="E190" s="121"/>
      <c r="F190" s="122"/>
      <c r="G190" s="123"/>
      <c r="H190" s="123"/>
      <c r="I190" s="124"/>
      <c r="J190" s="125" t="str">
        <f t="shared" si="4"/>
        <v/>
      </c>
      <c r="K190" s="119" t="str">
        <f t="shared" si="5"/>
        <v/>
      </c>
    </row>
    <row r="191" spans="1:11" ht="15" customHeight="1">
      <c r="A191" s="119" t="str">
        <f>IF($B191="","",IFERROR(INDEX(상담데이터입력!$BH$3:$BH$502,MATCH($B191,상담데이터입력!$A$3:$A$502,0)),""))</f>
        <v/>
      </c>
      <c r="B191" s="120"/>
      <c r="C191" s="119" t="str">
        <f>IF($B191="","",IFERROR(INDEX(상담데이터입력!$D$3:$D$502,MATCH($B191,상담데이터입력!$A$3:$A$502,0)),""))</f>
        <v/>
      </c>
      <c r="D191" s="119" t="str">
        <f>IF($B191="","",IFERROR(INDEX(상담데이터입력!$S$3:$S$502,MATCH($B191,상담데이터입력!$A$3:$A$502,0)),""))</f>
        <v/>
      </c>
      <c r="E191" s="121"/>
      <c r="F191" s="122"/>
      <c r="G191" s="123"/>
      <c r="H191" s="123"/>
      <c r="I191" s="124"/>
      <c r="J191" s="125" t="str">
        <f t="shared" si="4"/>
        <v/>
      </c>
      <c r="K191" s="119" t="str">
        <f t="shared" si="5"/>
        <v/>
      </c>
    </row>
    <row r="192" spans="1:11" ht="15" customHeight="1">
      <c r="A192" s="119" t="str">
        <f>IF($B192="","",IFERROR(INDEX(상담데이터입력!$BH$3:$BH$502,MATCH($B192,상담데이터입력!$A$3:$A$502,0)),""))</f>
        <v/>
      </c>
      <c r="B192" s="120"/>
      <c r="C192" s="119" t="str">
        <f>IF($B192="","",IFERROR(INDEX(상담데이터입력!$D$3:$D$502,MATCH($B192,상담데이터입력!$A$3:$A$502,0)),""))</f>
        <v/>
      </c>
      <c r="D192" s="119" t="str">
        <f>IF($B192="","",IFERROR(INDEX(상담데이터입력!$S$3:$S$502,MATCH($B192,상담데이터입력!$A$3:$A$502,0)),""))</f>
        <v/>
      </c>
      <c r="E192" s="121"/>
      <c r="F192" s="122"/>
      <c r="G192" s="123"/>
      <c r="H192" s="123"/>
      <c r="I192" s="124"/>
      <c r="J192" s="125" t="str">
        <f t="shared" si="4"/>
        <v/>
      </c>
      <c r="K192" s="119" t="str">
        <f t="shared" si="5"/>
        <v/>
      </c>
    </row>
    <row r="193" spans="1:11" ht="15" customHeight="1">
      <c r="A193" s="119" t="str">
        <f>IF($B193="","",IFERROR(INDEX(상담데이터입력!$BH$3:$BH$502,MATCH($B193,상담데이터입력!$A$3:$A$502,0)),""))</f>
        <v/>
      </c>
      <c r="B193" s="120"/>
      <c r="C193" s="119" t="str">
        <f>IF($B193="","",IFERROR(INDEX(상담데이터입력!$D$3:$D$502,MATCH($B193,상담데이터입력!$A$3:$A$502,0)),""))</f>
        <v/>
      </c>
      <c r="D193" s="119" t="str">
        <f>IF($B193="","",IFERROR(INDEX(상담데이터입력!$S$3:$S$502,MATCH($B193,상담데이터입력!$A$3:$A$502,0)),""))</f>
        <v/>
      </c>
      <c r="E193" s="121"/>
      <c r="F193" s="122"/>
      <c r="G193" s="123"/>
      <c r="H193" s="123"/>
      <c r="I193" s="124"/>
      <c r="J193" s="125" t="str">
        <f t="shared" si="4"/>
        <v/>
      </c>
      <c r="K193" s="119" t="str">
        <f t="shared" si="5"/>
        <v/>
      </c>
    </row>
    <row r="194" spans="1:11" ht="15" customHeight="1">
      <c r="A194" s="119" t="str">
        <f>IF($B194="","",IFERROR(INDEX(상담데이터입력!$BH$3:$BH$502,MATCH($B194,상담데이터입력!$A$3:$A$502,0)),""))</f>
        <v/>
      </c>
      <c r="B194" s="120"/>
      <c r="C194" s="119" t="str">
        <f>IF($B194="","",IFERROR(INDEX(상담데이터입력!$D$3:$D$502,MATCH($B194,상담데이터입력!$A$3:$A$502,0)),""))</f>
        <v/>
      </c>
      <c r="D194" s="119" t="str">
        <f>IF($B194="","",IFERROR(INDEX(상담데이터입력!$S$3:$S$502,MATCH($B194,상담데이터입력!$A$3:$A$502,0)),""))</f>
        <v/>
      </c>
      <c r="E194" s="121"/>
      <c r="F194" s="122"/>
      <c r="G194" s="123"/>
      <c r="H194" s="123"/>
      <c r="I194" s="124"/>
      <c r="J194" s="125" t="str">
        <f t="shared" si="4"/>
        <v/>
      </c>
      <c r="K194" s="119" t="str">
        <f t="shared" si="5"/>
        <v/>
      </c>
    </row>
    <row r="195" spans="1:11" ht="15" customHeight="1">
      <c r="A195" s="119" t="str">
        <f>IF($B195="","",IFERROR(INDEX(상담데이터입력!$BH$3:$BH$502,MATCH($B195,상담데이터입력!$A$3:$A$502,0)),""))</f>
        <v/>
      </c>
      <c r="B195" s="120"/>
      <c r="C195" s="119" t="str">
        <f>IF($B195="","",IFERROR(INDEX(상담데이터입력!$D$3:$D$502,MATCH($B195,상담데이터입력!$A$3:$A$502,0)),""))</f>
        <v/>
      </c>
      <c r="D195" s="119" t="str">
        <f>IF($B195="","",IFERROR(INDEX(상담데이터입력!$S$3:$S$502,MATCH($B195,상담데이터입력!$A$3:$A$502,0)),""))</f>
        <v/>
      </c>
      <c r="E195" s="121"/>
      <c r="F195" s="122"/>
      <c r="G195" s="123"/>
      <c r="H195" s="123"/>
      <c r="I195" s="124"/>
      <c r="J195" s="125" t="str">
        <f t="shared" si="4"/>
        <v/>
      </c>
      <c r="K195" s="119" t="str">
        <f t="shared" si="5"/>
        <v/>
      </c>
    </row>
    <row r="196" spans="1:11" ht="15" customHeight="1">
      <c r="A196" s="119" t="str">
        <f>IF($B196="","",IFERROR(INDEX(상담데이터입력!$BH$3:$BH$502,MATCH($B196,상담데이터입력!$A$3:$A$502,0)),""))</f>
        <v/>
      </c>
      <c r="B196" s="120"/>
      <c r="C196" s="119" t="str">
        <f>IF($B196="","",IFERROR(INDEX(상담데이터입력!$D$3:$D$502,MATCH($B196,상담데이터입력!$A$3:$A$502,0)),""))</f>
        <v/>
      </c>
      <c r="D196" s="119" t="str">
        <f>IF($B196="","",IFERROR(INDEX(상담데이터입력!$S$3:$S$502,MATCH($B196,상담데이터입력!$A$3:$A$502,0)),""))</f>
        <v/>
      </c>
      <c r="E196" s="121"/>
      <c r="F196" s="122"/>
      <c r="G196" s="123"/>
      <c r="H196" s="123"/>
      <c r="I196" s="124"/>
      <c r="J196" s="125" t="str">
        <f t="shared" si="4"/>
        <v/>
      </c>
      <c r="K196" s="119" t="str">
        <f t="shared" si="5"/>
        <v/>
      </c>
    </row>
    <row r="197" spans="1:11" ht="15" customHeight="1">
      <c r="A197" s="119" t="str">
        <f>IF($B197="","",IFERROR(INDEX(상담데이터입력!$BH$3:$BH$502,MATCH($B197,상담데이터입력!$A$3:$A$502,0)),""))</f>
        <v/>
      </c>
      <c r="B197" s="120"/>
      <c r="C197" s="119" t="str">
        <f>IF($B197="","",IFERROR(INDEX(상담데이터입력!$D$3:$D$502,MATCH($B197,상담데이터입력!$A$3:$A$502,0)),""))</f>
        <v/>
      </c>
      <c r="D197" s="119" t="str">
        <f>IF($B197="","",IFERROR(INDEX(상담데이터입력!$S$3:$S$502,MATCH($B197,상담데이터입력!$A$3:$A$502,0)),""))</f>
        <v/>
      </c>
      <c r="E197" s="121"/>
      <c r="F197" s="122"/>
      <c r="G197" s="123"/>
      <c r="H197" s="123"/>
      <c r="I197" s="124"/>
      <c r="J197" s="125" t="str">
        <f t="shared" ref="J197:J260" si="6">IF(OR($G197="",$F197=""),"",EDATE($G197,IF($F197="1개월",1,IF($F197="3개월",3,IF($F197="6개월",6,0)))))</f>
        <v/>
      </c>
      <c r="K197" s="119" t="str">
        <f t="shared" ref="K197:K260" si="7">IF($B197="","",IF($H197="","재원중","퇴소"))</f>
        <v/>
      </c>
    </row>
    <row r="198" spans="1:11" ht="15" customHeight="1">
      <c r="A198" s="119" t="str">
        <f>IF($B198="","",IFERROR(INDEX(상담데이터입력!$BH$3:$BH$502,MATCH($B198,상담데이터입력!$A$3:$A$502,0)),""))</f>
        <v/>
      </c>
      <c r="B198" s="120"/>
      <c r="C198" s="119" t="str">
        <f>IF($B198="","",IFERROR(INDEX(상담데이터입력!$D$3:$D$502,MATCH($B198,상담데이터입력!$A$3:$A$502,0)),""))</f>
        <v/>
      </c>
      <c r="D198" s="119" t="str">
        <f>IF($B198="","",IFERROR(INDEX(상담데이터입력!$S$3:$S$502,MATCH($B198,상담데이터입력!$A$3:$A$502,0)),""))</f>
        <v/>
      </c>
      <c r="E198" s="121"/>
      <c r="F198" s="122"/>
      <c r="G198" s="123"/>
      <c r="H198" s="123"/>
      <c r="I198" s="124"/>
      <c r="J198" s="125" t="str">
        <f t="shared" si="6"/>
        <v/>
      </c>
      <c r="K198" s="119" t="str">
        <f t="shared" si="7"/>
        <v/>
      </c>
    </row>
    <row r="199" spans="1:11" ht="15" customHeight="1">
      <c r="A199" s="119" t="str">
        <f>IF($B199="","",IFERROR(INDEX(상담데이터입력!$BH$3:$BH$502,MATCH($B199,상담데이터입력!$A$3:$A$502,0)),""))</f>
        <v/>
      </c>
      <c r="B199" s="120"/>
      <c r="C199" s="119" t="str">
        <f>IF($B199="","",IFERROR(INDEX(상담데이터입력!$D$3:$D$502,MATCH($B199,상담데이터입력!$A$3:$A$502,0)),""))</f>
        <v/>
      </c>
      <c r="D199" s="119" t="str">
        <f>IF($B199="","",IFERROR(INDEX(상담데이터입력!$S$3:$S$502,MATCH($B199,상담데이터입력!$A$3:$A$502,0)),""))</f>
        <v/>
      </c>
      <c r="E199" s="121"/>
      <c r="F199" s="122"/>
      <c r="G199" s="123"/>
      <c r="H199" s="123"/>
      <c r="I199" s="124"/>
      <c r="J199" s="125" t="str">
        <f t="shared" si="6"/>
        <v/>
      </c>
      <c r="K199" s="119" t="str">
        <f t="shared" si="7"/>
        <v/>
      </c>
    </row>
    <row r="200" spans="1:11" ht="15" customHeight="1">
      <c r="A200" s="119" t="str">
        <f>IF($B200="","",IFERROR(INDEX(상담데이터입력!$BH$3:$BH$502,MATCH($B200,상담데이터입력!$A$3:$A$502,0)),""))</f>
        <v/>
      </c>
      <c r="B200" s="120"/>
      <c r="C200" s="119" t="str">
        <f>IF($B200="","",IFERROR(INDEX(상담데이터입력!$D$3:$D$502,MATCH($B200,상담데이터입력!$A$3:$A$502,0)),""))</f>
        <v/>
      </c>
      <c r="D200" s="119" t="str">
        <f>IF($B200="","",IFERROR(INDEX(상담데이터입력!$S$3:$S$502,MATCH($B200,상담데이터입력!$A$3:$A$502,0)),""))</f>
        <v/>
      </c>
      <c r="E200" s="121"/>
      <c r="F200" s="122"/>
      <c r="G200" s="123"/>
      <c r="H200" s="123"/>
      <c r="I200" s="124"/>
      <c r="J200" s="125" t="str">
        <f t="shared" si="6"/>
        <v/>
      </c>
      <c r="K200" s="119" t="str">
        <f t="shared" si="7"/>
        <v/>
      </c>
    </row>
    <row r="201" spans="1:11" ht="15" customHeight="1">
      <c r="A201" s="119" t="str">
        <f>IF($B201="","",IFERROR(INDEX(상담데이터입력!$BH$3:$BH$502,MATCH($B201,상담데이터입력!$A$3:$A$502,0)),""))</f>
        <v/>
      </c>
      <c r="B201" s="120"/>
      <c r="C201" s="119" t="str">
        <f>IF($B201="","",IFERROR(INDEX(상담데이터입력!$D$3:$D$502,MATCH($B201,상담데이터입력!$A$3:$A$502,0)),""))</f>
        <v/>
      </c>
      <c r="D201" s="119" t="str">
        <f>IF($B201="","",IFERROR(INDEX(상담데이터입력!$S$3:$S$502,MATCH($B201,상담데이터입력!$A$3:$A$502,0)),""))</f>
        <v/>
      </c>
      <c r="E201" s="121"/>
      <c r="F201" s="122"/>
      <c r="G201" s="123"/>
      <c r="H201" s="123"/>
      <c r="I201" s="124"/>
      <c r="J201" s="125" t="str">
        <f t="shared" si="6"/>
        <v/>
      </c>
      <c r="K201" s="119" t="str">
        <f t="shared" si="7"/>
        <v/>
      </c>
    </row>
    <row r="202" spans="1:11" ht="15" customHeight="1">
      <c r="A202" s="119" t="str">
        <f>IF($B202="","",IFERROR(INDEX(상담데이터입력!$BH$3:$BH$502,MATCH($B202,상담데이터입력!$A$3:$A$502,0)),""))</f>
        <v/>
      </c>
      <c r="B202" s="120"/>
      <c r="C202" s="119" t="str">
        <f>IF($B202="","",IFERROR(INDEX(상담데이터입력!$D$3:$D$502,MATCH($B202,상담데이터입력!$A$3:$A$502,0)),""))</f>
        <v/>
      </c>
      <c r="D202" s="119" t="str">
        <f>IF($B202="","",IFERROR(INDEX(상담데이터입력!$S$3:$S$502,MATCH($B202,상담데이터입력!$A$3:$A$502,0)),""))</f>
        <v/>
      </c>
      <c r="E202" s="121"/>
      <c r="F202" s="122"/>
      <c r="G202" s="123"/>
      <c r="H202" s="123"/>
      <c r="I202" s="124"/>
      <c r="J202" s="125" t="str">
        <f t="shared" si="6"/>
        <v/>
      </c>
      <c r="K202" s="119" t="str">
        <f t="shared" si="7"/>
        <v/>
      </c>
    </row>
    <row r="203" spans="1:11" ht="15" customHeight="1">
      <c r="A203" s="119" t="str">
        <f>IF($B203="","",IFERROR(INDEX(상담데이터입력!$BH$3:$BH$502,MATCH($B203,상담데이터입력!$A$3:$A$502,0)),""))</f>
        <v/>
      </c>
      <c r="B203" s="120"/>
      <c r="C203" s="119" t="str">
        <f>IF($B203="","",IFERROR(INDEX(상담데이터입력!$D$3:$D$502,MATCH($B203,상담데이터입력!$A$3:$A$502,0)),""))</f>
        <v/>
      </c>
      <c r="D203" s="119" t="str">
        <f>IF($B203="","",IFERROR(INDEX(상담데이터입력!$S$3:$S$502,MATCH($B203,상담데이터입력!$A$3:$A$502,0)),""))</f>
        <v/>
      </c>
      <c r="E203" s="121"/>
      <c r="F203" s="122"/>
      <c r="G203" s="123"/>
      <c r="H203" s="123"/>
      <c r="I203" s="124"/>
      <c r="J203" s="125" t="str">
        <f t="shared" si="6"/>
        <v/>
      </c>
      <c r="K203" s="119" t="str">
        <f t="shared" si="7"/>
        <v/>
      </c>
    </row>
    <row r="204" spans="1:11" ht="15" customHeight="1">
      <c r="A204" s="119" t="str">
        <f>IF($B204="","",IFERROR(INDEX(상담데이터입력!$BH$3:$BH$502,MATCH($B204,상담데이터입력!$A$3:$A$502,0)),""))</f>
        <v/>
      </c>
      <c r="B204" s="120"/>
      <c r="C204" s="119" t="str">
        <f>IF($B204="","",IFERROR(INDEX(상담데이터입력!$D$3:$D$502,MATCH($B204,상담데이터입력!$A$3:$A$502,0)),""))</f>
        <v/>
      </c>
      <c r="D204" s="119" t="str">
        <f>IF($B204="","",IFERROR(INDEX(상담데이터입력!$S$3:$S$502,MATCH($B204,상담데이터입력!$A$3:$A$502,0)),""))</f>
        <v/>
      </c>
      <c r="E204" s="121"/>
      <c r="F204" s="122"/>
      <c r="G204" s="123"/>
      <c r="H204" s="123"/>
      <c r="I204" s="124"/>
      <c r="J204" s="125" t="str">
        <f t="shared" si="6"/>
        <v/>
      </c>
      <c r="K204" s="119" t="str">
        <f t="shared" si="7"/>
        <v/>
      </c>
    </row>
    <row r="205" spans="1:11" ht="15" customHeight="1">
      <c r="A205" s="119" t="str">
        <f>IF($B205="","",IFERROR(INDEX(상담데이터입력!$BH$3:$BH$502,MATCH($B205,상담데이터입력!$A$3:$A$502,0)),""))</f>
        <v/>
      </c>
      <c r="B205" s="120"/>
      <c r="C205" s="119" t="str">
        <f>IF($B205="","",IFERROR(INDEX(상담데이터입력!$D$3:$D$502,MATCH($B205,상담데이터입력!$A$3:$A$502,0)),""))</f>
        <v/>
      </c>
      <c r="D205" s="119" t="str">
        <f>IF($B205="","",IFERROR(INDEX(상담데이터입력!$S$3:$S$502,MATCH($B205,상담데이터입력!$A$3:$A$502,0)),""))</f>
        <v/>
      </c>
      <c r="E205" s="121"/>
      <c r="F205" s="122"/>
      <c r="G205" s="123"/>
      <c r="H205" s="123"/>
      <c r="I205" s="124"/>
      <c r="J205" s="125" t="str">
        <f t="shared" si="6"/>
        <v/>
      </c>
      <c r="K205" s="119" t="str">
        <f t="shared" si="7"/>
        <v/>
      </c>
    </row>
    <row r="206" spans="1:11" ht="15" customHeight="1">
      <c r="A206" s="119" t="str">
        <f>IF($B206="","",IFERROR(INDEX(상담데이터입력!$BH$3:$BH$502,MATCH($B206,상담데이터입력!$A$3:$A$502,0)),""))</f>
        <v/>
      </c>
      <c r="B206" s="120"/>
      <c r="C206" s="119" t="str">
        <f>IF($B206="","",IFERROR(INDEX(상담데이터입력!$D$3:$D$502,MATCH($B206,상담데이터입력!$A$3:$A$502,0)),""))</f>
        <v/>
      </c>
      <c r="D206" s="119" t="str">
        <f>IF($B206="","",IFERROR(INDEX(상담데이터입력!$S$3:$S$502,MATCH($B206,상담데이터입력!$A$3:$A$502,0)),""))</f>
        <v/>
      </c>
      <c r="E206" s="121"/>
      <c r="F206" s="122"/>
      <c r="G206" s="123"/>
      <c r="H206" s="123"/>
      <c r="I206" s="124"/>
      <c r="J206" s="125" t="str">
        <f t="shared" si="6"/>
        <v/>
      </c>
      <c r="K206" s="119" t="str">
        <f t="shared" si="7"/>
        <v/>
      </c>
    </row>
    <row r="207" spans="1:11" ht="15" customHeight="1">
      <c r="A207" s="119" t="str">
        <f>IF($B207="","",IFERROR(INDEX(상담데이터입력!$BH$3:$BH$502,MATCH($B207,상담데이터입력!$A$3:$A$502,0)),""))</f>
        <v/>
      </c>
      <c r="B207" s="120"/>
      <c r="C207" s="119" t="str">
        <f>IF($B207="","",IFERROR(INDEX(상담데이터입력!$D$3:$D$502,MATCH($B207,상담데이터입력!$A$3:$A$502,0)),""))</f>
        <v/>
      </c>
      <c r="D207" s="119" t="str">
        <f>IF($B207="","",IFERROR(INDEX(상담데이터입력!$S$3:$S$502,MATCH($B207,상담데이터입력!$A$3:$A$502,0)),""))</f>
        <v/>
      </c>
      <c r="E207" s="121"/>
      <c r="F207" s="122"/>
      <c r="G207" s="123"/>
      <c r="H207" s="123"/>
      <c r="I207" s="124"/>
      <c r="J207" s="125" t="str">
        <f t="shared" si="6"/>
        <v/>
      </c>
      <c r="K207" s="119" t="str">
        <f t="shared" si="7"/>
        <v/>
      </c>
    </row>
    <row r="208" spans="1:11" ht="15" customHeight="1">
      <c r="A208" s="119" t="str">
        <f>IF($B208="","",IFERROR(INDEX(상담데이터입력!$BH$3:$BH$502,MATCH($B208,상담데이터입력!$A$3:$A$502,0)),""))</f>
        <v/>
      </c>
      <c r="B208" s="120"/>
      <c r="C208" s="119" t="str">
        <f>IF($B208="","",IFERROR(INDEX(상담데이터입력!$D$3:$D$502,MATCH($B208,상담데이터입력!$A$3:$A$502,0)),""))</f>
        <v/>
      </c>
      <c r="D208" s="119" t="str">
        <f>IF($B208="","",IFERROR(INDEX(상담데이터입력!$S$3:$S$502,MATCH($B208,상담데이터입력!$A$3:$A$502,0)),""))</f>
        <v/>
      </c>
      <c r="E208" s="121"/>
      <c r="F208" s="122"/>
      <c r="G208" s="123"/>
      <c r="H208" s="123"/>
      <c r="I208" s="124"/>
      <c r="J208" s="125" t="str">
        <f t="shared" si="6"/>
        <v/>
      </c>
      <c r="K208" s="119" t="str">
        <f t="shared" si="7"/>
        <v/>
      </c>
    </row>
    <row r="209" spans="1:11" ht="15" customHeight="1">
      <c r="A209" s="119" t="str">
        <f>IF($B209="","",IFERROR(INDEX(상담데이터입력!$BH$3:$BH$502,MATCH($B209,상담데이터입력!$A$3:$A$502,0)),""))</f>
        <v/>
      </c>
      <c r="B209" s="120"/>
      <c r="C209" s="119" t="str">
        <f>IF($B209="","",IFERROR(INDEX(상담데이터입력!$D$3:$D$502,MATCH($B209,상담데이터입력!$A$3:$A$502,0)),""))</f>
        <v/>
      </c>
      <c r="D209" s="119" t="str">
        <f>IF($B209="","",IFERROR(INDEX(상담데이터입력!$S$3:$S$502,MATCH($B209,상담데이터입력!$A$3:$A$502,0)),""))</f>
        <v/>
      </c>
      <c r="E209" s="121"/>
      <c r="F209" s="122"/>
      <c r="G209" s="123"/>
      <c r="H209" s="123"/>
      <c r="I209" s="124"/>
      <c r="J209" s="125" t="str">
        <f t="shared" si="6"/>
        <v/>
      </c>
      <c r="K209" s="119" t="str">
        <f t="shared" si="7"/>
        <v/>
      </c>
    </row>
    <row r="210" spans="1:11" ht="15" customHeight="1">
      <c r="A210" s="119" t="str">
        <f>IF($B210="","",IFERROR(INDEX(상담데이터입력!$BH$3:$BH$502,MATCH($B210,상담데이터입력!$A$3:$A$502,0)),""))</f>
        <v/>
      </c>
      <c r="B210" s="120"/>
      <c r="C210" s="119" t="str">
        <f>IF($B210="","",IFERROR(INDEX(상담데이터입력!$D$3:$D$502,MATCH($B210,상담데이터입력!$A$3:$A$502,0)),""))</f>
        <v/>
      </c>
      <c r="D210" s="119" t="str">
        <f>IF($B210="","",IFERROR(INDEX(상담데이터입력!$S$3:$S$502,MATCH($B210,상담데이터입력!$A$3:$A$502,0)),""))</f>
        <v/>
      </c>
      <c r="E210" s="121"/>
      <c r="F210" s="122"/>
      <c r="G210" s="123"/>
      <c r="H210" s="123"/>
      <c r="I210" s="124"/>
      <c r="J210" s="125" t="str">
        <f t="shared" si="6"/>
        <v/>
      </c>
      <c r="K210" s="119" t="str">
        <f t="shared" si="7"/>
        <v/>
      </c>
    </row>
    <row r="211" spans="1:11" ht="15" customHeight="1">
      <c r="A211" s="119" t="str">
        <f>IF($B211="","",IFERROR(INDEX(상담데이터입력!$BH$3:$BH$502,MATCH($B211,상담데이터입력!$A$3:$A$502,0)),""))</f>
        <v/>
      </c>
      <c r="B211" s="120"/>
      <c r="C211" s="119" t="str">
        <f>IF($B211="","",IFERROR(INDEX(상담데이터입력!$D$3:$D$502,MATCH($B211,상담데이터입력!$A$3:$A$502,0)),""))</f>
        <v/>
      </c>
      <c r="D211" s="119" t="str">
        <f>IF($B211="","",IFERROR(INDEX(상담데이터입력!$S$3:$S$502,MATCH($B211,상담데이터입력!$A$3:$A$502,0)),""))</f>
        <v/>
      </c>
      <c r="E211" s="121"/>
      <c r="F211" s="122"/>
      <c r="G211" s="123"/>
      <c r="H211" s="123"/>
      <c r="I211" s="124"/>
      <c r="J211" s="125" t="str">
        <f t="shared" si="6"/>
        <v/>
      </c>
      <c r="K211" s="119" t="str">
        <f t="shared" si="7"/>
        <v/>
      </c>
    </row>
    <row r="212" spans="1:11" ht="15" customHeight="1">
      <c r="A212" s="119" t="str">
        <f>IF($B212="","",IFERROR(INDEX(상담데이터입력!$BH$3:$BH$502,MATCH($B212,상담데이터입력!$A$3:$A$502,0)),""))</f>
        <v/>
      </c>
      <c r="B212" s="120"/>
      <c r="C212" s="119" t="str">
        <f>IF($B212="","",IFERROR(INDEX(상담데이터입력!$D$3:$D$502,MATCH($B212,상담데이터입력!$A$3:$A$502,0)),""))</f>
        <v/>
      </c>
      <c r="D212" s="119" t="str">
        <f>IF($B212="","",IFERROR(INDEX(상담데이터입력!$S$3:$S$502,MATCH($B212,상담데이터입력!$A$3:$A$502,0)),""))</f>
        <v/>
      </c>
      <c r="E212" s="121"/>
      <c r="F212" s="122"/>
      <c r="G212" s="123"/>
      <c r="H212" s="123"/>
      <c r="I212" s="124"/>
      <c r="J212" s="125" t="str">
        <f t="shared" si="6"/>
        <v/>
      </c>
      <c r="K212" s="119" t="str">
        <f t="shared" si="7"/>
        <v/>
      </c>
    </row>
    <row r="213" spans="1:11" ht="15" customHeight="1">
      <c r="A213" s="119" t="str">
        <f>IF($B213="","",IFERROR(INDEX(상담데이터입력!$BH$3:$BH$502,MATCH($B213,상담데이터입력!$A$3:$A$502,0)),""))</f>
        <v/>
      </c>
      <c r="B213" s="120"/>
      <c r="C213" s="119" t="str">
        <f>IF($B213="","",IFERROR(INDEX(상담데이터입력!$D$3:$D$502,MATCH($B213,상담데이터입력!$A$3:$A$502,0)),""))</f>
        <v/>
      </c>
      <c r="D213" s="119" t="str">
        <f>IF($B213="","",IFERROR(INDEX(상담데이터입력!$S$3:$S$502,MATCH($B213,상담데이터입력!$A$3:$A$502,0)),""))</f>
        <v/>
      </c>
      <c r="E213" s="121"/>
      <c r="F213" s="122"/>
      <c r="G213" s="123"/>
      <c r="H213" s="123"/>
      <c r="I213" s="124"/>
      <c r="J213" s="125" t="str">
        <f t="shared" si="6"/>
        <v/>
      </c>
      <c r="K213" s="119" t="str">
        <f t="shared" si="7"/>
        <v/>
      </c>
    </row>
    <row r="214" spans="1:11" ht="15" customHeight="1">
      <c r="A214" s="119" t="str">
        <f>IF($B214="","",IFERROR(INDEX(상담데이터입력!$BH$3:$BH$502,MATCH($B214,상담데이터입력!$A$3:$A$502,0)),""))</f>
        <v/>
      </c>
      <c r="B214" s="120"/>
      <c r="C214" s="119" t="str">
        <f>IF($B214="","",IFERROR(INDEX(상담데이터입력!$D$3:$D$502,MATCH($B214,상담데이터입력!$A$3:$A$502,0)),""))</f>
        <v/>
      </c>
      <c r="D214" s="119" t="str">
        <f>IF($B214="","",IFERROR(INDEX(상담데이터입력!$S$3:$S$502,MATCH($B214,상담데이터입력!$A$3:$A$502,0)),""))</f>
        <v/>
      </c>
      <c r="E214" s="121"/>
      <c r="F214" s="122"/>
      <c r="G214" s="123"/>
      <c r="H214" s="123"/>
      <c r="I214" s="124"/>
      <c r="J214" s="125" t="str">
        <f t="shared" si="6"/>
        <v/>
      </c>
      <c r="K214" s="119" t="str">
        <f t="shared" si="7"/>
        <v/>
      </c>
    </row>
    <row r="215" spans="1:11" ht="15" customHeight="1">
      <c r="A215" s="119" t="str">
        <f>IF($B215="","",IFERROR(INDEX(상담데이터입력!$BH$3:$BH$502,MATCH($B215,상담데이터입력!$A$3:$A$502,0)),""))</f>
        <v/>
      </c>
      <c r="B215" s="120"/>
      <c r="C215" s="119" t="str">
        <f>IF($B215="","",IFERROR(INDEX(상담데이터입력!$D$3:$D$502,MATCH($B215,상담데이터입력!$A$3:$A$502,0)),""))</f>
        <v/>
      </c>
      <c r="D215" s="119" t="str">
        <f>IF($B215="","",IFERROR(INDEX(상담데이터입력!$S$3:$S$502,MATCH($B215,상담데이터입력!$A$3:$A$502,0)),""))</f>
        <v/>
      </c>
      <c r="E215" s="121"/>
      <c r="F215" s="122"/>
      <c r="G215" s="123"/>
      <c r="H215" s="123"/>
      <c r="I215" s="124"/>
      <c r="J215" s="125" t="str">
        <f t="shared" si="6"/>
        <v/>
      </c>
      <c r="K215" s="119" t="str">
        <f t="shared" si="7"/>
        <v/>
      </c>
    </row>
    <row r="216" spans="1:11" ht="15" customHeight="1">
      <c r="A216" s="119" t="str">
        <f>IF($B216="","",IFERROR(INDEX(상담데이터입력!$BH$3:$BH$502,MATCH($B216,상담데이터입력!$A$3:$A$502,0)),""))</f>
        <v/>
      </c>
      <c r="B216" s="120"/>
      <c r="C216" s="119" t="str">
        <f>IF($B216="","",IFERROR(INDEX(상담데이터입력!$D$3:$D$502,MATCH($B216,상담데이터입력!$A$3:$A$502,0)),""))</f>
        <v/>
      </c>
      <c r="D216" s="119" t="str">
        <f>IF($B216="","",IFERROR(INDEX(상담데이터입력!$S$3:$S$502,MATCH($B216,상담데이터입력!$A$3:$A$502,0)),""))</f>
        <v/>
      </c>
      <c r="E216" s="121"/>
      <c r="F216" s="122"/>
      <c r="G216" s="123"/>
      <c r="H216" s="123"/>
      <c r="I216" s="124"/>
      <c r="J216" s="125" t="str">
        <f t="shared" si="6"/>
        <v/>
      </c>
      <c r="K216" s="119" t="str">
        <f t="shared" si="7"/>
        <v/>
      </c>
    </row>
    <row r="217" spans="1:11" ht="15" customHeight="1">
      <c r="A217" s="119" t="str">
        <f>IF($B217="","",IFERROR(INDEX(상담데이터입력!$BH$3:$BH$502,MATCH($B217,상담데이터입력!$A$3:$A$502,0)),""))</f>
        <v/>
      </c>
      <c r="B217" s="120"/>
      <c r="C217" s="119" t="str">
        <f>IF($B217="","",IFERROR(INDEX(상담데이터입력!$D$3:$D$502,MATCH($B217,상담데이터입력!$A$3:$A$502,0)),""))</f>
        <v/>
      </c>
      <c r="D217" s="119" t="str">
        <f>IF($B217="","",IFERROR(INDEX(상담데이터입력!$S$3:$S$502,MATCH($B217,상담데이터입력!$A$3:$A$502,0)),""))</f>
        <v/>
      </c>
      <c r="E217" s="121"/>
      <c r="F217" s="122"/>
      <c r="G217" s="123"/>
      <c r="H217" s="123"/>
      <c r="I217" s="124"/>
      <c r="J217" s="125" t="str">
        <f t="shared" si="6"/>
        <v/>
      </c>
      <c r="K217" s="119" t="str">
        <f t="shared" si="7"/>
        <v/>
      </c>
    </row>
    <row r="218" spans="1:11" ht="15" customHeight="1">
      <c r="A218" s="119" t="str">
        <f>IF($B218="","",IFERROR(INDEX(상담데이터입력!$BH$3:$BH$502,MATCH($B218,상담데이터입력!$A$3:$A$502,0)),""))</f>
        <v/>
      </c>
      <c r="B218" s="120"/>
      <c r="C218" s="119" t="str">
        <f>IF($B218="","",IFERROR(INDEX(상담데이터입력!$D$3:$D$502,MATCH($B218,상담데이터입력!$A$3:$A$502,0)),""))</f>
        <v/>
      </c>
      <c r="D218" s="119" t="str">
        <f>IF($B218="","",IFERROR(INDEX(상담데이터입력!$S$3:$S$502,MATCH($B218,상담데이터입력!$A$3:$A$502,0)),""))</f>
        <v/>
      </c>
      <c r="E218" s="121"/>
      <c r="F218" s="122"/>
      <c r="G218" s="123"/>
      <c r="H218" s="123"/>
      <c r="I218" s="124"/>
      <c r="J218" s="125" t="str">
        <f t="shared" si="6"/>
        <v/>
      </c>
      <c r="K218" s="119" t="str">
        <f t="shared" si="7"/>
        <v/>
      </c>
    </row>
    <row r="219" spans="1:11" ht="15" customHeight="1">
      <c r="A219" s="119" t="str">
        <f>IF($B219="","",IFERROR(INDEX(상담데이터입력!$BH$3:$BH$502,MATCH($B219,상담데이터입력!$A$3:$A$502,0)),""))</f>
        <v/>
      </c>
      <c r="B219" s="120"/>
      <c r="C219" s="119" t="str">
        <f>IF($B219="","",IFERROR(INDEX(상담데이터입력!$D$3:$D$502,MATCH($B219,상담데이터입력!$A$3:$A$502,0)),""))</f>
        <v/>
      </c>
      <c r="D219" s="119" t="str">
        <f>IF($B219="","",IFERROR(INDEX(상담데이터입력!$S$3:$S$502,MATCH($B219,상담데이터입력!$A$3:$A$502,0)),""))</f>
        <v/>
      </c>
      <c r="E219" s="121"/>
      <c r="F219" s="122"/>
      <c r="G219" s="123"/>
      <c r="H219" s="123"/>
      <c r="I219" s="124"/>
      <c r="J219" s="125" t="str">
        <f t="shared" si="6"/>
        <v/>
      </c>
      <c r="K219" s="119" t="str">
        <f t="shared" si="7"/>
        <v/>
      </c>
    </row>
    <row r="220" spans="1:11" ht="15" customHeight="1">
      <c r="A220" s="119" t="str">
        <f>IF($B220="","",IFERROR(INDEX(상담데이터입력!$BH$3:$BH$502,MATCH($B220,상담데이터입력!$A$3:$A$502,0)),""))</f>
        <v/>
      </c>
      <c r="B220" s="120"/>
      <c r="C220" s="119" t="str">
        <f>IF($B220="","",IFERROR(INDEX(상담데이터입력!$D$3:$D$502,MATCH($B220,상담데이터입력!$A$3:$A$502,0)),""))</f>
        <v/>
      </c>
      <c r="D220" s="119" t="str">
        <f>IF($B220="","",IFERROR(INDEX(상담데이터입력!$S$3:$S$502,MATCH($B220,상담데이터입력!$A$3:$A$502,0)),""))</f>
        <v/>
      </c>
      <c r="E220" s="121"/>
      <c r="F220" s="122"/>
      <c r="G220" s="123"/>
      <c r="H220" s="123"/>
      <c r="I220" s="124"/>
      <c r="J220" s="125" t="str">
        <f t="shared" si="6"/>
        <v/>
      </c>
      <c r="K220" s="119" t="str">
        <f t="shared" si="7"/>
        <v/>
      </c>
    </row>
    <row r="221" spans="1:11" ht="15" customHeight="1">
      <c r="A221" s="119" t="str">
        <f>IF($B221="","",IFERROR(INDEX(상담데이터입력!$BH$3:$BH$502,MATCH($B221,상담데이터입력!$A$3:$A$502,0)),""))</f>
        <v/>
      </c>
      <c r="B221" s="120"/>
      <c r="C221" s="119" t="str">
        <f>IF($B221="","",IFERROR(INDEX(상담데이터입력!$D$3:$D$502,MATCH($B221,상담데이터입력!$A$3:$A$502,0)),""))</f>
        <v/>
      </c>
      <c r="D221" s="119" t="str">
        <f>IF($B221="","",IFERROR(INDEX(상담데이터입력!$S$3:$S$502,MATCH($B221,상담데이터입력!$A$3:$A$502,0)),""))</f>
        <v/>
      </c>
      <c r="E221" s="121"/>
      <c r="F221" s="122"/>
      <c r="G221" s="123"/>
      <c r="H221" s="123"/>
      <c r="I221" s="124"/>
      <c r="J221" s="125" t="str">
        <f t="shared" si="6"/>
        <v/>
      </c>
      <c r="K221" s="119" t="str">
        <f t="shared" si="7"/>
        <v/>
      </c>
    </row>
    <row r="222" spans="1:11" ht="15" customHeight="1">
      <c r="A222" s="119" t="str">
        <f>IF($B222="","",IFERROR(INDEX(상담데이터입력!$BH$3:$BH$502,MATCH($B222,상담데이터입력!$A$3:$A$502,0)),""))</f>
        <v/>
      </c>
      <c r="B222" s="120"/>
      <c r="C222" s="119" t="str">
        <f>IF($B222="","",IFERROR(INDEX(상담데이터입력!$D$3:$D$502,MATCH($B222,상담데이터입력!$A$3:$A$502,0)),""))</f>
        <v/>
      </c>
      <c r="D222" s="119" t="str">
        <f>IF($B222="","",IFERROR(INDEX(상담데이터입력!$S$3:$S$502,MATCH($B222,상담데이터입력!$A$3:$A$502,0)),""))</f>
        <v/>
      </c>
      <c r="E222" s="121"/>
      <c r="F222" s="122"/>
      <c r="G222" s="123"/>
      <c r="H222" s="123"/>
      <c r="I222" s="124"/>
      <c r="J222" s="125" t="str">
        <f t="shared" si="6"/>
        <v/>
      </c>
      <c r="K222" s="119" t="str">
        <f t="shared" si="7"/>
        <v/>
      </c>
    </row>
    <row r="223" spans="1:11" ht="15" customHeight="1">
      <c r="A223" s="119" t="str">
        <f>IF($B223="","",IFERROR(INDEX(상담데이터입력!$BH$3:$BH$502,MATCH($B223,상담데이터입력!$A$3:$A$502,0)),""))</f>
        <v/>
      </c>
      <c r="B223" s="120"/>
      <c r="C223" s="119" t="str">
        <f>IF($B223="","",IFERROR(INDEX(상담데이터입력!$D$3:$D$502,MATCH($B223,상담데이터입력!$A$3:$A$502,0)),""))</f>
        <v/>
      </c>
      <c r="D223" s="119" t="str">
        <f>IF($B223="","",IFERROR(INDEX(상담데이터입력!$S$3:$S$502,MATCH($B223,상담데이터입력!$A$3:$A$502,0)),""))</f>
        <v/>
      </c>
      <c r="E223" s="121"/>
      <c r="F223" s="122"/>
      <c r="G223" s="123"/>
      <c r="H223" s="123"/>
      <c r="I223" s="124"/>
      <c r="J223" s="125" t="str">
        <f t="shared" si="6"/>
        <v/>
      </c>
      <c r="K223" s="119" t="str">
        <f t="shared" si="7"/>
        <v/>
      </c>
    </row>
    <row r="224" spans="1:11" ht="15" customHeight="1">
      <c r="A224" s="119" t="str">
        <f>IF($B224="","",IFERROR(INDEX(상담데이터입력!$BH$3:$BH$502,MATCH($B224,상담데이터입력!$A$3:$A$502,0)),""))</f>
        <v/>
      </c>
      <c r="B224" s="120"/>
      <c r="C224" s="119" t="str">
        <f>IF($B224="","",IFERROR(INDEX(상담데이터입력!$D$3:$D$502,MATCH($B224,상담데이터입력!$A$3:$A$502,0)),""))</f>
        <v/>
      </c>
      <c r="D224" s="119" t="str">
        <f>IF($B224="","",IFERROR(INDEX(상담데이터입력!$S$3:$S$502,MATCH($B224,상담데이터입력!$A$3:$A$502,0)),""))</f>
        <v/>
      </c>
      <c r="E224" s="121"/>
      <c r="F224" s="122"/>
      <c r="G224" s="123"/>
      <c r="H224" s="123"/>
      <c r="I224" s="124"/>
      <c r="J224" s="125" t="str">
        <f t="shared" si="6"/>
        <v/>
      </c>
      <c r="K224" s="119" t="str">
        <f t="shared" si="7"/>
        <v/>
      </c>
    </row>
    <row r="225" spans="1:11" ht="15" customHeight="1">
      <c r="A225" s="119" t="str">
        <f>IF($B225="","",IFERROR(INDEX(상담데이터입력!$BH$3:$BH$502,MATCH($B225,상담데이터입력!$A$3:$A$502,0)),""))</f>
        <v/>
      </c>
      <c r="B225" s="120"/>
      <c r="C225" s="119" t="str">
        <f>IF($B225="","",IFERROR(INDEX(상담데이터입력!$D$3:$D$502,MATCH($B225,상담데이터입력!$A$3:$A$502,0)),""))</f>
        <v/>
      </c>
      <c r="D225" s="119" t="str">
        <f>IF($B225="","",IFERROR(INDEX(상담데이터입력!$S$3:$S$502,MATCH($B225,상담데이터입력!$A$3:$A$502,0)),""))</f>
        <v/>
      </c>
      <c r="E225" s="121"/>
      <c r="F225" s="122"/>
      <c r="G225" s="123"/>
      <c r="H225" s="123"/>
      <c r="I225" s="124"/>
      <c r="J225" s="125" t="str">
        <f t="shared" si="6"/>
        <v/>
      </c>
      <c r="K225" s="119" t="str">
        <f t="shared" si="7"/>
        <v/>
      </c>
    </row>
    <row r="226" spans="1:11" ht="15" customHeight="1">
      <c r="A226" s="119" t="str">
        <f>IF($B226="","",IFERROR(INDEX(상담데이터입력!$BH$3:$BH$502,MATCH($B226,상담데이터입력!$A$3:$A$502,0)),""))</f>
        <v/>
      </c>
      <c r="B226" s="120"/>
      <c r="C226" s="119" t="str">
        <f>IF($B226="","",IFERROR(INDEX(상담데이터입력!$D$3:$D$502,MATCH($B226,상담데이터입력!$A$3:$A$502,0)),""))</f>
        <v/>
      </c>
      <c r="D226" s="119" t="str">
        <f>IF($B226="","",IFERROR(INDEX(상담데이터입력!$S$3:$S$502,MATCH($B226,상담데이터입력!$A$3:$A$502,0)),""))</f>
        <v/>
      </c>
      <c r="E226" s="121"/>
      <c r="F226" s="122"/>
      <c r="G226" s="123"/>
      <c r="H226" s="123"/>
      <c r="I226" s="124"/>
      <c r="J226" s="125" t="str">
        <f t="shared" si="6"/>
        <v/>
      </c>
      <c r="K226" s="119" t="str">
        <f t="shared" si="7"/>
        <v/>
      </c>
    </row>
    <row r="227" spans="1:11" ht="15" customHeight="1">
      <c r="A227" s="119" t="str">
        <f>IF($B227="","",IFERROR(INDEX(상담데이터입력!$BH$3:$BH$502,MATCH($B227,상담데이터입력!$A$3:$A$502,0)),""))</f>
        <v/>
      </c>
      <c r="B227" s="120"/>
      <c r="C227" s="119" t="str">
        <f>IF($B227="","",IFERROR(INDEX(상담데이터입력!$D$3:$D$502,MATCH($B227,상담데이터입력!$A$3:$A$502,0)),""))</f>
        <v/>
      </c>
      <c r="D227" s="119" t="str">
        <f>IF($B227="","",IFERROR(INDEX(상담데이터입력!$S$3:$S$502,MATCH($B227,상담데이터입력!$A$3:$A$502,0)),""))</f>
        <v/>
      </c>
      <c r="E227" s="121"/>
      <c r="F227" s="122"/>
      <c r="G227" s="123"/>
      <c r="H227" s="123"/>
      <c r="I227" s="124"/>
      <c r="J227" s="125" t="str">
        <f t="shared" si="6"/>
        <v/>
      </c>
      <c r="K227" s="119" t="str">
        <f t="shared" si="7"/>
        <v/>
      </c>
    </row>
    <row r="228" spans="1:11" ht="15" customHeight="1">
      <c r="A228" s="119" t="str">
        <f>IF($B228="","",IFERROR(INDEX(상담데이터입력!$BH$3:$BH$502,MATCH($B228,상담데이터입력!$A$3:$A$502,0)),""))</f>
        <v/>
      </c>
      <c r="B228" s="120"/>
      <c r="C228" s="119" t="str">
        <f>IF($B228="","",IFERROR(INDEX(상담데이터입력!$D$3:$D$502,MATCH($B228,상담데이터입력!$A$3:$A$502,0)),""))</f>
        <v/>
      </c>
      <c r="D228" s="119" t="str">
        <f>IF($B228="","",IFERROR(INDEX(상담데이터입력!$S$3:$S$502,MATCH($B228,상담데이터입력!$A$3:$A$502,0)),""))</f>
        <v/>
      </c>
      <c r="E228" s="121"/>
      <c r="F228" s="122"/>
      <c r="G228" s="123"/>
      <c r="H228" s="123"/>
      <c r="I228" s="124"/>
      <c r="J228" s="125" t="str">
        <f t="shared" si="6"/>
        <v/>
      </c>
      <c r="K228" s="119" t="str">
        <f t="shared" si="7"/>
        <v/>
      </c>
    </row>
    <row r="229" spans="1:11" ht="15" customHeight="1">
      <c r="A229" s="119" t="str">
        <f>IF($B229="","",IFERROR(INDEX(상담데이터입력!$BH$3:$BH$502,MATCH($B229,상담데이터입력!$A$3:$A$502,0)),""))</f>
        <v/>
      </c>
      <c r="B229" s="120"/>
      <c r="C229" s="119" t="str">
        <f>IF($B229="","",IFERROR(INDEX(상담데이터입력!$D$3:$D$502,MATCH($B229,상담데이터입력!$A$3:$A$502,0)),""))</f>
        <v/>
      </c>
      <c r="D229" s="119" t="str">
        <f>IF($B229="","",IFERROR(INDEX(상담데이터입력!$S$3:$S$502,MATCH($B229,상담데이터입력!$A$3:$A$502,0)),""))</f>
        <v/>
      </c>
      <c r="E229" s="121"/>
      <c r="F229" s="122"/>
      <c r="G229" s="123"/>
      <c r="H229" s="123"/>
      <c r="I229" s="124"/>
      <c r="J229" s="125" t="str">
        <f t="shared" si="6"/>
        <v/>
      </c>
      <c r="K229" s="119" t="str">
        <f t="shared" si="7"/>
        <v/>
      </c>
    </row>
    <row r="230" spans="1:11" ht="15" customHeight="1">
      <c r="A230" s="119" t="str">
        <f>IF($B230="","",IFERROR(INDEX(상담데이터입력!$BH$3:$BH$502,MATCH($B230,상담데이터입력!$A$3:$A$502,0)),""))</f>
        <v/>
      </c>
      <c r="B230" s="120"/>
      <c r="C230" s="119" t="str">
        <f>IF($B230="","",IFERROR(INDEX(상담데이터입력!$D$3:$D$502,MATCH($B230,상담데이터입력!$A$3:$A$502,0)),""))</f>
        <v/>
      </c>
      <c r="D230" s="119" t="str">
        <f>IF($B230="","",IFERROR(INDEX(상담데이터입력!$S$3:$S$502,MATCH($B230,상담데이터입력!$A$3:$A$502,0)),""))</f>
        <v/>
      </c>
      <c r="E230" s="121"/>
      <c r="F230" s="122"/>
      <c r="G230" s="123"/>
      <c r="H230" s="123"/>
      <c r="I230" s="124"/>
      <c r="J230" s="125" t="str">
        <f t="shared" si="6"/>
        <v/>
      </c>
      <c r="K230" s="119" t="str">
        <f t="shared" si="7"/>
        <v/>
      </c>
    </row>
    <row r="231" spans="1:11" ht="15" customHeight="1">
      <c r="A231" s="119" t="str">
        <f>IF($B231="","",IFERROR(INDEX(상담데이터입력!$BH$3:$BH$502,MATCH($B231,상담데이터입력!$A$3:$A$502,0)),""))</f>
        <v/>
      </c>
      <c r="B231" s="120"/>
      <c r="C231" s="119" t="str">
        <f>IF($B231="","",IFERROR(INDEX(상담데이터입력!$D$3:$D$502,MATCH($B231,상담데이터입력!$A$3:$A$502,0)),""))</f>
        <v/>
      </c>
      <c r="D231" s="119" t="str">
        <f>IF($B231="","",IFERROR(INDEX(상담데이터입력!$S$3:$S$502,MATCH($B231,상담데이터입력!$A$3:$A$502,0)),""))</f>
        <v/>
      </c>
      <c r="E231" s="121"/>
      <c r="F231" s="122"/>
      <c r="G231" s="123"/>
      <c r="H231" s="123"/>
      <c r="I231" s="124"/>
      <c r="J231" s="125" t="str">
        <f t="shared" si="6"/>
        <v/>
      </c>
      <c r="K231" s="119" t="str">
        <f t="shared" si="7"/>
        <v/>
      </c>
    </row>
    <row r="232" spans="1:11" ht="15" customHeight="1">
      <c r="A232" s="119" t="str">
        <f>IF($B232="","",IFERROR(INDEX(상담데이터입력!$BH$3:$BH$502,MATCH($B232,상담데이터입력!$A$3:$A$502,0)),""))</f>
        <v/>
      </c>
      <c r="B232" s="120"/>
      <c r="C232" s="119" t="str">
        <f>IF($B232="","",IFERROR(INDEX(상담데이터입력!$D$3:$D$502,MATCH($B232,상담데이터입력!$A$3:$A$502,0)),""))</f>
        <v/>
      </c>
      <c r="D232" s="119" t="str">
        <f>IF($B232="","",IFERROR(INDEX(상담데이터입력!$S$3:$S$502,MATCH($B232,상담데이터입력!$A$3:$A$502,0)),""))</f>
        <v/>
      </c>
      <c r="E232" s="121"/>
      <c r="F232" s="122"/>
      <c r="G232" s="123"/>
      <c r="H232" s="123"/>
      <c r="I232" s="124"/>
      <c r="J232" s="125" t="str">
        <f t="shared" si="6"/>
        <v/>
      </c>
      <c r="K232" s="119" t="str">
        <f t="shared" si="7"/>
        <v/>
      </c>
    </row>
    <row r="233" spans="1:11" ht="15" customHeight="1">
      <c r="A233" s="119" t="str">
        <f>IF($B233="","",IFERROR(INDEX(상담데이터입력!$BH$3:$BH$502,MATCH($B233,상담데이터입력!$A$3:$A$502,0)),""))</f>
        <v/>
      </c>
      <c r="B233" s="120"/>
      <c r="C233" s="119" t="str">
        <f>IF($B233="","",IFERROR(INDEX(상담데이터입력!$D$3:$D$502,MATCH($B233,상담데이터입력!$A$3:$A$502,0)),""))</f>
        <v/>
      </c>
      <c r="D233" s="119" t="str">
        <f>IF($B233="","",IFERROR(INDEX(상담데이터입력!$S$3:$S$502,MATCH($B233,상담데이터입력!$A$3:$A$502,0)),""))</f>
        <v/>
      </c>
      <c r="E233" s="121"/>
      <c r="F233" s="122"/>
      <c r="G233" s="123"/>
      <c r="H233" s="123"/>
      <c r="I233" s="124"/>
      <c r="J233" s="125" t="str">
        <f t="shared" si="6"/>
        <v/>
      </c>
      <c r="K233" s="119" t="str">
        <f t="shared" si="7"/>
        <v/>
      </c>
    </row>
    <row r="234" spans="1:11" ht="15" customHeight="1">
      <c r="A234" s="119" t="str">
        <f>IF($B234="","",IFERROR(INDEX(상담데이터입력!$BH$3:$BH$502,MATCH($B234,상담데이터입력!$A$3:$A$502,0)),""))</f>
        <v/>
      </c>
      <c r="B234" s="120"/>
      <c r="C234" s="119" t="str">
        <f>IF($B234="","",IFERROR(INDEX(상담데이터입력!$D$3:$D$502,MATCH($B234,상담데이터입력!$A$3:$A$502,0)),""))</f>
        <v/>
      </c>
      <c r="D234" s="119" t="str">
        <f>IF($B234="","",IFERROR(INDEX(상담데이터입력!$S$3:$S$502,MATCH($B234,상담데이터입력!$A$3:$A$502,0)),""))</f>
        <v/>
      </c>
      <c r="E234" s="121"/>
      <c r="F234" s="122"/>
      <c r="G234" s="123"/>
      <c r="H234" s="123"/>
      <c r="I234" s="124"/>
      <c r="J234" s="125" t="str">
        <f t="shared" si="6"/>
        <v/>
      </c>
      <c r="K234" s="119" t="str">
        <f t="shared" si="7"/>
        <v/>
      </c>
    </row>
    <row r="235" spans="1:11" ht="15" customHeight="1">
      <c r="A235" s="119" t="str">
        <f>IF($B235="","",IFERROR(INDEX(상담데이터입력!$BH$3:$BH$502,MATCH($B235,상담데이터입력!$A$3:$A$502,0)),""))</f>
        <v/>
      </c>
      <c r="B235" s="120"/>
      <c r="C235" s="119" t="str">
        <f>IF($B235="","",IFERROR(INDEX(상담데이터입력!$D$3:$D$502,MATCH($B235,상담데이터입력!$A$3:$A$502,0)),""))</f>
        <v/>
      </c>
      <c r="D235" s="119" t="str">
        <f>IF($B235="","",IFERROR(INDEX(상담데이터입력!$S$3:$S$502,MATCH($B235,상담데이터입력!$A$3:$A$502,0)),""))</f>
        <v/>
      </c>
      <c r="E235" s="121"/>
      <c r="F235" s="122"/>
      <c r="G235" s="123"/>
      <c r="H235" s="123"/>
      <c r="I235" s="124"/>
      <c r="J235" s="125" t="str">
        <f t="shared" si="6"/>
        <v/>
      </c>
      <c r="K235" s="119" t="str">
        <f t="shared" si="7"/>
        <v/>
      </c>
    </row>
    <row r="236" spans="1:11" ht="15" customHeight="1">
      <c r="A236" s="119" t="str">
        <f>IF($B236="","",IFERROR(INDEX(상담데이터입력!$BH$3:$BH$502,MATCH($B236,상담데이터입력!$A$3:$A$502,0)),""))</f>
        <v/>
      </c>
      <c r="B236" s="120"/>
      <c r="C236" s="119" t="str">
        <f>IF($B236="","",IFERROR(INDEX(상담데이터입력!$D$3:$D$502,MATCH($B236,상담데이터입력!$A$3:$A$502,0)),""))</f>
        <v/>
      </c>
      <c r="D236" s="119" t="str">
        <f>IF($B236="","",IFERROR(INDEX(상담데이터입력!$S$3:$S$502,MATCH($B236,상담데이터입력!$A$3:$A$502,0)),""))</f>
        <v/>
      </c>
      <c r="E236" s="121"/>
      <c r="F236" s="122"/>
      <c r="G236" s="123"/>
      <c r="H236" s="123"/>
      <c r="I236" s="124"/>
      <c r="J236" s="125" t="str">
        <f t="shared" si="6"/>
        <v/>
      </c>
      <c r="K236" s="119" t="str">
        <f t="shared" si="7"/>
        <v/>
      </c>
    </row>
    <row r="237" spans="1:11" ht="15" customHeight="1">
      <c r="A237" s="119" t="str">
        <f>IF($B237="","",IFERROR(INDEX(상담데이터입력!$BH$3:$BH$502,MATCH($B237,상담데이터입력!$A$3:$A$502,0)),""))</f>
        <v/>
      </c>
      <c r="B237" s="120"/>
      <c r="C237" s="119" t="str">
        <f>IF($B237="","",IFERROR(INDEX(상담데이터입력!$D$3:$D$502,MATCH($B237,상담데이터입력!$A$3:$A$502,0)),""))</f>
        <v/>
      </c>
      <c r="D237" s="119" t="str">
        <f>IF($B237="","",IFERROR(INDEX(상담데이터입력!$S$3:$S$502,MATCH($B237,상담데이터입력!$A$3:$A$502,0)),""))</f>
        <v/>
      </c>
      <c r="E237" s="121"/>
      <c r="F237" s="122"/>
      <c r="G237" s="123"/>
      <c r="H237" s="123"/>
      <c r="I237" s="124"/>
      <c r="J237" s="125" t="str">
        <f t="shared" si="6"/>
        <v/>
      </c>
      <c r="K237" s="119" t="str">
        <f t="shared" si="7"/>
        <v/>
      </c>
    </row>
    <row r="238" spans="1:11" ht="15" customHeight="1">
      <c r="A238" s="119" t="str">
        <f>IF($B238="","",IFERROR(INDEX(상담데이터입력!$BH$3:$BH$502,MATCH($B238,상담데이터입력!$A$3:$A$502,0)),""))</f>
        <v/>
      </c>
      <c r="B238" s="120"/>
      <c r="C238" s="119" t="str">
        <f>IF($B238="","",IFERROR(INDEX(상담데이터입력!$D$3:$D$502,MATCH($B238,상담데이터입력!$A$3:$A$502,0)),""))</f>
        <v/>
      </c>
      <c r="D238" s="119" t="str">
        <f>IF($B238="","",IFERROR(INDEX(상담데이터입력!$S$3:$S$502,MATCH($B238,상담데이터입력!$A$3:$A$502,0)),""))</f>
        <v/>
      </c>
      <c r="E238" s="121"/>
      <c r="F238" s="122"/>
      <c r="G238" s="123"/>
      <c r="H238" s="123"/>
      <c r="I238" s="124"/>
      <c r="J238" s="125" t="str">
        <f t="shared" si="6"/>
        <v/>
      </c>
      <c r="K238" s="119" t="str">
        <f t="shared" si="7"/>
        <v/>
      </c>
    </row>
    <row r="239" spans="1:11" ht="15" customHeight="1">
      <c r="A239" s="119" t="str">
        <f>IF($B239="","",IFERROR(INDEX(상담데이터입력!$BH$3:$BH$502,MATCH($B239,상담데이터입력!$A$3:$A$502,0)),""))</f>
        <v/>
      </c>
      <c r="B239" s="120"/>
      <c r="C239" s="119" t="str">
        <f>IF($B239="","",IFERROR(INDEX(상담데이터입력!$D$3:$D$502,MATCH($B239,상담데이터입력!$A$3:$A$502,0)),""))</f>
        <v/>
      </c>
      <c r="D239" s="119" t="str">
        <f>IF($B239="","",IFERROR(INDEX(상담데이터입력!$S$3:$S$502,MATCH($B239,상담데이터입력!$A$3:$A$502,0)),""))</f>
        <v/>
      </c>
      <c r="E239" s="121"/>
      <c r="F239" s="122"/>
      <c r="G239" s="123"/>
      <c r="H239" s="123"/>
      <c r="I239" s="124"/>
      <c r="J239" s="125" t="str">
        <f t="shared" si="6"/>
        <v/>
      </c>
      <c r="K239" s="119" t="str">
        <f t="shared" si="7"/>
        <v/>
      </c>
    </row>
    <row r="240" spans="1:11" ht="15" customHeight="1">
      <c r="A240" s="119" t="str">
        <f>IF($B240="","",IFERROR(INDEX(상담데이터입력!$BH$3:$BH$502,MATCH($B240,상담데이터입력!$A$3:$A$502,0)),""))</f>
        <v/>
      </c>
      <c r="B240" s="120"/>
      <c r="C240" s="119" t="str">
        <f>IF($B240="","",IFERROR(INDEX(상담데이터입력!$D$3:$D$502,MATCH($B240,상담데이터입력!$A$3:$A$502,0)),""))</f>
        <v/>
      </c>
      <c r="D240" s="119" t="str">
        <f>IF($B240="","",IFERROR(INDEX(상담데이터입력!$S$3:$S$502,MATCH($B240,상담데이터입력!$A$3:$A$502,0)),""))</f>
        <v/>
      </c>
      <c r="E240" s="121"/>
      <c r="F240" s="122"/>
      <c r="G240" s="123"/>
      <c r="H240" s="123"/>
      <c r="I240" s="124"/>
      <c r="J240" s="125" t="str">
        <f t="shared" si="6"/>
        <v/>
      </c>
      <c r="K240" s="119" t="str">
        <f t="shared" si="7"/>
        <v/>
      </c>
    </row>
    <row r="241" spans="1:11" ht="15" customHeight="1">
      <c r="A241" s="119" t="str">
        <f>IF($B241="","",IFERROR(INDEX(상담데이터입력!$BH$3:$BH$502,MATCH($B241,상담데이터입력!$A$3:$A$502,0)),""))</f>
        <v/>
      </c>
      <c r="B241" s="120"/>
      <c r="C241" s="119" t="str">
        <f>IF($B241="","",IFERROR(INDEX(상담데이터입력!$D$3:$D$502,MATCH($B241,상담데이터입력!$A$3:$A$502,0)),""))</f>
        <v/>
      </c>
      <c r="D241" s="119" t="str">
        <f>IF($B241="","",IFERROR(INDEX(상담데이터입력!$S$3:$S$502,MATCH($B241,상담데이터입력!$A$3:$A$502,0)),""))</f>
        <v/>
      </c>
      <c r="E241" s="121"/>
      <c r="F241" s="122"/>
      <c r="G241" s="123"/>
      <c r="H241" s="123"/>
      <c r="I241" s="124"/>
      <c r="J241" s="125" t="str">
        <f t="shared" si="6"/>
        <v/>
      </c>
      <c r="K241" s="119" t="str">
        <f t="shared" si="7"/>
        <v/>
      </c>
    </row>
    <row r="242" spans="1:11" ht="15" customHeight="1">
      <c r="A242" s="119" t="str">
        <f>IF($B242="","",IFERROR(INDEX(상담데이터입력!$BH$3:$BH$502,MATCH($B242,상담데이터입력!$A$3:$A$502,0)),""))</f>
        <v/>
      </c>
      <c r="B242" s="120"/>
      <c r="C242" s="119" t="str">
        <f>IF($B242="","",IFERROR(INDEX(상담데이터입력!$D$3:$D$502,MATCH($B242,상담데이터입력!$A$3:$A$502,0)),""))</f>
        <v/>
      </c>
      <c r="D242" s="119" t="str">
        <f>IF($B242="","",IFERROR(INDEX(상담데이터입력!$S$3:$S$502,MATCH($B242,상담데이터입력!$A$3:$A$502,0)),""))</f>
        <v/>
      </c>
      <c r="E242" s="121"/>
      <c r="F242" s="122"/>
      <c r="G242" s="123"/>
      <c r="H242" s="123"/>
      <c r="I242" s="124"/>
      <c r="J242" s="125" t="str">
        <f t="shared" si="6"/>
        <v/>
      </c>
      <c r="K242" s="119" t="str">
        <f t="shared" si="7"/>
        <v/>
      </c>
    </row>
    <row r="243" spans="1:11" ht="15" customHeight="1">
      <c r="A243" s="119" t="str">
        <f>IF($B243="","",IFERROR(INDEX(상담데이터입력!$BH$3:$BH$502,MATCH($B243,상담데이터입력!$A$3:$A$502,0)),""))</f>
        <v/>
      </c>
      <c r="B243" s="120"/>
      <c r="C243" s="119" t="str">
        <f>IF($B243="","",IFERROR(INDEX(상담데이터입력!$D$3:$D$502,MATCH($B243,상담데이터입력!$A$3:$A$502,0)),""))</f>
        <v/>
      </c>
      <c r="D243" s="119" t="str">
        <f>IF($B243="","",IFERROR(INDEX(상담데이터입력!$S$3:$S$502,MATCH($B243,상담데이터입력!$A$3:$A$502,0)),""))</f>
        <v/>
      </c>
      <c r="E243" s="121"/>
      <c r="F243" s="122"/>
      <c r="G243" s="123"/>
      <c r="H243" s="123"/>
      <c r="I243" s="124"/>
      <c r="J243" s="125" t="str">
        <f t="shared" si="6"/>
        <v/>
      </c>
      <c r="K243" s="119" t="str">
        <f t="shared" si="7"/>
        <v/>
      </c>
    </row>
    <row r="244" spans="1:11" ht="15" customHeight="1">
      <c r="A244" s="119" t="str">
        <f>IF($B244="","",IFERROR(INDEX(상담데이터입력!$BH$3:$BH$502,MATCH($B244,상담데이터입력!$A$3:$A$502,0)),""))</f>
        <v/>
      </c>
      <c r="B244" s="120"/>
      <c r="C244" s="119" t="str">
        <f>IF($B244="","",IFERROR(INDEX(상담데이터입력!$D$3:$D$502,MATCH($B244,상담데이터입력!$A$3:$A$502,0)),""))</f>
        <v/>
      </c>
      <c r="D244" s="119" t="str">
        <f>IF($B244="","",IFERROR(INDEX(상담데이터입력!$S$3:$S$502,MATCH($B244,상담데이터입력!$A$3:$A$502,0)),""))</f>
        <v/>
      </c>
      <c r="E244" s="121"/>
      <c r="F244" s="122"/>
      <c r="G244" s="123"/>
      <c r="H244" s="123"/>
      <c r="I244" s="124"/>
      <c r="J244" s="125" t="str">
        <f t="shared" si="6"/>
        <v/>
      </c>
      <c r="K244" s="119" t="str">
        <f t="shared" si="7"/>
        <v/>
      </c>
    </row>
    <row r="245" spans="1:11" ht="15" customHeight="1">
      <c r="A245" s="119" t="str">
        <f>IF($B245="","",IFERROR(INDEX(상담데이터입력!$BH$3:$BH$502,MATCH($B245,상담데이터입력!$A$3:$A$502,0)),""))</f>
        <v/>
      </c>
      <c r="B245" s="120"/>
      <c r="C245" s="119" t="str">
        <f>IF($B245="","",IFERROR(INDEX(상담데이터입력!$D$3:$D$502,MATCH($B245,상담데이터입력!$A$3:$A$502,0)),""))</f>
        <v/>
      </c>
      <c r="D245" s="119" t="str">
        <f>IF($B245="","",IFERROR(INDEX(상담데이터입력!$S$3:$S$502,MATCH($B245,상담데이터입력!$A$3:$A$502,0)),""))</f>
        <v/>
      </c>
      <c r="E245" s="121"/>
      <c r="F245" s="122"/>
      <c r="G245" s="123"/>
      <c r="H245" s="123"/>
      <c r="I245" s="124"/>
      <c r="J245" s="125" t="str">
        <f t="shared" si="6"/>
        <v/>
      </c>
      <c r="K245" s="119" t="str">
        <f t="shared" si="7"/>
        <v/>
      </c>
    </row>
    <row r="246" spans="1:11" ht="15" customHeight="1">
      <c r="A246" s="119" t="str">
        <f>IF($B246="","",IFERROR(INDEX(상담데이터입력!$BH$3:$BH$502,MATCH($B246,상담데이터입력!$A$3:$A$502,0)),""))</f>
        <v/>
      </c>
      <c r="B246" s="120"/>
      <c r="C246" s="119" t="str">
        <f>IF($B246="","",IFERROR(INDEX(상담데이터입력!$D$3:$D$502,MATCH($B246,상담데이터입력!$A$3:$A$502,0)),""))</f>
        <v/>
      </c>
      <c r="D246" s="119" t="str">
        <f>IF($B246="","",IFERROR(INDEX(상담데이터입력!$S$3:$S$502,MATCH($B246,상담데이터입력!$A$3:$A$502,0)),""))</f>
        <v/>
      </c>
      <c r="E246" s="121"/>
      <c r="F246" s="122"/>
      <c r="G246" s="123"/>
      <c r="H246" s="123"/>
      <c r="I246" s="124"/>
      <c r="J246" s="125" t="str">
        <f t="shared" si="6"/>
        <v/>
      </c>
      <c r="K246" s="119" t="str">
        <f t="shared" si="7"/>
        <v/>
      </c>
    </row>
    <row r="247" spans="1:11" ht="15" customHeight="1">
      <c r="A247" s="119" t="str">
        <f>IF($B247="","",IFERROR(INDEX(상담데이터입력!$BH$3:$BH$502,MATCH($B247,상담데이터입력!$A$3:$A$502,0)),""))</f>
        <v/>
      </c>
      <c r="B247" s="120"/>
      <c r="C247" s="119" t="str">
        <f>IF($B247="","",IFERROR(INDEX(상담데이터입력!$D$3:$D$502,MATCH($B247,상담데이터입력!$A$3:$A$502,0)),""))</f>
        <v/>
      </c>
      <c r="D247" s="119" t="str">
        <f>IF($B247="","",IFERROR(INDEX(상담데이터입력!$S$3:$S$502,MATCH($B247,상담데이터입력!$A$3:$A$502,0)),""))</f>
        <v/>
      </c>
      <c r="E247" s="121"/>
      <c r="F247" s="122"/>
      <c r="G247" s="123"/>
      <c r="H247" s="123"/>
      <c r="I247" s="124"/>
      <c r="J247" s="125" t="str">
        <f t="shared" si="6"/>
        <v/>
      </c>
      <c r="K247" s="119" t="str">
        <f t="shared" si="7"/>
        <v/>
      </c>
    </row>
    <row r="248" spans="1:11" ht="15" customHeight="1">
      <c r="A248" s="119" t="str">
        <f>IF($B248="","",IFERROR(INDEX(상담데이터입력!$BH$3:$BH$502,MATCH($B248,상담데이터입력!$A$3:$A$502,0)),""))</f>
        <v/>
      </c>
      <c r="B248" s="120"/>
      <c r="C248" s="119" t="str">
        <f>IF($B248="","",IFERROR(INDEX(상담데이터입력!$D$3:$D$502,MATCH($B248,상담데이터입력!$A$3:$A$502,0)),""))</f>
        <v/>
      </c>
      <c r="D248" s="119" t="str">
        <f>IF($B248="","",IFERROR(INDEX(상담데이터입력!$S$3:$S$502,MATCH($B248,상담데이터입력!$A$3:$A$502,0)),""))</f>
        <v/>
      </c>
      <c r="E248" s="121"/>
      <c r="F248" s="122"/>
      <c r="G248" s="123"/>
      <c r="H248" s="123"/>
      <c r="I248" s="124"/>
      <c r="J248" s="125" t="str">
        <f t="shared" si="6"/>
        <v/>
      </c>
      <c r="K248" s="119" t="str">
        <f t="shared" si="7"/>
        <v/>
      </c>
    </row>
    <row r="249" spans="1:11" ht="15" customHeight="1">
      <c r="A249" s="119" t="str">
        <f>IF($B249="","",IFERROR(INDEX(상담데이터입력!$BH$3:$BH$502,MATCH($B249,상담데이터입력!$A$3:$A$502,0)),""))</f>
        <v/>
      </c>
      <c r="B249" s="120"/>
      <c r="C249" s="119" t="str">
        <f>IF($B249="","",IFERROR(INDEX(상담데이터입력!$D$3:$D$502,MATCH($B249,상담데이터입력!$A$3:$A$502,0)),""))</f>
        <v/>
      </c>
      <c r="D249" s="119" t="str">
        <f>IF($B249="","",IFERROR(INDEX(상담데이터입력!$S$3:$S$502,MATCH($B249,상담데이터입력!$A$3:$A$502,0)),""))</f>
        <v/>
      </c>
      <c r="E249" s="121"/>
      <c r="F249" s="122"/>
      <c r="G249" s="123"/>
      <c r="H249" s="123"/>
      <c r="I249" s="124"/>
      <c r="J249" s="125" t="str">
        <f t="shared" si="6"/>
        <v/>
      </c>
      <c r="K249" s="119" t="str">
        <f t="shared" si="7"/>
        <v/>
      </c>
    </row>
    <row r="250" spans="1:11" ht="15" customHeight="1">
      <c r="A250" s="119" t="str">
        <f>IF($B250="","",IFERROR(INDEX(상담데이터입력!$BH$3:$BH$502,MATCH($B250,상담데이터입력!$A$3:$A$502,0)),""))</f>
        <v/>
      </c>
      <c r="B250" s="120"/>
      <c r="C250" s="119" t="str">
        <f>IF($B250="","",IFERROR(INDEX(상담데이터입력!$D$3:$D$502,MATCH($B250,상담데이터입력!$A$3:$A$502,0)),""))</f>
        <v/>
      </c>
      <c r="D250" s="119" t="str">
        <f>IF($B250="","",IFERROR(INDEX(상담데이터입력!$S$3:$S$502,MATCH($B250,상담데이터입력!$A$3:$A$502,0)),""))</f>
        <v/>
      </c>
      <c r="E250" s="121"/>
      <c r="F250" s="122"/>
      <c r="G250" s="123"/>
      <c r="H250" s="123"/>
      <c r="I250" s="124"/>
      <c r="J250" s="125" t="str">
        <f t="shared" si="6"/>
        <v/>
      </c>
      <c r="K250" s="119" t="str">
        <f t="shared" si="7"/>
        <v/>
      </c>
    </row>
    <row r="251" spans="1:11" ht="15" customHeight="1">
      <c r="A251" s="119" t="str">
        <f>IF($B251="","",IFERROR(INDEX(상담데이터입력!$BH$3:$BH$502,MATCH($B251,상담데이터입력!$A$3:$A$502,0)),""))</f>
        <v/>
      </c>
      <c r="B251" s="120"/>
      <c r="C251" s="119" t="str">
        <f>IF($B251="","",IFERROR(INDEX(상담데이터입력!$D$3:$D$502,MATCH($B251,상담데이터입력!$A$3:$A$502,0)),""))</f>
        <v/>
      </c>
      <c r="D251" s="119" t="str">
        <f>IF($B251="","",IFERROR(INDEX(상담데이터입력!$S$3:$S$502,MATCH($B251,상담데이터입력!$A$3:$A$502,0)),""))</f>
        <v/>
      </c>
      <c r="E251" s="121"/>
      <c r="F251" s="122"/>
      <c r="G251" s="123"/>
      <c r="H251" s="123"/>
      <c r="I251" s="124"/>
      <c r="J251" s="125" t="str">
        <f t="shared" si="6"/>
        <v/>
      </c>
      <c r="K251" s="119" t="str">
        <f t="shared" si="7"/>
        <v/>
      </c>
    </row>
    <row r="252" spans="1:11" ht="15" customHeight="1">
      <c r="A252" s="119" t="str">
        <f>IF($B252="","",IFERROR(INDEX(상담데이터입력!$BH$3:$BH$502,MATCH($B252,상담데이터입력!$A$3:$A$502,0)),""))</f>
        <v/>
      </c>
      <c r="B252" s="120"/>
      <c r="C252" s="119" t="str">
        <f>IF($B252="","",IFERROR(INDEX(상담데이터입력!$D$3:$D$502,MATCH($B252,상담데이터입력!$A$3:$A$502,0)),""))</f>
        <v/>
      </c>
      <c r="D252" s="119" t="str">
        <f>IF($B252="","",IFERROR(INDEX(상담데이터입력!$S$3:$S$502,MATCH($B252,상담데이터입력!$A$3:$A$502,0)),""))</f>
        <v/>
      </c>
      <c r="E252" s="121"/>
      <c r="F252" s="122"/>
      <c r="G252" s="123"/>
      <c r="H252" s="123"/>
      <c r="I252" s="124"/>
      <c r="J252" s="125" t="str">
        <f t="shared" si="6"/>
        <v/>
      </c>
      <c r="K252" s="119" t="str">
        <f t="shared" si="7"/>
        <v/>
      </c>
    </row>
    <row r="253" spans="1:11" ht="15" customHeight="1">
      <c r="A253" s="119" t="str">
        <f>IF($B253="","",IFERROR(INDEX(상담데이터입력!$BH$3:$BH$502,MATCH($B253,상담데이터입력!$A$3:$A$502,0)),""))</f>
        <v/>
      </c>
      <c r="B253" s="120"/>
      <c r="C253" s="119" t="str">
        <f>IF($B253="","",IFERROR(INDEX(상담데이터입력!$D$3:$D$502,MATCH($B253,상담데이터입력!$A$3:$A$502,0)),""))</f>
        <v/>
      </c>
      <c r="D253" s="119" t="str">
        <f>IF($B253="","",IFERROR(INDEX(상담데이터입력!$S$3:$S$502,MATCH($B253,상담데이터입력!$A$3:$A$502,0)),""))</f>
        <v/>
      </c>
      <c r="E253" s="121"/>
      <c r="F253" s="122"/>
      <c r="G253" s="123"/>
      <c r="H253" s="123"/>
      <c r="I253" s="124"/>
      <c r="J253" s="125" t="str">
        <f t="shared" si="6"/>
        <v/>
      </c>
      <c r="K253" s="119" t="str">
        <f t="shared" si="7"/>
        <v/>
      </c>
    </row>
    <row r="254" spans="1:11" ht="15" customHeight="1">
      <c r="A254" s="119" t="str">
        <f>IF($B254="","",IFERROR(INDEX(상담데이터입력!$BH$3:$BH$502,MATCH($B254,상담데이터입력!$A$3:$A$502,0)),""))</f>
        <v/>
      </c>
      <c r="B254" s="120"/>
      <c r="C254" s="119" t="str">
        <f>IF($B254="","",IFERROR(INDEX(상담데이터입력!$D$3:$D$502,MATCH($B254,상담데이터입력!$A$3:$A$502,0)),""))</f>
        <v/>
      </c>
      <c r="D254" s="119" t="str">
        <f>IF($B254="","",IFERROR(INDEX(상담데이터입력!$S$3:$S$502,MATCH($B254,상담데이터입력!$A$3:$A$502,0)),""))</f>
        <v/>
      </c>
      <c r="E254" s="121"/>
      <c r="F254" s="122"/>
      <c r="G254" s="123"/>
      <c r="H254" s="123"/>
      <c r="I254" s="124"/>
      <c r="J254" s="125" t="str">
        <f t="shared" si="6"/>
        <v/>
      </c>
      <c r="K254" s="119" t="str">
        <f t="shared" si="7"/>
        <v/>
      </c>
    </row>
    <row r="255" spans="1:11" ht="15" customHeight="1">
      <c r="A255" s="119" t="str">
        <f>IF($B255="","",IFERROR(INDEX(상담데이터입력!$BH$3:$BH$502,MATCH($B255,상담데이터입력!$A$3:$A$502,0)),""))</f>
        <v/>
      </c>
      <c r="B255" s="120"/>
      <c r="C255" s="119" t="str">
        <f>IF($B255="","",IFERROR(INDEX(상담데이터입력!$D$3:$D$502,MATCH($B255,상담데이터입력!$A$3:$A$502,0)),""))</f>
        <v/>
      </c>
      <c r="D255" s="119" t="str">
        <f>IF($B255="","",IFERROR(INDEX(상담데이터입력!$S$3:$S$502,MATCH($B255,상담데이터입력!$A$3:$A$502,0)),""))</f>
        <v/>
      </c>
      <c r="E255" s="121"/>
      <c r="F255" s="122"/>
      <c r="G255" s="123"/>
      <c r="H255" s="123"/>
      <c r="I255" s="124"/>
      <c r="J255" s="125" t="str">
        <f t="shared" si="6"/>
        <v/>
      </c>
      <c r="K255" s="119" t="str">
        <f t="shared" si="7"/>
        <v/>
      </c>
    </row>
    <row r="256" spans="1:11" ht="15" customHeight="1">
      <c r="A256" s="119" t="str">
        <f>IF($B256="","",IFERROR(INDEX(상담데이터입력!$BH$3:$BH$502,MATCH($B256,상담데이터입력!$A$3:$A$502,0)),""))</f>
        <v/>
      </c>
      <c r="B256" s="120"/>
      <c r="C256" s="119" t="str">
        <f>IF($B256="","",IFERROR(INDEX(상담데이터입력!$D$3:$D$502,MATCH($B256,상담데이터입력!$A$3:$A$502,0)),""))</f>
        <v/>
      </c>
      <c r="D256" s="119" t="str">
        <f>IF($B256="","",IFERROR(INDEX(상담데이터입력!$S$3:$S$502,MATCH($B256,상담데이터입력!$A$3:$A$502,0)),""))</f>
        <v/>
      </c>
      <c r="E256" s="121"/>
      <c r="F256" s="122"/>
      <c r="G256" s="123"/>
      <c r="H256" s="123"/>
      <c r="I256" s="124"/>
      <c r="J256" s="125" t="str">
        <f t="shared" si="6"/>
        <v/>
      </c>
      <c r="K256" s="119" t="str">
        <f t="shared" si="7"/>
        <v/>
      </c>
    </row>
    <row r="257" spans="1:11" ht="15" customHeight="1">
      <c r="A257" s="119" t="str">
        <f>IF($B257="","",IFERROR(INDEX(상담데이터입력!$BH$3:$BH$502,MATCH($B257,상담데이터입력!$A$3:$A$502,0)),""))</f>
        <v/>
      </c>
      <c r="B257" s="120"/>
      <c r="C257" s="119" t="str">
        <f>IF($B257="","",IFERROR(INDEX(상담데이터입력!$D$3:$D$502,MATCH($B257,상담데이터입력!$A$3:$A$502,0)),""))</f>
        <v/>
      </c>
      <c r="D257" s="119" t="str">
        <f>IF($B257="","",IFERROR(INDEX(상담데이터입력!$S$3:$S$502,MATCH($B257,상담데이터입력!$A$3:$A$502,0)),""))</f>
        <v/>
      </c>
      <c r="E257" s="121"/>
      <c r="F257" s="122"/>
      <c r="G257" s="123"/>
      <c r="H257" s="123"/>
      <c r="I257" s="124"/>
      <c r="J257" s="125" t="str">
        <f t="shared" si="6"/>
        <v/>
      </c>
      <c r="K257" s="119" t="str">
        <f t="shared" si="7"/>
        <v/>
      </c>
    </row>
    <row r="258" spans="1:11" ht="15" customHeight="1">
      <c r="A258" s="119" t="str">
        <f>IF($B258="","",IFERROR(INDEX(상담데이터입력!$BH$3:$BH$502,MATCH($B258,상담데이터입력!$A$3:$A$502,0)),""))</f>
        <v/>
      </c>
      <c r="B258" s="120"/>
      <c r="C258" s="119" t="str">
        <f>IF($B258="","",IFERROR(INDEX(상담데이터입력!$D$3:$D$502,MATCH($B258,상담데이터입력!$A$3:$A$502,0)),""))</f>
        <v/>
      </c>
      <c r="D258" s="119" t="str">
        <f>IF($B258="","",IFERROR(INDEX(상담데이터입력!$S$3:$S$502,MATCH($B258,상담데이터입력!$A$3:$A$502,0)),""))</f>
        <v/>
      </c>
      <c r="E258" s="121"/>
      <c r="F258" s="122"/>
      <c r="G258" s="123"/>
      <c r="H258" s="123"/>
      <c r="I258" s="124"/>
      <c r="J258" s="125" t="str">
        <f t="shared" si="6"/>
        <v/>
      </c>
      <c r="K258" s="119" t="str">
        <f t="shared" si="7"/>
        <v/>
      </c>
    </row>
    <row r="259" spans="1:11" ht="15" customHeight="1">
      <c r="A259" s="119" t="str">
        <f>IF($B259="","",IFERROR(INDEX(상담데이터입력!$BH$3:$BH$502,MATCH($B259,상담데이터입력!$A$3:$A$502,0)),""))</f>
        <v/>
      </c>
      <c r="B259" s="120"/>
      <c r="C259" s="119" t="str">
        <f>IF($B259="","",IFERROR(INDEX(상담데이터입력!$D$3:$D$502,MATCH($B259,상담데이터입력!$A$3:$A$502,0)),""))</f>
        <v/>
      </c>
      <c r="D259" s="119" t="str">
        <f>IF($B259="","",IFERROR(INDEX(상담데이터입력!$S$3:$S$502,MATCH($B259,상담데이터입력!$A$3:$A$502,0)),""))</f>
        <v/>
      </c>
      <c r="E259" s="121"/>
      <c r="F259" s="122"/>
      <c r="G259" s="123"/>
      <c r="H259" s="123"/>
      <c r="I259" s="124"/>
      <c r="J259" s="125" t="str">
        <f t="shared" si="6"/>
        <v/>
      </c>
      <c r="K259" s="119" t="str">
        <f t="shared" si="7"/>
        <v/>
      </c>
    </row>
    <row r="260" spans="1:11" ht="15" customHeight="1">
      <c r="A260" s="119" t="str">
        <f>IF($B260="","",IFERROR(INDEX(상담데이터입력!$BH$3:$BH$502,MATCH($B260,상담데이터입력!$A$3:$A$502,0)),""))</f>
        <v/>
      </c>
      <c r="B260" s="120"/>
      <c r="C260" s="119" t="str">
        <f>IF($B260="","",IFERROR(INDEX(상담데이터입력!$D$3:$D$502,MATCH($B260,상담데이터입력!$A$3:$A$502,0)),""))</f>
        <v/>
      </c>
      <c r="D260" s="119" t="str">
        <f>IF($B260="","",IFERROR(INDEX(상담데이터입력!$S$3:$S$502,MATCH($B260,상담데이터입력!$A$3:$A$502,0)),""))</f>
        <v/>
      </c>
      <c r="E260" s="121"/>
      <c r="F260" s="122"/>
      <c r="G260" s="123"/>
      <c r="H260" s="123"/>
      <c r="I260" s="124"/>
      <c r="J260" s="125" t="str">
        <f t="shared" si="6"/>
        <v/>
      </c>
      <c r="K260" s="119" t="str">
        <f t="shared" si="7"/>
        <v/>
      </c>
    </row>
    <row r="261" spans="1:11" ht="15" customHeight="1">
      <c r="A261" s="119" t="str">
        <f>IF($B261="","",IFERROR(INDEX(상담데이터입력!$BH$3:$BH$502,MATCH($B261,상담데이터입력!$A$3:$A$502,0)),""))</f>
        <v/>
      </c>
      <c r="B261" s="120"/>
      <c r="C261" s="119" t="str">
        <f>IF($B261="","",IFERROR(INDEX(상담데이터입력!$D$3:$D$502,MATCH($B261,상담데이터입력!$A$3:$A$502,0)),""))</f>
        <v/>
      </c>
      <c r="D261" s="119" t="str">
        <f>IF($B261="","",IFERROR(INDEX(상담데이터입력!$S$3:$S$502,MATCH($B261,상담데이터입력!$A$3:$A$502,0)),""))</f>
        <v/>
      </c>
      <c r="E261" s="121"/>
      <c r="F261" s="122"/>
      <c r="G261" s="123"/>
      <c r="H261" s="123"/>
      <c r="I261" s="124"/>
      <c r="J261" s="125" t="str">
        <f t="shared" ref="J261:J324" si="8">IF(OR($G261="",$F261=""),"",EDATE($G261,IF($F261="1개월",1,IF($F261="3개월",3,IF($F261="6개월",6,0)))))</f>
        <v/>
      </c>
      <c r="K261" s="119" t="str">
        <f t="shared" ref="K261:K324" si="9">IF($B261="","",IF($H261="","재원중","퇴소"))</f>
        <v/>
      </c>
    </row>
    <row r="262" spans="1:11" ht="15" customHeight="1">
      <c r="A262" s="119" t="str">
        <f>IF($B262="","",IFERROR(INDEX(상담데이터입력!$BH$3:$BH$502,MATCH($B262,상담데이터입력!$A$3:$A$502,0)),""))</f>
        <v/>
      </c>
      <c r="B262" s="120"/>
      <c r="C262" s="119" t="str">
        <f>IF($B262="","",IFERROR(INDEX(상담데이터입력!$D$3:$D$502,MATCH($B262,상담데이터입력!$A$3:$A$502,0)),""))</f>
        <v/>
      </c>
      <c r="D262" s="119" t="str">
        <f>IF($B262="","",IFERROR(INDEX(상담데이터입력!$S$3:$S$502,MATCH($B262,상담데이터입력!$A$3:$A$502,0)),""))</f>
        <v/>
      </c>
      <c r="E262" s="121"/>
      <c r="F262" s="122"/>
      <c r="G262" s="123"/>
      <c r="H262" s="123"/>
      <c r="I262" s="124"/>
      <c r="J262" s="125" t="str">
        <f t="shared" si="8"/>
        <v/>
      </c>
      <c r="K262" s="119" t="str">
        <f t="shared" si="9"/>
        <v/>
      </c>
    </row>
    <row r="263" spans="1:11" ht="15" customHeight="1">
      <c r="A263" s="119" t="str">
        <f>IF($B263="","",IFERROR(INDEX(상담데이터입력!$BH$3:$BH$502,MATCH($B263,상담데이터입력!$A$3:$A$502,0)),""))</f>
        <v/>
      </c>
      <c r="B263" s="120"/>
      <c r="C263" s="119" t="str">
        <f>IF($B263="","",IFERROR(INDEX(상담데이터입력!$D$3:$D$502,MATCH($B263,상담데이터입력!$A$3:$A$502,0)),""))</f>
        <v/>
      </c>
      <c r="D263" s="119" t="str">
        <f>IF($B263="","",IFERROR(INDEX(상담데이터입력!$S$3:$S$502,MATCH($B263,상담데이터입력!$A$3:$A$502,0)),""))</f>
        <v/>
      </c>
      <c r="E263" s="121"/>
      <c r="F263" s="122"/>
      <c r="G263" s="123"/>
      <c r="H263" s="123"/>
      <c r="I263" s="124"/>
      <c r="J263" s="125" t="str">
        <f t="shared" si="8"/>
        <v/>
      </c>
      <c r="K263" s="119" t="str">
        <f t="shared" si="9"/>
        <v/>
      </c>
    </row>
    <row r="264" spans="1:11" ht="15" customHeight="1">
      <c r="A264" s="119" t="str">
        <f>IF($B264="","",IFERROR(INDEX(상담데이터입력!$BH$3:$BH$502,MATCH($B264,상담데이터입력!$A$3:$A$502,0)),""))</f>
        <v/>
      </c>
      <c r="B264" s="120"/>
      <c r="C264" s="119" t="str">
        <f>IF($B264="","",IFERROR(INDEX(상담데이터입력!$D$3:$D$502,MATCH($B264,상담데이터입력!$A$3:$A$502,0)),""))</f>
        <v/>
      </c>
      <c r="D264" s="119" t="str">
        <f>IF($B264="","",IFERROR(INDEX(상담데이터입력!$S$3:$S$502,MATCH($B264,상담데이터입력!$A$3:$A$502,0)),""))</f>
        <v/>
      </c>
      <c r="E264" s="121"/>
      <c r="F264" s="122"/>
      <c r="G264" s="123"/>
      <c r="H264" s="123"/>
      <c r="I264" s="124"/>
      <c r="J264" s="125" t="str">
        <f t="shared" si="8"/>
        <v/>
      </c>
      <c r="K264" s="119" t="str">
        <f t="shared" si="9"/>
        <v/>
      </c>
    </row>
    <row r="265" spans="1:11" ht="15" customHeight="1">
      <c r="A265" s="119" t="str">
        <f>IF($B265="","",IFERROR(INDEX(상담데이터입력!$BH$3:$BH$502,MATCH($B265,상담데이터입력!$A$3:$A$502,0)),""))</f>
        <v/>
      </c>
      <c r="B265" s="120"/>
      <c r="C265" s="119" t="str">
        <f>IF($B265="","",IFERROR(INDEX(상담데이터입력!$D$3:$D$502,MATCH($B265,상담데이터입력!$A$3:$A$502,0)),""))</f>
        <v/>
      </c>
      <c r="D265" s="119" t="str">
        <f>IF($B265="","",IFERROR(INDEX(상담데이터입력!$S$3:$S$502,MATCH($B265,상담데이터입력!$A$3:$A$502,0)),""))</f>
        <v/>
      </c>
      <c r="E265" s="121"/>
      <c r="F265" s="122"/>
      <c r="G265" s="123"/>
      <c r="H265" s="123"/>
      <c r="I265" s="124"/>
      <c r="J265" s="125" t="str">
        <f t="shared" si="8"/>
        <v/>
      </c>
      <c r="K265" s="119" t="str">
        <f t="shared" si="9"/>
        <v/>
      </c>
    </row>
    <row r="266" spans="1:11" ht="15" customHeight="1">
      <c r="A266" s="119" t="str">
        <f>IF($B266="","",IFERROR(INDEX(상담데이터입력!$BH$3:$BH$502,MATCH($B266,상담데이터입력!$A$3:$A$502,0)),""))</f>
        <v/>
      </c>
      <c r="B266" s="120"/>
      <c r="C266" s="119" t="str">
        <f>IF($B266="","",IFERROR(INDEX(상담데이터입력!$D$3:$D$502,MATCH($B266,상담데이터입력!$A$3:$A$502,0)),""))</f>
        <v/>
      </c>
      <c r="D266" s="119" t="str">
        <f>IF($B266="","",IFERROR(INDEX(상담데이터입력!$S$3:$S$502,MATCH($B266,상담데이터입력!$A$3:$A$502,0)),""))</f>
        <v/>
      </c>
      <c r="E266" s="121"/>
      <c r="F266" s="122"/>
      <c r="G266" s="123"/>
      <c r="H266" s="123"/>
      <c r="I266" s="124"/>
      <c r="J266" s="125" t="str">
        <f t="shared" si="8"/>
        <v/>
      </c>
      <c r="K266" s="119" t="str">
        <f t="shared" si="9"/>
        <v/>
      </c>
    </row>
    <row r="267" spans="1:11" ht="15" customHeight="1">
      <c r="A267" s="119" t="str">
        <f>IF($B267="","",IFERROR(INDEX(상담데이터입력!$BH$3:$BH$502,MATCH($B267,상담데이터입력!$A$3:$A$502,0)),""))</f>
        <v/>
      </c>
      <c r="B267" s="120"/>
      <c r="C267" s="119" t="str">
        <f>IF($B267="","",IFERROR(INDEX(상담데이터입력!$D$3:$D$502,MATCH($B267,상담데이터입력!$A$3:$A$502,0)),""))</f>
        <v/>
      </c>
      <c r="D267" s="119" t="str">
        <f>IF($B267="","",IFERROR(INDEX(상담데이터입력!$S$3:$S$502,MATCH($B267,상담데이터입력!$A$3:$A$502,0)),""))</f>
        <v/>
      </c>
      <c r="E267" s="121"/>
      <c r="F267" s="122"/>
      <c r="G267" s="123"/>
      <c r="H267" s="123"/>
      <c r="I267" s="124"/>
      <c r="J267" s="125" t="str">
        <f t="shared" si="8"/>
        <v/>
      </c>
      <c r="K267" s="119" t="str">
        <f t="shared" si="9"/>
        <v/>
      </c>
    </row>
    <row r="268" spans="1:11" ht="15" customHeight="1">
      <c r="A268" s="119" t="str">
        <f>IF($B268="","",IFERROR(INDEX(상담데이터입력!$BH$3:$BH$502,MATCH($B268,상담데이터입력!$A$3:$A$502,0)),""))</f>
        <v/>
      </c>
      <c r="B268" s="120"/>
      <c r="C268" s="119" t="str">
        <f>IF($B268="","",IFERROR(INDEX(상담데이터입력!$D$3:$D$502,MATCH($B268,상담데이터입력!$A$3:$A$502,0)),""))</f>
        <v/>
      </c>
      <c r="D268" s="119" t="str">
        <f>IF($B268="","",IFERROR(INDEX(상담데이터입력!$S$3:$S$502,MATCH($B268,상담데이터입력!$A$3:$A$502,0)),""))</f>
        <v/>
      </c>
      <c r="E268" s="121"/>
      <c r="F268" s="122"/>
      <c r="G268" s="123"/>
      <c r="H268" s="123"/>
      <c r="I268" s="124"/>
      <c r="J268" s="125" t="str">
        <f t="shared" si="8"/>
        <v/>
      </c>
      <c r="K268" s="119" t="str">
        <f t="shared" si="9"/>
        <v/>
      </c>
    </row>
    <row r="269" spans="1:11" ht="15" customHeight="1">
      <c r="A269" s="119" t="str">
        <f>IF($B269="","",IFERROR(INDEX(상담데이터입력!$BH$3:$BH$502,MATCH($B269,상담데이터입력!$A$3:$A$502,0)),""))</f>
        <v/>
      </c>
      <c r="B269" s="120"/>
      <c r="C269" s="119" t="str">
        <f>IF($B269="","",IFERROR(INDEX(상담데이터입력!$D$3:$D$502,MATCH($B269,상담데이터입력!$A$3:$A$502,0)),""))</f>
        <v/>
      </c>
      <c r="D269" s="119" t="str">
        <f>IF($B269="","",IFERROR(INDEX(상담데이터입력!$S$3:$S$502,MATCH($B269,상담데이터입력!$A$3:$A$502,0)),""))</f>
        <v/>
      </c>
      <c r="E269" s="121"/>
      <c r="F269" s="122"/>
      <c r="G269" s="123"/>
      <c r="H269" s="123"/>
      <c r="I269" s="124"/>
      <c r="J269" s="125" t="str">
        <f t="shared" si="8"/>
        <v/>
      </c>
      <c r="K269" s="119" t="str">
        <f t="shared" si="9"/>
        <v/>
      </c>
    </row>
    <row r="270" spans="1:11" ht="15" customHeight="1">
      <c r="A270" s="119" t="str">
        <f>IF($B270="","",IFERROR(INDEX(상담데이터입력!$BH$3:$BH$502,MATCH($B270,상담데이터입력!$A$3:$A$502,0)),""))</f>
        <v/>
      </c>
      <c r="B270" s="120"/>
      <c r="C270" s="119" t="str">
        <f>IF($B270="","",IFERROR(INDEX(상담데이터입력!$D$3:$D$502,MATCH($B270,상담데이터입력!$A$3:$A$502,0)),""))</f>
        <v/>
      </c>
      <c r="D270" s="119" t="str">
        <f>IF($B270="","",IFERROR(INDEX(상담데이터입력!$S$3:$S$502,MATCH($B270,상담데이터입력!$A$3:$A$502,0)),""))</f>
        <v/>
      </c>
      <c r="E270" s="121"/>
      <c r="F270" s="122"/>
      <c r="G270" s="123"/>
      <c r="H270" s="123"/>
      <c r="I270" s="124"/>
      <c r="J270" s="125" t="str">
        <f t="shared" si="8"/>
        <v/>
      </c>
      <c r="K270" s="119" t="str">
        <f t="shared" si="9"/>
        <v/>
      </c>
    </row>
    <row r="271" spans="1:11" ht="15" customHeight="1">
      <c r="A271" s="119" t="str">
        <f>IF($B271="","",IFERROR(INDEX(상담데이터입력!$BH$3:$BH$502,MATCH($B271,상담데이터입력!$A$3:$A$502,0)),""))</f>
        <v/>
      </c>
      <c r="B271" s="120"/>
      <c r="C271" s="119" t="str">
        <f>IF($B271="","",IFERROR(INDEX(상담데이터입력!$D$3:$D$502,MATCH($B271,상담데이터입력!$A$3:$A$502,0)),""))</f>
        <v/>
      </c>
      <c r="D271" s="119" t="str">
        <f>IF($B271="","",IFERROR(INDEX(상담데이터입력!$S$3:$S$502,MATCH($B271,상담데이터입력!$A$3:$A$502,0)),""))</f>
        <v/>
      </c>
      <c r="E271" s="121"/>
      <c r="F271" s="122"/>
      <c r="G271" s="123"/>
      <c r="H271" s="123"/>
      <c r="I271" s="124"/>
      <c r="J271" s="125" t="str">
        <f t="shared" si="8"/>
        <v/>
      </c>
      <c r="K271" s="119" t="str">
        <f t="shared" si="9"/>
        <v/>
      </c>
    </row>
    <row r="272" spans="1:11" ht="15" customHeight="1">
      <c r="A272" s="119" t="str">
        <f>IF($B272="","",IFERROR(INDEX(상담데이터입력!$BH$3:$BH$502,MATCH($B272,상담데이터입력!$A$3:$A$502,0)),""))</f>
        <v/>
      </c>
      <c r="B272" s="120"/>
      <c r="C272" s="119" t="str">
        <f>IF($B272="","",IFERROR(INDEX(상담데이터입력!$D$3:$D$502,MATCH($B272,상담데이터입력!$A$3:$A$502,0)),""))</f>
        <v/>
      </c>
      <c r="D272" s="119" t="str">
        <f>IF($B272="","",IFERROR(INDEX(상담데이터입력!$S$3:$S$502,MATCH($B272,상담데이터입력!$A$3:$A$502,0)),""))</f>
        <v/>
      </c>
      <c r="E272" s="121"/>
      <c r="F272" s="122"/>
      <c r="G272" s="123"/>
      <c r="H272" s="123"/>
      <c r="I272" s="124"/>
      <c r="J272" s="125" t="str">
        <f t="shared" si="8"/>
        <v/>
      </c>
      <c r="K272" s="119" t="str">
        <f t="shared" si="9"/>
        <v/>
      </c>
    </row>
    <row r="273" spans="1:11" ht="15" customHeight="1">
      <c r="A273" s="119" t="str">
        <f>IF($B273="","",IFERROR(INDEX(상담데이터입력!$BH$3:$BH$502,MATCH($B273,상담데이터입력!$A$3:$A$502,0)),""))</f>
        <v/>
      </c>
      <c r="B273" s="120"/>
      <c r="C273" s="119" t="str">
        <f>IF($B273="","",IFERROR(INDEX(상담데이터입력!$D$3:$D$502,MATCH($B273,상담데이터입력!$A$3:$A$502,0)),""))</f>
        <v/>
      </c>
      <c r="D273" s="119" t="str">
        <f>IF($B273="","",IFERROR(INDEX(상담데이터입력!$S$3:$S$502,MATCH($B273,상담데이터입력!$A$3:$A$502,0)),""))</f>
        <v/>
      </c>
      <c r="E273" s="121"/>
      <c r="F273" s="122"/>
      <c r="G273" s="123"/>
      <c r="H273" s="123"/>
      <c r="I273" s="124"/>
      <c r="J273" s="125" t="str">
        <f t="shared" si="8"/>
        <v/>
      </c>
      <c r="K273" s="119" t="str">
        <f t="shared" si="9"/>
        <v/>
      </c>
    </row>
    <row r="274" spans="1:11" ht="15" customHeight="1">
      <c r="A274" s="119" t="str">
        <f>IF($B274="","",IFERROR(INDEX(상담데이터입력!$BH$3:$BH$502,MATCH($B274,상담데이터입력!$A$3:$A$502,0)),""))</f>
        <v/>
      </c>
      <c r="B274" s="120"/>
      <c r="C274" s="119" t="str">
        <f>IF($B274="","",IFERROR(INDEX(상담데이터입력!$D$3:$D$502,MATCH($B274,상담데이터입력!$A$3:$A$502,0)),""))</f>
        <v/>
      </c>
      <c r="D274" s="119" t="str">
        <f>IF($B274="","",IFERROR(INDEX(상담데이터입력!$S$3:$S$502,MATCH($B274,상담데이터입력!$A$3:$A$502,0)),""))</f>
        <v/>
      </c>
      <c r="E274" s="121"/>
      <c r="F274" s="122"/>
      <c r="G274" s="123"/>
      <c r="H274" s="123"/>
      <c r="I274" s="124"/>
      <c r="J274" s="125" t="str">
        <f t="shared" si="8"/>
        <v/>
      </c>
      <c r="K274" s="119" t="str">
        <f t="shared" si="9"/>
        <v/>
      </c>
    </row>
    <row r="275" spans="1:11" ht="15" customHeight="1">
      <c r="A275" s="119" t="str">
        <f>IF($B275="","",IFERROR(INDEX(상담데이터입력!$BH$3:$BH$502,MATCH($B275,상담데이터입력!$A$3:$A$502,0)),""))</f>
        <v/>
      </c>
      <c r="B275" s="120"/>
      <c r="C275" s="119" t="str">
        <f>IF($B275="","",IFERROR(INDEX(상담데이터입력!$D$3:$D$502,MATCH($B275,상담데이터입력!$A$3:$A$502,0)),""))</f>
        <v/>
      </c>
      <c r="D275" s="119" t="str">
        <f>IF($B275="","",IFERROR(INDEX(상담데이터입력!$S$3:$S$502,MATCH($B275,상담데이터입력!$A$3:$A$502,0)),""))</f>
        <v/>
      </c>
      <c r="E275" s="121"/>
      <c r="F275" s="122"/>
      <c r="G275" s="123"/>
      <c r="H275" s="123"/>
      <c r="I275" s="124"/>
      <c r="J275" s="125" t="str">
        <f t="shared" si="8"/>
        <v/>
      </c>
      <c r="K275" s="119" t="str">
        <f t="shared" si="9"/>
        <v/>
      </c>
    </row>
    <row r="276" spans="1:11" ht="15" customHeight="1">
      <c r="A276" s="119" t="str">
        <f>IF($B276="","",IFERROR(INDEX(상담데이터입력!$BH$3:$BH$502,MATCH($B276,상담데이터입력!$A$3:$A$502,0)),""))</f>
        <v/>
      </c>
      <c r="B276" s="120"/>
      <c r="C276" s="119" t="str">
        <f>IF($B276="","",IFERROR(INDEX(상담데이터입력!$D$3:$D$502,MATCH($B276,상담데이터입력!$A$3:$A$502,0)),""))</f>
        <v/>
      </c>
      <c r="D276" s="119" t="str">
        <f>IF($B276="","",IFERROR(INDEX(상담데이터입력!$S$3:$S$502,MATCH($B276,상담데이터입력!$A$3:$A$502,0)),""))</f>
        <v/>
      </c>
      <c r="E276" s="121"/>
      <c r="F276" s="122"/>
      <c r="G276" s="123"/>
      <c r="H276" s="123"/>
      <c r="I276" s="124"/>
      <c r="J276" s="125" t="str">
        <f t="shared" si="8"/>
        <v/>
      </c>
      <c r="K276" s="119" t="str">
        <f t="shared" si="9"/>
        <v/>
      </c>
    </row>
    <row r="277" spans="1:11" ht="15" customHeight="1">
      <c r="A277" s="119" t="str">
        <f>IF($B277="","",IFERROR(INDEX(상담데이터입력!$BH$3:$BH$502,MATCH($B277,상담데이터입력!$A$3:$A$502,0)),""))</f>
        <v/>
      </c>
      <c r="B277" s="120"/>
      <c r="C277" s="119" t="str">
        <f>IF($B277="","",IFERROR(INDEX(상담데이터입력!$D$3:$D$502,MATCH($B277,상담데이터입력!$A$3:$A$502,0)),""))</f>
        <v/>
      </c>
      <c r="D277" s="119" t="str">
        <f>IF($B277="","",IFERROR(INDEX(상담데이터입력!$S$3:$S$502,MATCH($B277,상담데이터입력!$A$3:$A$502,0)),""))</f>
        <v/>
      </c>
      <c r="E277" s="121"/>
      <c r="F277" s="122"/>
      <c r="G277" s="123"/>
      <c r="H277" s="123"/>
      <c r="I277" s="124"/>
      <c r="J277" s="125" t="str">
        <f t="shared" si="8"/>
        <v/>
      </c>
      <c r="K277" s="119" t="str">
        <f t="shared" si="9"/>
        <v/>
      </c>
    </row>
    <row r="278" spans="1:11" ht="15" customHeight="1">
      <c r="A278" s="119" t="str">
        <f>IF($B278="","",IFERROR(INDEX(상담데이터입력!$BH$3:$BH$502,MATCH($B278,상담데이터입력!$A$3:$A$502,0)),""))</f>
        <v/>
      </c>
      <c r="B278" s="120"/>
      <c r="C278" s="119" t="str">
        <f>IF($B278="","",IFERROR(INDEX(상담데이터입력!$D$3:$D$502,MATCH($B278,상담데이터입력!$A$3:$A$502,0)),""))</f>
        <v/>
      </c>
      <c r="D278" s="119" t="str">
        <f>IF($B278="","",IFERROR(INDEX(상담데이터입력!$S$3:$S$502,MATCH($B278,상담데이터입력!$A$3:$A$502,0)),""))</f>
        <v/>
      </c>
      <c r="E278" s="121"/>
      <c r="F278" s="122"/>
      <c r="G278" s="123"/>
      <c r="H278" s="123"/>
      <c r="I278" s="124"/>
      <c r="J278" s="125" t="str">
        <f t="shared" si="8"/>
        <v/>
      </c>
      <c r="K278" s="119" t="str">
        <f t="shared" si="9"/>
        <v/>
      </c>
    </row>
    <row r="279" spans="1:11" ht="15" customHeight="1">
      <c r="A279" s="119" t="str">
        <f>IF($B279="","",IFERROR(INDEX(상담데이터입력!$BH$3:$BH$502,MATCH($B279,상담데이터입력!$A$3:$A$502,0)),""))</f>
        <v/>
      </c>
      <c r="B279" s="120"/>
      <c r="C279" s="119" t="str">
        <f>IF($B279="","",IFERROR(INDEX(상담데이터입력!$D$3:$D$502,MATCH($B279,상담데이터입력!$A$3:$A$502,0)),""))</f>
        <v/>
      </c>
      <c r="D279" s="119" t="str">
        <f>IF($B279="","",IFERROR(INDEX(상담데이터입력!$S$3:$S$502,MATCH($B279,상담데이터입력!$A$3:$A$502,0)),""))</f>
        <v/>
      </c>
      <c r="E279" s="121"/>
      <c r="F279" s="122"/>
      <c r="G279" s="123"/>
      <c r="H279" s="123"/>
      <c r="I279" s="124"/>
      <c r="J279" s="125" t="str">
        <f t="shared" si="8"/>
        <v/>
      </c>
      <c r="K279" s="119" t="str">
        <f t="shared" si="9"/>
        <v/>
      </c>
    </row>
    <row r="280" spans="1:11" ht="15" customHeight="1">
      <c r="A280" s="119" t="str">
        <f>IF($B280="","",IFERROR(INDEX(상담데이터입력!$BH$3:$BH$502,MATCH($B280,상담데이터입력!$A$3:$A$502,0)),""))</f>
        <v/>
      </c>
      <c r="B280" s="120"/>
      <c r="C280" s="119" t="str">
        <f>IF($B280="","",IFERROR(INDEX(상담데이터입력!$D$3:$D$502,MATCH($B280,상담데이터입력!$A$3:$A$502,0)),""))</f>
        <v/>
      </c>
      <c r="D280" s="119" t="str">
        <f>IF($B280="","",IFERROR(INDEX(상담데이터입력!$S$3:$S$502,MATCH($B280,상담데이터입력!$A$3:$A$502,0)),""))</f>
        <v/>
      </c>
      <c r="E280" s="121"/>
      <c r="F280" s="122"/>
      <c r="G280" s="123"/>
      <c r="H280" s="123"/>
      <c r="I280" s="124"/>
      <c r="J280" s="125" t="str">
        <f t="shared" si="8"/>
        <v/>
      </c>
      <c r="K280" s="119" t="str">
        <f t="shared" si="9"/>
        <v/>
      </c>
    </row>
    <row r="281" spans="1:11" ht="15" customHeight="1">
      <c r="A281" s="119" t="str">
        <f>IF($B281="","",IFERROR(INDEX(상담데이터입력!$BH$3:$BH$502,MATCH($B281,상담데이터입력!$A$3:$A$502,0)),""))</f>
        <v/>
      </c>
      <c r="B281" s="120"/>
      <c r="C281" s="119" t="str">
        <f>IF($B281="","",IFERROR(INDEX(상담데이터입력!$D$3:$D$502,MATCH($B281,상담데이터입력!$A$3:$A$502,0)),""))</f>
        <v/>
      </c>
      <c r="D281" s="119" t="str">
        <f>IF($B281="","",IFERROR(INDEX(상담데이터입력!$S$3:$S$502,MATCH($B281,상담데이터입력!$A$3:$A$502,0)),""))</f>
        <v/>
      </c>
      <c r="E281" s="121"/>
      <c r="F281" s="122"/>
      <c r="G281" s="123"/>
      <c r="H281" s="123"/>
      <c r="I281" s="124"/>
      <c r="J281" s="125" t="str">
        <f t="shared" si="8"/>
        <v/>
      </c>
      <c r="K281" s="119" t="str">
        <f t="shared" si="9"/>
        <v/>
      </c>
    </row>
    <row r="282" spans="1:11" ht="15" customHeight="1">
      <c r="A282" s="119" t="str">
        <f>IF($B282="","",IFERROR(INDEX(상담데이터입력!$BH$3:$BH$502,MATCH($B282,상담데이터입력!$A$3:$A$502,0)),""))</f>
        <v/>
      </c>
      <c r="B282" s="120"/>
      <c r="C282" s="119" t="str">
        <f>IF($B282="","",IFERROR(INDEX(상담데이터입력!$D$3:$D$502,MATCH($B282,상담데이터입력!$A$3:$A$502,0)),""))</f>
        <v/>
      </c>
      <c r="D282" s="119" t="str">
        <f>IF($B282="","",IFERROR(INDEX(상담데이터입력!$S$3:$S$502,MATCH($B282,상담데이터입력!$A$3:$A$502,0)),""))</f>
        <v/>
      </c>
      <c r="E282" s="121"/>
      <c r="F282" s="122"/>
      <c r="G282" s="123"/>
      <c r="H282" s="123"/>
      <c r="I282" s="124"/>
      <c r="J282" s="125" t="str">
        <f t="shared" si="8"/>
        <v/>
      </c>
      <c r="K282" s="119" t="str">
        <f t="shared" si="9"/>
        <v/>
      </c>
    </row>
    <row r="283" spans="1:11" ht="15" customHeight="1">
      <c r="A283" s="119" t="str">
        <f>IF($B283="","",IFERROR(INDEX(상담데이터입력!$BH$3:$BH$502,MATCH($B283,상담데이터입력!$A$3:$A$502,0)),""))</f>
        <v/>
      </c>
      <c r="B283" s="120"/>
      <c r="C283" s="119" t="str">
        <f>IF($B283="","",IFERROR(INDEX(상담데이터입력!$D$3:$D$502,MATCH($B283,상담데이터입력!$A$3:$A$502,0)),""))</f>
        <v/>
      </c>
      <c r="D283" s="119" t="str">
        <f>IF($B283="","",IFERROR(INDEX(상담데이터입력!$S$3:$S$502,MATCH($B283,상담데이터입력!$A$3:$A$502,0)),""))</f>
        <v/>
      </c>
      <c r="E283" s="121"/>
      <c r="F283" s="122"/>
      <c r="G283" s="123"/>
      <c r="H283" s="123"/>
      <c r="I283" s="124"/>
      <c r="J283" s="125" t="str">
        <f t="shared" si="8"/>
        <v/>
      </c>
      <c r="K283" s="119" t="str">
        <f t="shared" si="9"/>
        <v/>
      </c>
    </row>
    <row r="284" spans="1:11" ht="15" customHeight="1">
      <c r="A284" s="119" t="str">
        <f>IF($B284="","",IFERROR(INDEX(상담데이터입력!$BH$3:$BH$502,MATCH($B284,상담데이터입력!$A$3:$A$502,0)),""))</f>
        <v/>
      </c>
      <c r="B284" s="120"/>
      <c r="C284" s="119" t="str">
        <f>IF($B284="","",IFERROR(INDEX(상담데이터입력!$D$3:$D$502,MATCH($B284,상담데이터입력!$A$3:$A$502,0)),""))</f>
        <v/>
      </c>
      <c r="D284" s="119" t="str">
        <f>IF($B284="","",IFERROR(INDEX(상담데이터입력!$S$3:$S$502,MATCH($B284,상담데이터입력!$A$3:$A$502,0)),""))</f>
        <v/>
      </c>
      <c r="E284" s="121"/>
      <c r="F284" s="122"/>
      <c r="G284" s="123"/>
      <c r="H284" s="123"/>
      <c r="I284" s="124"/>
      <c r="J284" s="125" t="str">
        <f t="shared" si="8"/>
        <v/>
      </c>
      <c r="K284" s="119" t="str">
        <f t="shared" si="9"/>
        <v/>
      </c>
    </row>
    <row r="285" spans="1:11" ht="15" customHeight="1">
      <c r="A285" s="119" t="str">
        <f>IF($B285="","",IFERROR(INDEX(상담데이터입력!$BH$3:$BH$502,MATCH($B285,상담데이터입력!$A$3:$A$502,0)),""))</f>
        <v/>
      </c>
      <c r="B285" s="120"/>
      <c r="C285" s="119" t="str">
        <f>IF($B285="","",IFERROR(INDEX(상담데이터입력!$D$3:$D$502,MATCH($B285,상담데이터입력!$A$3:$A$502,0)),""))</f>
        <v/>
      </c>
      <c r="D285" s="119" t="str">
        <f>IF($B285="","",IFERROR(INDEX(상담데이터입력!$S$3:$S$502,MATCH($B285,상담데이터입력!$A$3:$A$502,0)),""))</f>
        <v/>
      </c>
      <c r="E285" s="121"/>
      <c r="F285" s="122"/>
      <c r="G285" s="123"/>
      <c r="H285" s="123"/>
      <c r="I285" s="124"/>
      <c r="J285" s="125" t="str">
        <f t="shared" si="8"/>
        <v/>
      </c>
      <c r="K285" s="119" t="str">
        <f t="shared" si="9"/>
        <v/>
      </c>
    </row>
    <row r="286" spans="1:11" ht="15" customHeight="1">
      <c r="A286" s="119" t="str">
        <f>IF($B286="","",IFERROR(INDEX(상담데이터입력!$BH$3:$BH$502,MATCH($B286,상담데이터입력!$A$3:$A$502,0)),""))</f>
        <v/>
      </c>
      <c r="B286" s="120"/>
      <c r="C286" s="119" t="str">
        <f>IF($B286="","",IFERROR(INDEX(상담데이터입력!$D$3:$D$502,MATCH($B286,상담데이터입력!$A$3:$A$502,0)),""))</f>
        <v/>
      </c>
      <c r="D286" s="119" t="str">
        <f>IF($B286="","",IFERROR(INDEX(상담데이터입력!$S$3:$S$502,MATCH($B286,상담데이터입력!$A$3:$A$502,0)),""))</f>
        <v/>
      </c>
      <c r="E286" s="121"/>
      <c r="F286" s="122"/>
      <c r="G286" s="123"/>
      <c r="H286" s="123"/>
      <c r="I286" s="124"/>
      <c r="J286" s="125" t="str">
        <f t="shared" si="8"/>
        <v/>
      </c>
      <c r="K286" s="119" t="str">
        <f t="shared" si="9"/>
        <v/>
      </c>
    </row>
    <row r="287" spans="1:11" ht="15" customHeight="1">
      <c r="A287" s="119" t="str">
        <f>IF($B287="","",IFERROR(INDEX(상담데이터입력!$BH$3:$BH$502,MATCH($B287,상담데이터입력!$A$3:$A$502,0)),""))</f>
        <v/>
      </c>
      <c r="B287" s="120"/>
      <c r="C287" s="119" t="str">
        <f>IF($B287="","",IFERROR(INDEX(상담데이터입력!$D$3:$D$502,MATCH($B287,상담데이터입력!$A$3:$A$502,0)),""))</f>
        <v/>
      </c>
      <c r="D287" s="119" t="str">
        <f>IF($B287="","",IFERROR(INDEX(상담데이터입력!$S$3:$S$502,MATCH($B287,상담데이터입력!$A$3:$A$502,0)),""))</f>
        <v/>
      </c>
      <c r="E287" s="121"/>
      <c r="F287" s="122"/>
      <c r="G287" s="123"/>
      <c r="H287" s="123"/>
      <c r="I287" s="124"/>
      <c r="J287" s="125" t="str">
        <f t="shared" si="8"/>
        <v/>
      </c>
      <c r="K287" s="119" t="str">
        <f t="shared" si="9"/>
        <v/>
      </c>
    </row>
    <row r="288" spans="1:11" ht="15" customHeight="1">
      <c r="A288" s="119" t="str">
        <f>IF($B288="","",IFERROR(INDEX(상담데이터입력!$BH$3:$BH$502,MATCH($B288,상담데이터입력!$A$3:$A$502,0)),""))</f>
        <v/>
      </c>
      <c r="B288" s="120"/>
      <c r="C288" s="119" t="str">
        <f>IF($B288="","",IFERROR(INDEX(상담데이터입력!$D$3:$D$502,MATCH($B288,상담데이터입력!$A$3:$A$502,0)),""))</f>
        <v/>
      </c>
      <c r="D288" s="119" t="str">
        <f>IF($B288="","",IFERROR(INDEX(상담데이터입력!$S$3:$S$502,MATCH($B288,상담데이터입력!$A$3:$A$502,0)),""))</f>
        <v/>
      </c>
      <c r="E288" s="121"/>
      <c r="F288" s="122"/>
      <c r="G288" s="123"/>
      <c r="H288" s="123"/>
      <c r="I288" s="124"/>
      <c r="J288" s="125" t="str">
        <f t="shared" si="8"/>
        <v/>
      </c>
      <c r="K288" s="119" t="str">
        <f t="shared" si="9"/>
        <v/>
      </c>
    </row>
    <row r="289" spans="1:11" ht="15" customHeight="1">
      <c r="A289" s="119" t="str">
        <f>IF($B289="","",IFERROR(INDEX(상담데이터입력!$BH$3:$BH$502,MATCH($B289,상담데이터입력!$A$3:$A$502,0)),""))</f>
        <v/>
      </c>
      <c r="B289" s="120"/>
      <c r="C289" s="119" t="str">
        <f>IF($B289="","",IFERROR(INDEX(상담데이터입력!$D$3:$D$502,MATCH($B289,상담데이터입력!$A$3:$A$502,0)),""))</f>
        <v/>
      </c>
      <c r="D289" s="119" t="str">
        <f>IF($B289="","",IFERROR(INDEX(상담데이터입력!$S$3:$S$502,MATCH($B289,상담데이터입력!$A$3:$A$502,0)),""))</f>
        <v/>
      </c>
      <c r="E289" s="121"/>
      <c r="F289" s="122"/>
      <c r="G289" s="123"/>
      <c r="H289" s="123"/>
      <c r="I289" s="124"/>
      <c r="J289" s="125" t="str">
        <f t="shared" si="8"/>
        <v/>
      </c>
      <c r="K289" s="119" t="str">
        <f t="shared" si="9"/>
        <v/>
      </c>
    </row>
    <row r="290" spans="1:11" ht="15" customHeight="1">
      <c r="A290" s="119" t="str">
        <f>IF($B290="","",IFERROR(INDEX(상담데이터입력!$BH$3:$BH$502,MATCH($B290,상담데이터입력!$A$3:$A$502,0)),""))</f>
        <v/>
      </c>
      <c r="B290" s="120"/>
      <c r="C290" s="119" t="str">
        <f>IF($B290="","",IFERROR(INDEX(상담데이터입력!$D$3:$D$502,MATCH($B290,상담데이터입력!$A$3:$A$502,0)),""))</f>
        <v/>
      </c>
      <c r="D290" s="119" t="str">
        <f>IF($B290="","",IFERROR(INDEX(상담데이터입력!$S$3:$S$502,MATCH($B290,상담데이터입력!$A$3:$A$502,0)),""))</f>
        <v/>
      </c>
      <c r="E290" s="121"/>
      <c r="F290" s="122"/>
      <c r="G290" s="123"/>
      <c r="H290" s="123"/>
      <c r="I290" s="124"/>
      <c r="J290" s="125" t="str">
        <f t="shared" si="8"/>
        <v/>
      </c>
      <c r="K290" s="119" t="str">
        <f t="shared" si="9"/>
        <v/>
      </c>
    </row>
    <row r="291" spans="1:11" ht="15" customHeight="1">
      <c r="A291" s="119" t="str">
        <f>IF($B291="","",IFERROR(INDEX(상담데이터입력!$BH$3:$BH$502,MATCH($B291,상담데이터입력!$A$3:$A$502,0)),""))</f>
        <v/>
      </c>
      <c r="B291" s="120"/>
      <c r="C291" s="119" t="str">
        <f>IF($B291="","",IFERROR(INDEX(상담데이터입력!$D$3:$D$502,MATCH($B291,상담데이터입력!$A$3:$A$502,0)),""))</f>
        <v/>
      </c>
      <c r="D291" s="119" t="str">
        <f>IF($B291="","",IFERROR(INDEX(상담데이터입력!$S$3:$S$502,MATCH($B291,상담데이터입력!$A$3:$A$502,0)),""))</f>
        <v/>
      </c>
      <c r="E291" s="121"/>
      <c r="F291" s="122"/>
      <c r="G291" s="123"/>
      <c r="H291" s="123"/>
      <c r="I291" s="124"/>
      <c r="J291" s="125" t="str">
        <f t="shared" si="8"/>
        <v/>
      </c>
      <c r="K291" s="119" t="str">
        <f t="shared" si="9"/>
        <v/>
      </c>
    </row>
    <row r="292" spans="1:11" ht="15" customHeight="1">
      <c r="A292" s="119" t="str">
        <f>IF($B292="","",IFERROR(INDEX(상담데이터입력!$BH$3:$BH$502,MATCH($B292,상담데이터입력!$A$3:$A$502,0)),""))</f>
        <v/>
      </c>
      <c r="B292" s="120"/>
      <c r="C292" s="119" t="str">
        <f>IF($B292="","",IFERROR(INDEX(상담데이터입력!$D$3:$D$502,MATCH($B292,상담데이터입력!$A$3:$A$502,0)),""))</f>
        <v/>
      </c>
      <c r="D292" s="119" t="str">
        <f>IF($B292="","",IFERROR(INDEX(상담데이터입력!$S$3:$S$502,MATCH($B292,상담데이터입력!$A$3:$A$502,0)),""))</f>
        <v/>
      </c>
      <c r="E292" s="121"/>
      <c r="F292" s="122"/>
      <c r="G292" s="123"/>
      <c r="H292" s="123"/>
      <c r="I292" s="124"/>
      <c r="J292" s="125" t="str">
        <f t="shared" si="8"/>
        <v/>
      </c>
      <c r="K292" s="119" t="str">
        <f t="shared" si="9"/>
        <v/>
      </c>
    </row>
    <row r="293" spans="1:11" ht="15" customHeight="1">
      <c r="A293" s="119" t="str">
        <f>IF($B293="","",IFERROR(INDEX(상담데이터입력!$BH$3:$BH$502,MATCH($B293,상담데이터입력!$A$3:$A$502,0)),""))</f>
        <v/>
      </c>
      <c r="B293" s="120"/>
      <c r="C293" s="119" t="str">
        <f>IF($B293="","",IFERROR(INDEX(상담데이터입력!$D$3:$D$502,MATCH($B293,상담데이터입력!$A$3:$A$502,0)),""))</f>
        <v/>
      </c>
      <c r="D293" s="119" t="str">
        <f>IF($B293="","",IFERROR(INDEX(상담데이터입력!$S$3:$S$502,MATCH($B293,상담데이터입력!$A$3:$A$502,0)),""))</f>
        <v/>
      </c>
      <c r="E293" s="121"/>
      <c r="F293" s="122"/>
      <c r="G293" s="123"/>
      <c r="H293" s="123"/>
      <c r="I293" s="124"/>
      <c r="J293" s="125" t="str">
        <f t="shared" si="8"/>
        <v/>
      </c>
      <c r="K293" s="119" t="str">
        <f t="shared" si="9"/>
        <v/>
      </c>
    </row>
    <row r="294" spans="1:11" ht="15" customHeight="1">
      <c r="A294" s="119" t="str">
        <f>IF($B294="","",IFERROR(INDEX(상담데이터입력!$BH$3:$BH$502,MATCH($B294,상담데이터입력!$A$3:$A$502,0)),""))</f>
        <v/>
      </c>
      <c r="B294" s="120"/>
      <c r="C294" s="119" t="str">
        <f>IF($B294="","",IFERROR(INDEX(상담데이터입력!$D$3:$D$502,MATCH($B294,상담데이터입력!$A$3:$A$502,0)),""))</f>
        <v/>
      </c>
      <c r="D294" s="119" t="str">
        <f>IF($B294="","",IFERROR(INDEX(상담데이터입력!$S$3:$S$502,MATCH($B294,상담데이터입력!$A$3:$A$502,0)),""))</f>
        <v/>
      </c>
      <c r="E294" s="121"/>
      <c r="F294" s="122"/>
      <c r="G294" s="123"/>
      <c r="H294" s="123"/>
      <c r="I294" s="124"/>
      <c r="J294" s="125" t="str">
        <f t="shared" si="8"/>
        <v/>
      </c>
      <c r="K294" s="119" t="str">
        <f t="shared" si="9"/>
        <v/>
      </c>
    </row>
    <row r="295" spans="1:11" ht="15" customHeight="1">
      <c r="A295" s="119" t="str">
        <f>IF($B295="","",IFERROR(INDEX(상담데이터입력!$BH$3:$BH$502,MATCH($B295,상담데이터입력!$A$3:$A$502,0)),""))</f>
        <v/>
      </c>
      <c r="B295" s="120"/>
      <c r="C295" s="119" t="str">
        <f>IF($B295="","",IFERROR(INDEX(상담데이터입력!$D$3:$D$502,MATCH($B295,상담데이터입력!$A$3:$A$502,0)),""))</f>
        <v/>
      </c>
      <c r="D295" s="119" t="str">
        <f>IF($B295="","",IFERROR(INDEX(상담데이터입력!$S$3:$S$502,MATCH($B295,상담데이터입력!$A$3:$A$502,0)),""))</f>
        <v/>
      </c>
      <c r="E295" s="121"/>
      <c r="F295" s="122"/>
      <c r="G295" s="123"/>
      <c r="H295" s="123"/>
      <c r="I295" s="124"/>
      <c r="J295" s="125" t="str">
        <f t="shared" si="8"/>
        <v/>
      </c>
      <c r="K295" s="119" t="str">
        <f t="shared" si="9"/>
        <v/>
      </c>
    </row>
    <row r="296" spans="1:11" ht="15" customHeight="1">
      <c r="A296" s="119" t="str">
        <f>IF($B296="","",IFERROR(INDEX(상담데이터입력!$BH$3:$BH$502,MATCH($B296,상담데이터입력!$A$3:$A$502,0)),""))</f>
        <v/>
      </c>
      <c r="B296" s="120"/>
      <c r="C296" s="119" t="str">
        <f>IF($B296="","",IFERROR(INDEX(상담데이터입력!$D$3:$D$502,MATCH($B296,상담데이터입력!$A$3:$A$502,0)),""))</f>
        <v/>
      </c>
      <c r="D296" s="119" t="str">
        <f>IF($B296="","",IFERROR(INDEX(상담데이터입력!$S$3:$S$502,MATCH($B296,상담데이터입력!$A$3:$A$502,0)),""))</f>
        <v/>
      </c>
      <c r="E296" s="121"/>
      <c r="F296" s="122"/>
      <c r="G296" s="123"/>
      <c r="H296" s="123"/>
      <c r="I296" s="124"/>
      <c r="J296" s="125" t="str">
        <f t="shared" si="8"/>
        <v/>
      </c>
      <c r="K296" s="119" t="str">
        <f t="shared" si="9"/>
        <v/>
      </c>
    </row>
    <row r="297" spans="1:11" ht="15" customHeight="1">
      <c r="A297" s="119" t="str">
        <f>IF($B297="","",IFERROR(INDEX(상담데이터입력!$BH$3:$BH$502,MATCH($B297,상담데이터입력!$A$3:$A$502,0)),""))</f>
        <v/>
      </c>
      <c r="B297" s="120"/>
      <c r="C297" s="119" t="str">
        <f>IF($B297="","",IFERROR(INDEX(상담데이터입력!$D$3:$D$502,MATCH($B297,상담데이터입력!$A$3:$A$502,0)),""))</f>
        <v/>
      </c>
      <c r="D297" s="119" t="str">
        <f>IF($B297="","",IFERROR(INDEX(상담데이터입력!$S$3:$S$502,MATCH($B297,상담데이터입력!$A$3:$A$502,0)),""))</f>
        <v/>
      </c>
      <c r="E297" s="121"/>
      <c r="F297" s="122"/>
      <c r="G297" s="123"/>
      <c r="H297" s="123"/>
      <c r="I297" s="124"/>
      <c r="J297" s="125" t="str">
        <f t="shared" si="8"/>
        <v/>
      </c>
      <c r="K297" s="119" t="str">
        <f t="shared" si="9"/>
        <v/>
      </c>
    </row>
    <row r="298" spans="1:11" ht="15" customHeight="1">
      <c r="A298" s="119" t="str">
        <f>IF($B298="","",IFERROR(INDEX(상담데이터입력!$BH$3:$BH$502,MATCH($B298,상담데이터입력!$A$3:$A$502,0)),""))</f>
        <v/>
      </c>
      <c r="B298" s="120"/>
      <c r="C298" s="119" t="str">
        <f>IF($B298="","",IFERROR(INDEX(상담데이터입력!$D$3:$D$502,MATCH($B298,상담데이터입력!$A$3:$A$502,0)),""))</f>
        <v/>
      </c>
      <c r="D298" s="119" t="str">
        <f>IF($B298="","",IFERROR(INDEX(상담데이터입력!$S$3:$S$502,MATCH($B298,상담데이터입력!$A$3:$A$502,0)),""))</f>
        <v/>
      </c>
      <c r="E298" s="121"/>
      <c r="F298" s="122"/>
      <c r="G298" s="123"/>
      <c r="H298" s="123"/>
      <c r="I298" s="124"/>
      <c r="J298" s="125" t="str">
        <f t="shared" si="8"/>
        <v/>
      </c>
      <c r="K298" s="119" t="str">
        <f t="shared" si="9"/>
        <v/>
      </c>
    </row>
    <row r="299" spans="1:11" ht="15" customHeight="1">
      <c r="A299" s="119" t="str">
        <f>IF($B299="","",IFERROR(INDEX(상담데이터입력!$BH$3:$BH$502,MATCH($B299,상담데이터입력!$A$3:$A$502,0)),""))</f>
        <v/>
      </c>
      <c r="B299" s="120"/>
      <c r="C299" s="119" t="str">
        <f>IF($B299="","",IFERROR(INDEX(상담데이터입력!$D$3:$D$502,MATCH($B299,상담데이터입력!$A$3:$A$502,0)),""))</f>
        <v/>
      </c>
      <c r="D299" s="119" t="str">
        <f>IF($B299="","",IFERROR(INDEX(상담데이터입력!$S$3:$S$502,MATCH($B299,상담데이터입력!$A$3:$A$502,0)),""))</f>
        <v/>
      </c>
      <c r="E299" s="121"/>
      <c r="F299" s="122"/>
      <c r="G299" s="123"/>
      <c r="H299" s="123"/>
      <c r="I299" s="124"/>
      <c r="J299" s="125" t="str">
        <f t="shared" si="8"/>
        <v/>
      </c>
      <c r="K299" s="119" t="str">
        <f t="shared" si="9"/>
        <v/>
      </c>
    </row>
    <row r="300" spans="1:11" ht="15" customHeight="1">
      <c r="A300" s="119" t="str">
        <f>IF($B300="","",IFERROR(INDEX(상담데이터입력!$BH$3:$BH$502,MATCH($B300,상담데이터입력!$A$3:$A$502,0)),""))</f>
        <v/>
      </c>
      <c r="B300" s="120"/>
      <c r="C300" s="119" t="str">
        <f>IF($B300="","",IFERROR(INDEX(상담데이터입력!$D$3:$D$502,MATCH($B300,상담데이터입력!$A$3:$A$502,0)),""))</f>
        <v/>
      </c>
      <c r="D300" s="119" t="str">
        <f>IF($B300="","",IFERROR(INDEX(상담데이터입력!$S$3:$S$502,MATCH($B300,상담데이터입력!$A$3:$A$502,0)),""))</f>
        <v/>
      </c>
      <c r="E300" s="121"/>
      <c r="F300" s="122"/>
      <c r="G300" s="123"/>
      <c r="H300" s="123"/>
      <c r="I300" s="124"/>
      <c r="J300" s="125" t="str">
        <f t="shared" si="8"/>
        <v/>
      </c>
      <c r="K300" s="119" t="str">
        <f t="shared" si="9"/>
        <v/>
      </c>
    </row>
    <row r="301" spans="1:11" ht="15" customHeight="1">
      <c r="A301" s="119" t="str">
        <f>IF($B301="","",IFERROR(INDEX(상담데이터입력!$BH$3:$BH$502,MATCH($B301,상담데이터입력!$A$3:$A$502,0)),""))</f>
        <v/>
      </c>
      <c r="B301" s="120"/>
      <c r="C301" s="119" t="str">
        <f>IF($B301="","",IFERROR(INDEX(상담데이터입력!$D$3:$D$502,MATCH($B301,상담데이터입력!$A$3:$A$502,0)),""))</f>
        <v/>
      </c>
      <c r="D301" s="119" t="str">
        <f>IF($B301="","",IFERROR(INDEX(상담데이터입력!$S$3:$S$502,MATCH($B301,상담데이터입력!$A$3:$A$502,0)),""))</f>
        <v/>
      </c>
      <c r="E301" s="121"/>
      <c r="F301" s="122"/>
      <c r="G301" s="123"/>
      <c r="H301" s="123"/>
      <c r="I301" s="124"/>
      <c r="J301" s="125" t="str">
        <f t="shared" si="8"/>
        <v/>
      </c>
      <c r="K301" s="119" t="str">
        <f t="shared" si="9"/>
        <v/>
      </c>
    </row>
    <row r="302" spans="1:11" ht="15" customHeight="1">
      <c r="A302" s="119" t="str">
        <f>IF($B302="","",IFERROR(INDEX(상담데이터입력!$BH$3:$BH$502,MATCH($B302,상담데이터입력!$A$3:$A$502,0)),""))</f>
        <v/>
      </c>
      <c r="B302" s="120"/>
      <c r="C302" s="119" t="str">
        <f>IF($B302="","",IFERROR(INDEX(상담데이터입력!$D$3:$D$502,MATCH($B302,상담데이터입력!$A$3:$A$502,0)),""))</f>
        <v/>
      </c>
      <c r="D302" s="119" t="str">
        <f>IF($B302="","",IFERROR(INDEX(상담데이터입력!$S$3:$S$502,MATCH($B302,상담데이터입력!$A$3:$A$502,0)),""))</f>
        <v/>
      </c>
      <c r="E302" s="121"/>
      <c r="F302" s="122"/>
      <c r="G302" s="123"/>
      <c r="H302" s="123"/>
      <c r="I302" s="124"/>
      <c r="J302" s="125" t="str">
        <f t="shared" si="8"/>
        <v/>
      </c>
      <c r="K302" s="119" t="str">
        <f t="shared" si="9"/>
        <v/>
      </c>
    </row>
    <row r="303" spans="1:11" ht="15" customHeight="1">
      <c r="A303" s="119" t="str">
        <f>IF($B303="","",IFERROR(INDEX(상담데이터입력!$BH$3:$BH$502,MATCH($B303,상담데이터입력!$A$3:$A$502,0)),""))</f>
        <v/>
      </c>
      <c r="B303" s="120"/>
      <c r="C303" s="119" t="str">
        <f>IF($B303="","",IFERROR(INDEX(상담데이터입력!$D$3:$D$502,MATCH($B303,상담데이터입력!$A$3:$A$502,0)),""))</f>
        <v/>
      </c>
      <c r="D303" s="119" t="str">
        <f>IF($B303="","",IFERROR(INDEX(상담데이터입력!$S$3:$S$502,MATCH($B303,상담데이터입력!$A$3:$A$502,0)),""))</f>
        <v/>
      </c>
      <c r="E303" s="121"/>
      <c r="F303" s="122"/>
      <c r="G303" s="123"/>
      <c r="H303" s="123"/>
      <c r="I303" s="124"/>
      <c r="J303" s="125" t="str">
        <f t="shared" si="8"/>
        <v/>
      </c>
      <c r="K303" s="119" t="str">
        <f t="shared" si="9"/>
        <v/>
      </c>
    </row>
    <row r="304" spans="1:11" ht="15" customHeight="1">
      <c r="A304" s="119" t="str">
        <f>IF($B304="","",IFERROR(INDEX(상담데이터입력!$BH$3:$BH$502,MATCH($B304,상담데이터입력!$A$3:$A$502,0)),""))</f>
        <v/>
      </c>
      <c r="B304" s="120"/>
      <c r="C304" s="119" t="str">
        <f>IF($B304="","",IFERROR(INDEX(상담데이터입력!$D$3:$D$502,MATCH($B304,상담데이터입력!$A$3:$A$502,0)),""))</f>
        <v/>
      </c>
      <c r="D304" s="119" t="str">
        <f>IF($B304="","",IFERROR(INDEX(상담데이터입력!$S$3:$S$502,MATCH($B304,상담데이터입력!$A$3:$A$502,0)),""))</f>
        <v/>
      </c>
      <c r="E304" s="121"/>
      <c r="F304" s="122"/>
      <c r="G304" s="123"/>
      <c r="H304" s="123"/>
      <c r="I304" s="124"/>
      <c r="J304" s="125" t="str">
        <f t="shared" si="8"/>
        <v/>
      </c>
      <c r="K304" s="119" t="str">
        <f t="shared" si="9"/>
        <v/>
      </c>
    </row>
    <row r="305" spans="1:11" ht="15" customHeight="1">
      <c r="A305" s="119" t="str">
        <f>IF($B305="","",IFERROR(INDEX(상담데이터입력!$BH$3:$BH$502,MATCH($B305,상담데이터입력!$A$3:$A$502,0)),""))</f>
        <v/>
      </c>
      <c r="B305" s="120"/>
      <c r="C305" s="119" t="str">
        <f>IF($B305="","",IFERROR(INDEX(상담데이터입력!$D$3:$D$502,MATCH($B305,상담데이터입력!$A$3:$A$502,0)),""))</f>
        <v/>
      </c>
      <c r="D305" s="119" t="str">
        <f>IF($B305="","",IFERROR(INDEX(상담데이터입력!$S$3:$S$502,MATCH($B305,상담데이터입력!$A$3:$A$502,0)),""))</f>
        <v/>
      </c>
      <c r="E305" s="121"/>
      <c r="F305" s="122"/>
      <c r="G305" s="123"/>
      <c r="H305" s="123"/>
      <c r="I305" s="124"/>
      <c r="J305" s="125" t="str">
        <f t="shared" si="8"/>
        <v/>
      </c>
      <c r="K305" s="119" t="str">
        <f t="shared" si="9"/>
        <v/>
      </c>
    </row>
    <row r="306" spans="1:11" ht="15" customHeight="1">
      <c r="A306" s="119" t="str">
        <f>IF($B306="","",IFERROR(INDEX(상담데이터입력!$BH$3:$BH$502,MATCH($B306,상담데이터입력!$A$3:$A$502,0)),""))</f>
        <v/>
      </c>
      <c r="B306" s="120"/>
      <c r="C306" s="119" t="str">
        <f>IF($B306="","",IFERROR(INDEX(상담데이터입력!$D$3:$D$502,MATCH($B306,상담데이터입력!$A$3:$A$502,0)),""))</f>
        <v/>
      </c>
      <c r="D306" s="119" t="str">
        <f>IF($B306="","",IFERROR(INDEX(상담데이터입력!$S$3:$S$502,MATCH($B306,상담데이터입력!$A$3:$A$502,0)),""))</f>
        <v/>
      </c>
      <c r="E306" s="121"/>
      <c r="F306" s="122"/>
      <c r="G306" s="123"/>
      <c r="H306" s="123"/>
      <c r="I306" s="124"/>
      <c r="J306" s="125" t="str">
        <f t="shared" si="8"/>
        <v/>
      </c>
      <c r="K306" s="119" t="str">
        <f t="shared" si="9"/>
        <v/>
      </c>
    </row>
    <row r="307" spans="1:11" ht="15" customHeight="1">
      <c r="A307" s="119" t="str">
        <f>IF($B307="","",IFERROR(INDEX(상담데이터입력!$BH$3:$BH$502,MATCH($B307,상담데이터입력!$A$3:$A$502,0)),""))</f>
        <v/>
      </c>
      <c r="B307" s="120"/>
      <c r="C307" s="119" t="str">
        <f>IF($B307="","",IFERROR(INDEX(상담데이터입력!$D$3:$D$502,MATCH($B307,상담데이터입력!$A$3:$A$502,0)),""))</f>
        <v/>
      </c>
      <c r="D307" s="119" t="str">
        <f>IF($B307="","",IFERROR(INDEX(상담데이터입력!$S$3:$S$502,MATCH($B307,상담데이터입력!$A$3:$A$502,0)),""))</f>
        <v/>
      </c>
      <c r="E307" s="121"/>
      <c r="F307" s="122"/>
      <c r="G307" s="123"/>
      <c r="H307" s="123"/>
      <c r="I307" s="124"/>
      <c r="J307" s="125" t="str">
        <f t="shared" si="8"/>
        <v/>
      </c>
      <c r="K307" s="119" t="str">
        <f t="shared" si="9"/>
        <v/>
      </c>
    </row>
    <row r="308" spans="1:11" ht="15" customHeight="1">
      <c r="A308" s="119" t="str">
        <f>IF($B308="","",IFERROR(INDEX(상담데이터입력!$BH$3:$BH$502,MATCH($B308,상담데이터입력!$A$3:$A$502,0)),""))</f>
        <v/>
      </c>
      <c r="B308" s="120"/>
      <c r="C308" s="119" t="str">
        <f>IF($B308="","",IFERROR(INDEX(상담데이터입력!$D$3:$D$502,MATCH($B308,상담데이터입력!$A$3:$A$502,0)),""))</f>
        <v/>
      </c>
      <c r="D308" s="119" t="str">
        <f>IF($B308="","",IFERROR(INDEX(상담데이터입력!$S$3:$S$502,MATCH($B308,상담데이터입력!$A$3:$A$502,0)),""))</f>
        <v/>
      </c>
      <c r="E308" s="121"/>
      <c r="F308" s="122"/>
      <c r="G308" s="123"/>
      <c r="H308" s="123"/>
      <c r="I308" s="124"/>
      <c r="J308" s="125" t="str">
        <f t="shared" si="8"/>
        <v/>
      </c>
      <c r="K308" s="119" t="str">
        <f t="shared" si="9"/>
        <v/>
      </c>
    </row>
    <row r="309" spans="1:11" ht="15" customHeight="1">
      <c r="A309" s="119" t="str">
        <f>IF($B309="","",IFERROR(INDEX(상담데이터입력!$BH$3:$BH$502,MATCH($B309,상담데이터입력!$A$3:$A$502,0)),""))</f>
        <v/>
      </c>
      <c r="B309" s="120"/>
      <c r="C309" s="119" t="str">
        <f>IF($B309="","",IFERROR(INDEX(상담데이터입력!$D$3:$D$502,MATCH($B309,상담데이터입력!$A$3:$A$502,0)),""))</f>
        <v/>
      </c>
      <c r="D309" s="119" t="str">
        <f>IF($B309="","",IFERROR(INDEX(상담데이터입력!$S$3:$S$502,MATCH($B309,상담데이터입력!$A$3:$A$502,0)),""))</f>
        <v/>
      </c>
      <c r="E309" s="121"/>
      <c r="F309" s="122"/>
      <c r="G309" s="123"/>
      <c r="H309" s="123"/>
      <c r="I309" s="124"/>
      <c r="J309" s="125" t="str">
        <f t="shared" si="8"/>
        <v/>
      </c>
      <c r="K309" s="119" t="str">
        <f t="shared" si="9"/>
        <v/>
      </c>
    </row>
    <row r="310" spans="1:11" ht="15" customHeight="1">
      <c r="A310" s="119" t="str">
        <f>IF($B310="","",IFERROR(INDEX(상담데이터입력!$BH$3:$BH$502,MATCH($B310,상담데이터입력!$A$3:$A$502,0)),""))</f>
        <v/>
      </c>
      <c r="B310" s="120"/>
      <c r="C310" s="119" t="str">
        <f>IF($B310="","",IFERROR(INDEX(상담데이터입력!$D$3:$D$502,MATCH($B310,상담데이터입력!$A$3:$A$502,0)),""))</f>
        <v/>
      </c>
      <c r="D310" s="119" t="str">
        <f>IF($B310="","",IFERROR(INDEX(상담데이터입력!$S$3:$S$502,MATCH($B310,상담데이터입력!$A$3:$A$502,0)),""))</f>
        <v/>
      </c>
      <c r="E310" s="121"/>
      <c r="F310" s="122"/>
      <c r="G310" s="123"/>
      <c r="H310" s="123"/>
      <c r="I310" s="124"/>
      <c r="J310" s="125" t="str">
        <f t="shared" si="8"/>
        <v/>
      </c>
      <c r="K310" s="119" t="str">
        <f t="shared" si="9"/>
        <v/>
      </c>
    </row>
    <row r="311" spans="1:11" ht="15" customHeight="1">
      <c r="A311" s="119" t="str">
        <f>IF($B311="","",IFERROR(INDEX(상담데이터입력!$BH$3:$BH$502,MATCH($B311,상담데이터입력!$A$3:$A$502,0)),""))</f>
        <v/>
      </c>
      <c r="B311" s="120"/>
      <c r="C311" s="119" t="str">
        <f>IF($B311="","",IFERROR(INDEX(상담데이터입력!$D$3:$D$502,MATCH($B311,상담데이터입력!$A$3:$A$502,0)),""))</f>
        <v/>
      </c>
      <c r="D311" s="119" t="str">
        <f>IF($B311="","",IFERROR(INDEX(상담데이터입력!$S$3:$S$502,MATCH($B311,상담데이터입력!$A$3:$A$502,0)),""))</f>
        <v/>
      </c>
      <c r="E311" s="121"/>
      <c r="F311" s="122"/>
      <c r="G311" s="123"/>
      <c r="H311" s="123"/>
      <c r="I311" s="124"/>
      <c r="J311" s="125" t="str">
        <f t="shared" si="8"/>
        <v/>
      </c>
      <c r="K311" s="119" t="str">
        <f t="shared" si="9"/>
        <v/>
      </c>
    </row>
    <row r="312" spans="1:11" ht="15" customHeight="1">
      <c r="A312" s="119" t="str">
        <f>IF($B312="","",IFERROR(INDEX(상담데이터입력!$BH$3:$BH$502,MATCH($B312,상담데이터입력!$A$3:$A$502,0)),""))</f>
        <v/>
      </c>
      <c r="B312" s="120"/>
      <c r="C312" s="119" t="str">
        <f>IF($B312="","",IFERROR(INDEX(상담데이터입력!$D$3:$D$502,MATCH($B312,상담데이터입력!$A$3:$A$502,0)),""))</f>
        <v/>
      </c>
      <c r="D312" s="119" t="str">
        <f>IF($B312="","",IFERROR(INDEX(상담데이터입력!$S$3:$S$502,MATCH($B312,상담데이터입력!$A$3:$A$502,0)),""))</f>
        <v/>
      </c>
      <c r="E312" s="121"/>
      <c r="F312" s="122"/>
      <c r="G312" s="123"/>
      <c r="H312" s="123"/>
      <c r="I312" s="124"/>
      <c r="J312" s="125" t="str">
        <f t="shared" si="8"/>
        <v/>
      </c>
      <c r="K312" s="119" t="str">
        <f t="shared" si="9"/>
        <v/>
      </c>
    </row>
    <row r="313" spans="1:11" ht="15" customHeight="1">
      <c r="A313" s="119" t="str">
        <f>IF($B313="","",IFERROR(INDEX(상담데이터입력!$BH$3:$BH$502,MATCH($B313,상담데이터입력!$A$3:$A$502,0)),""))</f>
        <v/>
      </c>
      <c r="B313" s="120"/>
      <c r="C313" s="119" t="str">
        <f>IF($B313="","",IFERROR(INDEX(상담데이터입력!$D$3:$D$502,MATCH($B313,상담데이터입력!$A$3:$A$502,0)),""))</f>
        <v/>
      </c>
      <c r="D313" s="119" t="str">
        <f>IF($B313="","",IFERROR(INDEX(상담데이터입력!$S$3:$S$502,MATCH($B313,상담데이터입력!$A$3:$A$502,0)),""))</f>
        <v/>
      </c>
      <c r="E313" s="121"/>
      <c r="F313" s="122"/>
      <c r="G313" s="123"/>
      <c r="H313" s="123"/>
      <c r="I313" s="124"/>
      <c r="J313" s="125" t="str">
        <f t="shared" si="8"/>
        <v/>
      </c>
      <c r="K313" s="119" t="str">
        <f t="shared" si="9"/>
        <v/>
      </c>
    </row>
    <row r="314" spans="1:11" ht="15" customHeight="1">
      <c r="A314" s="119" t="str">
        <f>IF($B314="","",IFERROR(INDEX(상담데이터입력!$BH$3:$BH$502,MATCH($B314,상담데이터입력!$A$3:$A$502,0)),""))</f>
        <v/>
      </c>
      <c r="B314" s="120"/>
      <c r="C314" s="119" t="str">
        <f>IF($B314="","",IFERROR(INDEX(상담데이터입력!$D$3:$D$502,MATCH($B314,상담데이터입력!$A$3:$A$502,0)),""))</f>
        <v/>
      </c>
      <c r="D314" s="119" t="str">
        <f>IF($B314="","",IFERROR(INDEX(상담데이터입력!$S$3:$S$502,MATCH($B314,상담데이터입력!$A$3:$A$502,0)),""))</f>
        <v/>
      </c>
      <c r="E314" s="121"/>
      <c r="F314" s="122"/>
      <c r="G314" s="123"/>
      <c r="H314" s="123"/>
      <c r="I314" s="124"/>
      <c r="J314" s="125" t="str">
        <f t="shared" si="8"/>
        <v/>
      </c>
      <c r="K314" s="119" t="str">
        <f t="shared" si="9"/>
        <v/>
      </c>
    </row>
    <row r="315" spans="1:11" ht="15" customHeight="1">
      <c r="A315" s="119" t="str">
        <f>IF($B315="","",IFERROR(INDEX(상담데이터입력!$BH$3:$BH$502,MATCH($B315,상담데이터입력!$A$3:$A$502,0)),""))</f>
        <v/>
      </c>
      <c r="B315" s="120"/>
      <c r="C315" s="119" t="str">
        <f>IF($B315="","",IFERROR(INDEX(상담데이터입력!$D$3:$D$502,MATCH($B315,상담데이터입력!$A$3:$A$502,0)),""))</f>
        <v/>
      </c>
      <c r="D315" s="119" t="str">
        <f>IF($B315="","",IFERROR(INDEX(상담데이터입력!$S$3:$S$502,MATCH($B315,상담데이터입력!$A$3:$A$502,0)),""))</f>
        <v/>
      </c>
      <c r="E315" s="121"/>
      <c r="F315" s="122"/>
      <c r="G315" s="123"/>
      <c r="H315" s="123"/>
      <c r="I315" s="124"/>
      <c r="J315" s="125" t="str">
        <f t="shared" si="8"/>
        <v/>
      </c>
      <c r="K315" s="119" t="str">
        <f t="shared" si="9"/>
        <v/>
      </c>
    </row>
    <row r="316" spans="1:11" ht="15" customHeight="1">
      <c r="A316" s="119" t="str">
        <f>IF($B316="","",IFERROR(INDEX(상담데이터입력!$BH$3:$BH$502,MATCH($B316,상담데이터입력!$A$3:$A$502,0)),""))</f>
        <v/>
      </c>
      <c r="B316" s="120"/>
      <c r="C316" s="119" t="str">
        <f>IF($B316="","",IFERROR(INDEX(상담데이터입력!$D$3:$D$502,MATCH($B316,상담데이터입력!$A$3:$A$502,0)),""))</f>
        <v/>
      </c>
      <c r="D316" s="119" t="str">
        <f>IF($B316="","",IFERROR(INDEX(상담데이터입력!$S$3:$S$502,MATCH($B316,상담데이터입력!$A$3:$A$502,0)),""))</f>
        <v/>
      </c>
      <c r="E316" s="121"/>
      <c r="F316" s="122"/>
      <c r="G316" s="123"/>
      <c r="H316" s="123"/>
      <c r="I316" s="124"/>
      <c r="J316" s="125" t="str">
        <f t="shared" si="8"/>
        <v/>
      </c>
      <c r="K316" s="119" t="str">
        <f t="shared" si="9"/>
        <v/>
      </c>
    </row>
    <row r="317" spans="1:11" ht="15" customHeight="1">
      <c r="A317" s="119" t="str">
        <f>IF($B317="","",IFERROR(INDEX(상담데이터입력!$BH$3:$BH$502,MATCH($B317,상담데이터입력!$A$3:$A$502,0)),""))</f>
        <v/>
      </c>
      <c r="B317" s="120"/>
      <c r="C317" s="119" t="str">
        <f>IF($B317="","",IFERROR(INDEX(상담데이터입력!$D$3:$D$502,MATCH($B317,상담데이터입력!$A$3:$A$502,0)),""))</f>
        <v/>
      </c>
      <c r="D317" s="119" t="str">
        <f>IF($B317="","",IFERROR(INDEX(상담데이터입력!$S$3:$S$502,MATCH($B317,상담데이터입력!$A$3:$A$502,0)),""))</f>
        <v/>
      </c>
      <c r="E317" s="121"/>
      <c r="F317" s="122"/>
      <c r="G317" s="123"/>
      <c r="H317" s="123"/>
      <c r="I317" s="124"/>
      <c r="J317" s="125" t="str">
        <f t="shared" si="8"/>
        <v/>
      </c>
      <c r="K317" s="119" t="str">
        <f t="shared" si="9"/>
        <v/>
      </c>
    </row>
    <row r="318" spans="1:11" ht="15" customHeight="1">
      <c r="A318" s="119" t="str">
        <f>IF($B318="","",IFERROR(INDEX(상담데이터입력!$BH$3:$BH$502,MATCH($B318,상담데이터입력!$A$3:$A$502,0)),""))</f>
        <v/>
      </c>
      <c r="B318" s="120"/>
      <c r="C318" s="119" t="str">
        <f>IF($B318="","",IFERROR(INDEX(상담데이터입력!$D$3:$D$502,MATCH($B318,상담데이터입력!$A$3:$A$502,0)),""))</f>
        <v/>
      </c>
      <c r="D318" s="119" t="str">
        <f>IF($B318="","",IFERROR(INDEX(상담데이터입력!$S$3:$S$502,MATCH($B318,상담데이터입력!$A$3:$A$502,0)),""))</f>
        <v/>
      </c>
      <c r="E318" s="121"/>
      <c r="F318" s="122"/>
      <c r="G318" s="123"/>
      <c r="H318" s="123"/>
      <c r="I318" s="124"/>
      <c r="J318" s="125" t="str">
        <f t="shared" si="8"/>
        <v/>
      </c>
      <c r="K318" s="119" t="str">
        <f t="shared" si="9"/>
        <v/>
      </c>
    </row>
    <row r="319" spans="1:11" ht="15" customHeight="1">
      <c r="A319" s="119" t="str">
        <f>IF($B319="","",IFERROR(INDEX(상담데이터입력!$BH$3:$BH$502,MATCH($B319,상담데이터입력!$A$3:$A$502,0)),""))</f>
        <v/>
      </c>
      <c r="B319" s="120"/>
      <c r="C319" s="119" t="str">
        <f>IF($B319="","",IFERROR(INDEX(상담데이터입력!$D$3:$D$502,MATCH($B319,상담데이터입력!$A$3:$A$502,0)),""))</f>
        <v/>
      </c>
      <c r="D319" s="119" t="str">
        <f>IF($B319="","",IFERROR(INDEX(상담데이터입력!$S$3:$S$502,MATCH($B319,상담데이터입력!$A$3:$A$502,0)),""))</f>
        <v/>
      </c>
      <c r="E319" s="121"/>
      <c r="F319" s="122"/>
      <c r="G319" s="123"/>
      <c r="H319" s="123"/>
      <c r="I319" s="124"/>
      <c r="J319" s="125" t="str">
        <f t="shared" si="8"/>
        <v/>
      </c>
      <c r="K319" s="119" t="str">
        <f t="shared" si="9"/>
        <v/>
      </c>
    </row>
    <row r="320" spans="1:11" ht="15" customHeight="1">
      <c r="A320" s="119" t="str">
        <f>IF($B320="","",IFERROR(INDEX(상담데이터입력!$BH$3:$BH$502,MATCH($B320,상담데이터입력!$A$3:$A$502,0)),""))</f>
        <v/>
      </c>
      <c r="B320" s="120"/>
      <c r="C320" s="119" t="str">
        <f>IF($B320="","",IFERROR(INDEX(상담데이터입력!$D$3:$D$502,MATCH($B320,상담데이터입력!$A$3:$A$502,0)),""))</f>
        <v/>
      </c>
      <c r="D320" s="119" t="str">
        <f>IF($B320="","",IFERROR(INDEX(상담데이터입력!$S$3:$S$502,MATCH($B320,상담데이터입력!$A$3:$A$502,0)),""))</f>
        <v/>
      </c>
      <c r="E320" s="121"/>
      <c r="F320" s="122"/>
      <c r="G320" s="123"/>
      <c r="H320" s="123"/>
      <c r="I320" s="124"/>
      <c r="J320" s="125" t="str">
        <f t="shared" si="8"/>
        <v/>
      </c>
      <c r="K320" s="119" t="str">
        <f t="shared" si="9"/>
        <v/>
      </c>
    </row>
    <row r="321" spans="1:11" ht="15" customHeight="1">
      <c r="A321" s="119" t="str">
        <f>IF($B321="","",IFERROR(INDEX(상담데이터입력!$BH$3:$BH$502,MATCH($B321,상담데이터입력!$A$3:$A$502,0)),""))</f>
        <v/>
      </c>
      <c r="B321" s="120"/>
      <c r="C321" s="119" t="str">
        <f>IF($B321="","",IFERROR(INDEX(상담데이터입력!$D$3:$D$502,MATCH($B321,상담데이터입력!$A$3:$A$502,0)),""))</f>
        <v/>
      </c>
      <c r="D321" s="119" t="str">
        <f>IF($B321="","",IFERROR(INDEX(상담데이터입력!$S$3:$S$502,MATCH($B321,상담데이터입력!$A$3:$A$502,0)),""))</f>
        <v/>
      </c>
      <c r="E321" s="121"/>
      <c r="F321" s="122"/>
      <c r="G321" s="123"/>
      <c r="H321" s="123"/>
      <c r="I321" s="124"/>
      <c r="J321" s="125" t="str">
        <f t="shared" si="8"/>
        <v/>
      </c>
      <c r="K321" s="119" t="str">
        <f t="shared" si="9"/>
        <v/>
      </c>
    </row>
    <row r="322" spans="1:11" ht="15" customHeight="1">
      <c r="A322" s="119" t="str">
        <f>IF($B322="","",IFERROR(INDEX(상담데이터입력!$BH$3:$BH$502,MATCH($B322,상담데이터입력!$A$3:$A$502,0)),""))</f>
        <v/>
      </c>
      <c r="B322" s="120"/>
      <c r="C322" s="119" t="str">
        <f>IF($B322="","",IFERROR(INDEX(상담데이터입력!$D$3:$D$502,MATCH($B322,상담데이터입력!$A$3:$A$502,0)),""))</f>
        <v/>
      </c>
      <c r="D322" s="119" t="str">
        <f>IF($B322="","",IFERROR(INDEX(상담데이터입력!$S$3:$S$502,MATCH($B322,상담데이터입력!$A$3:$A$502,0)),""))</f>
        <v/>
      </c>
      <c r="E322" s="121"/>
      <c r="F322" s="122"/>
      <c r="G322" s="123"/>
      <c r="H322" s="123"/>
      <c r="I322" s="124"/>
      <c r="J322" s="125" t="str">
        <f t="shared" si="8"/>
        <v/>
      </c>
      <c r="K322" s="119" t="str">
        <f t="shared" si="9"/>
        <v/>
      </c>
    </row>
    <row r="323" spans="1:11" ht="15" customHeight="1">
      <c r="A323" s="119" t="str">
        <f>IF($B323="","",IFERROR(INDEX(상담데이터입력!$BH$3:$BH$502,MATCH($B323,상담데이터입력!$A$3:$A$502,0)),""))</f>
        <v/>
      </c>
      <c r="B323" s="120"/>
      <c r="C323" s="119" t="str">
        <f>IF($B323="","",IFERROR(INDEX(상담데이터입력!$D$3:$D$502,MATCH($B323,상담데이터입력!$A$3:$A$502,0)),""))</f>
        <v/>
      </c>
      <c r="D323" s="119" t="str">
        <f>IF($B323="","",IFERROR(INDEX(상담데이터입력!$S$3:$S$502,MATCH($B323,상담데이터입력!$A$3:$A$502,0)),""))</f>
        <v/>
      </c>
      <c r="E323" s="121"/>
      <c r="F323" s="122"/>
      <c r="G323" s="123"/>
      <c r="H323" s="123"/>
      <c r="I323" s="124"/>
      <c r="J323" s="125" t="str">
        <f t="shared" si="8"/>
        <v/>
      </c>
      <c r="K323" s="119" t="str">
        <f t="shared" si="9"/>
        <v/>
      </c>
    </row>
    <row r="324" spans="1:11" ht="15" customHeight="1">
      <c r="A324" s="119" t="str">
        <f>IF($B324="","",IFERROR(INDEX(상담데이터입력!$BH$3:$BH$502,MATCH($B324,상담데이터입력!$A$3:$A$502,0)),""))</f>
        <v/>
      </c>
      <c r="B324" s="120"/>
      <c r="C324" s="119" t="str">
        <f>IF($B324="","",IFERROR(INDEX(상담데이터입력!$D$3:$D$502,MATCH($B324,상담데이터입력!$A$3:$A$502,0)),""))</f>
        <v/>
      </c>
      <c r="D324" s="119" t="str">
        <f>IF($B324="","",IFERROR(INDEX(상담데이터입력!$S$3:$S$502,MATCH($B324,상담데이터입력!$A$3:$A$502,0)),""))</f>
        <v/>
      </c>
      <c r="E324" s="121"/>
      <c r="F324" s="122"/>
      <c r="G324" s="123"/>
      <c r="H324" s="123"/>
      <c r="I324" s="124"/>
      <c r="J324" s="125" t="str">
        <f t="shared" si="8"/>
        <v/>
      </c>
      <c r="K324" s="119" t="str">
        <f t="shared" si="9"/>
        <v/>
      </c>
    </row>
    <row r="325" spans="1:11" ht="15" customHeight="1">
      <c r="A325" s="119" t="str">
        <f>IF($B325="","",IFERROR(INDEX(상담데이터입력!$BH$3:$BH$502,MATCH($B325,상담데이터입력!$A$3:$A$502,0)),""))</f>
        <v/>
      </c>
      <c r="B325" s="120"/>
      <c r="C325" s="119" t="str">
        <f>IF($B325="","",IFERROR(INDEX(상담데이터입력!$D$3:$D$502,MATCH($B325,상담데이터입력!$A$3:$A$502,0)),""))</f>
        <v/>
      </c>
      <c r="D325" s="119" t="str">
        <f>IF($B325="","",IFERROR(INDEX(상담데이터입력!$S$3:$S$502,MATCH($B325,상담데이터입력!$A$3:$A$502,0)),""))</f>
        <v/>
      </c>
      <c r="E325" s="121"/>
      <c r="F325" s="122"/>
      <c r="G325" s="123"/>
      <c r="H325" s="123"/>
      <c r="I325" s="124"/>
      <c r="J325" s="125" t="str">
        <f t="shared" ref="J325:J388" si="10">IF(OR($G325="",$F325=""),"",EDATE($G325,IF($F325="1개월",1,IF($F325="3개월",3,IF($F325="6개월",6,0)))))</f>
        <v/>
      </c>
      <c r="K325" s="119" t="str">
        <f t="shared" ref="K325:K388" si="11">IF($B325="","",IF($H325="","재원중","퇴소"))</f>
        <v/>
      </c>
    </row>
    <row r="326" spans="1:11" ht="15" customHeight="1">
      <c r="A326" s="119" t="str">
        <f>IF($B326="","",IFERROR(INDEX(상담데이터입력!$BH$3:$BH$502,MATCH($B326,상담데이터입력!$A$3:$A$502,0)),""))</f>
        <v/>
      </c>
      <c r="B326" s="120"/>
      <c r="C326" s="119" t="str">
        <f>IF($B326="","",IFERROR(INDEX(상담데이터입력!$D$3:$D$502,MATCH($B326,상담데이터입력!$A$3:$A$502,0)),""))</f>
        <v/>
      </c>
      <c r="D326" s="119" t="str">
        <f>IF($B326="","",IFERROR(INDEX(상담데이터입력!$S$3:$S$502,MATCH($B326,상담데이터입력!$A$3:$A$502,0)),""))</f>
        <v/>
      </c>
      <c r="E326" s="121"/>
      <c r="F326" s="122"/>
      <c r="G326" s="123"/>
      <c r="H326" s="123"/>
      <c r="I326" s="124"/>
      <c r="J326" s="125" t="str">
        <f t="shared" si="10"/>
        <v/>
      </c>
      <c r="K326" s="119" t="str">
        <f t="shared" si="11"/>
        <v/>
      </c>
    </row>
    <row r="327" spans="1:11" ht="15" customHeight="1">
      <c r="A327" s="119" t="str">
        <f>IF($B327="","",IFERROR(INDEX(상담데이터입력!$BH$3:$BH$502,MATCH($B327,상담데이터입력!$A$3:$A$502,0)),""))</f>
        <v/>
      </c>
      <c r="B327" s="120"/>
      <c r="C327" s="119" t="str">
        <f>IF($B327="","",IFERROR(INDEX(상담데이터입력!$D$3:$D$502,MATCH($B327,상담데이터입력!$A$3:$A$502,0)),""))</f>
        <v/>
      </c>
      <c r="D327" s="119" t="str">
        <f>IF($B327="","",IFERROR(INDEX(상담데이터입력!$S$3:$S$502,MATCH($B327,상담데이터입력!$A$3:$A$502,0)),""))</f>
        <v/>
      </c>
      <c r="E327" s="121"/>
      <c r="F327" s="122"/>
      <c r="G327" s="123"/>
      <c r="H327" s="123"/>
      <c r="I327" s="124"/>
      <c r="J327" s="125" t="str">
        <f t="shared" si="10"/>
        <v/>
      </c>
      <c r="K327" s="119" t="str">
        <f t="shared" si="11"/>
        <v/>
      </c>
    </row>
    <row r="328" spans="1:11" ht="15" customHeight="1">
      <c r="A328" s="119" t="str">
        <f>IF($B328="","",IFERROR(INDEX(상담데이터입력!$BH$3:$BH$502,MATCH($B328,상담데이터입력!$A$3:$A$502,0)),""))</f>
        <v/>
      </c>
      <c r="B328" s="120"/>
      <c r="C328" s="119" t="str">
        <f>IF($B328="","",IFERROR(INDEX(상담데이터입력!$D$3:$D$502,MATCH($B328,상담데이터입력!$A$3:$A$502,0)),""))</f>
        <v/>
      </c>
      <c r="D328" s="119" t="str">
        <f>IF($B328="","",IFERROR(INDEX(상담데이터입력!$S$3:$S$502,MATCH($B328,상담데이터입력!$A$3:$A$502,0)),""))</f>
        <v/>
      </c>
      <c r="E328" s="121"/>
      <c r="F328" s="122"/>
      <c r="G328" s="123"/>
      <c r="H328" s="123"/>
      <c r="I328" s="124"/>
      <c r="J328" s="125" t="str">
        <f t="shared" si="10"/>
        <v/>
      </c>
      <c r="K328" s="119" t="str">
        <f t="shared" si="11"/>
        <v/>
      </c>
    </row>
    <row r="329" spans="1:11" ht="15" customHeight="1">
      <c r="A329" s="119" t="str">
        <f>IF($B329="","",IFERROR(INDEX(상담데이터입력!$BH$3:$BH$502,MATCH($B329,상담데이터입력!$A$3:$A$502,0)),""))</f>
        <v/>
      </c>
      <c r="B329" s="120"/>
      <c r="C329" s="119" t="str">
        <f>IF($B329="","",IFERROR(INDEX(상담데이터입력!$D$3:$D$502,MATCH($B329,상담데이터입력!$A$3:$A$502,0)),""))</f>
        <v/>
      </c>
      <c r="D329" s="119" t="str">
        <f>IF($B329="","",IFERROR(INDEX(상담데이터입력!$S$3:$S$502,MATCH($B329,상담데이터입력!$A$3:$A$502,0)),""))</f>
        <v/>
      </c>
      <c r="E329" s="121"/>
      <c r="F329" s="122"/>
      <c r="G329" s="123"/>
      <c r="H329" s="123"/>
      <c r="I329" s="124"/>
      <c r="J329" s="125" t="str">
        <f t="shared" si="10"/>
        <v/>
      </c>
      <c r="K329" s="119" t="str">
        <f t="shared" si="11"/>
        <v/>
      </c>
    </row>
    <row r="330" spans="1:11" ht="15" customHeight="1">
      <c r="A330" s="119" t="str">
        <f>IF($B330="","",IFERROR(INDEX(상담데이터입력!$BH$3:$BH$502,MATCH($B330,상담데이터입력!$A$3:$A$502,0)),""))</f>
        <v/>
      </c>
      <c r="B330" s="120"/>
      <c r="C330" s="119" t="str">
        <f>IF($B330="","",IFERROR(INDEX(상담데이터입력!$D$3:$D$502,MATCH($B330,상담데이터입력!$A$3:$A$502,0)),""))</f>
        <v/>
      </c>
      <c r="D330" s="119" t="str">
        <f>IF($B330="","",IFERROR(INDEX(상담데이터입력!$S$3:$S$502,MATCH($B330,상담데이터입력!$A$3:$A$502,0)),""))</f>
        <v/>
      </c>
      <c r="E330" s="121"/>
      <c r="F330" s="122"/>
      <c r="G330" s="123"/>
      <c r="H330" s="123"/>
      <c r="I330" s="124"/>
      <c r="J330" s="125" t="str">
        <f t="shared" si="10"/>
        <v/>
      </c>
      <c r="K330" s="119" t="str">
        <f t="shared" si="11"/>
        <v/>
      </c>
    </row>
    <row r="331" spans="1:11" ht="15" customHeight="1">
      <c r="A331" s="119" t="str">
        <f>IF($B331="","",IFERROR(INDEX(상담데이터입력!$BH$3:$BH$502,MATCH($B331,상담데이터입력!$A$3:$A$502,0)),""))</f>
        <v/>
      </c>
      <c r="B331" s="120"/>
      <c r="C331" s="119" t="str">
        <f>IF($B331="","",IFERROR(INDEX(상담데이터입력!$D$3:$D$502,MATCH($B331,상담데이터입력!$A$3:$A$502,0)),""))</f>
        <v/>
      </c>
      <c r="D331" s="119" t="str">
        <f>IF($B331="","",IFERROR(INDEX(상담데이터입력!$S$3:$S$502,MATCH($B331,상담데이터입력!$A$3:$A$502,0)),""))</f>
        <v/>
      </c>
      <c r="E331" s="121"/>
      <c r="F331" s="122"/>
      <c r="G331" s="123"/>
      <c r="H331" s="123"/>
      <c r="I331" s="124"/>
      <c r="J331" s="125" t="str">
        <f t="shared" si="10"/>
        <v/>
      </c>
      <c r="K331" s="119" t="str">
        <f t="shared" si="11"/>
        <v/>
      </c>
    </row>
    <row r="332" spans="1:11" ht="15" customHeight="1">
      <c r="A332" s="119" t="str">
        <f>IF($B332="","",IFERROR(INDEX(상담데이터입력!$BH$3:$BH$502,MATCH($B332,상담데이터입력!$A$3:$A$502,0)),""))</f>
        <v/>
      </c>
      <c r="B332" s="120"/>
      <c r="C332" s="119" t="str">
        <f>IF($B332="","",IFERROR(INDEX(상담데이터입력!$D$3:$D$502,MATCH($B332,상담데이터입력!$A$3:$A$502,0)),""))</f>
        <v/>
      </c>
      <c r="D332" s="119" t="str">
        <f>IF($B332="","",IFERROR(INDEX(상담데이터입력!$S$3:$S$502,MATCH($B332,상담데이터입력!$A$3:$A$502,0)),""))</f>
        <v/>
      </c>
      <c r="E332" s="121"/>
      <c r="F332" s="122"/>
      <c r="G332" s="123"/>
      <c r="H332" s="123"/>
      <c r="I332" s="124"/>
      <c r="J332" s="125" t="str">
        <f t="shared" si="10"/>
        <v/>
      </c>
      <c r="K332" s="119" t="str">
        <f t="shared" si="11"/>
        <v/>
      </c>
    </row>
    <row r="333" spans="1:11" ht="15" customHeight="1">
      <c r="A333" s="119" t="str">
        <f>IF($B333="","",IFERROR(INDEX(상담데이터입력!$BH$3:$BH$502,MATCH($B333,상담데이터입력!$A$3:$A$502,0)),""))</f>
        <v/>
      </c>
      <c r="B333" s="120"/>
      <c r="C333" s="119" t="str">
        <f>IF($B333="","",IFERROR(INDEX(상담데이터입력!$D$3:$D$502,MATCH($B333,상담데이터입력!$A$3:$A$502,0)),""))</f>
        <v/>
      </c>
      <c r="D333" s="119" t="str">
        <f>IF($B333="","",IFERROR(INDEX(상담데이터입력!$S$3:$S$502,MATCH($B333,상담데이터입력!$A$3:$A$502,0)),""))</f>
        <v/>
      </c>
      <c r="E333" s="121"/>
      <c r="F333" s="122"/>
      <c r="G333" s="123"/>
      <c r="H333" s="123"/>
      <c r="I333" s="124"/>
      <c r="J333" s="125" t="str">
        <f t="shared" si="10"/>
        <v/>
      </c>
      <c r="K333" s="119" t="str">
        <f t="shared" si="11"/>
        <v/>
      </c>
    </row>
    <row r="334" spans="1:11" ht="15" customHeight="1">
      <c r="A334" s="119" t="str">
        <f>IF($B334="","",IFERROR(INDEX(상담데이터입력!$BH$3:$BH$502,MATCH($B334,상담데이터입력!$A$3:$A$502,0)),""))</f>
        <v/>
      </c>
      <c r="B334" s="120"/>
      <c r="C334" s="119" t="str">
        <f>IF($B334="","",IFERROR(INDEX(상담데이터입력!$D$3:$D$502,MATCH($B334,상담데이터입력!$A$3:$A$502,0)),""))</f>
        <v/>
      </c>
      <c r="D334" s="119" t="str">
        <f>IF($B334="","",IFERROR(INDEX(상담데이터입력!$S$3:$S$502,MATCH($B334,상담데이터입력!$A$3:$A$502,0)),""))</f>
        <v/>
      </c>
      <c r="E334" s="121"/>
      <c r="F334" s="122"/>
      <c r="G334" s="123"/>
      <c r="H334" s="123"/>
      <c r="I334" s="124"/>
      <c r="J334" s="125" t="str">
        <f t="shared" si="10"/>
        <v/>
      </c>
      <c r="K334" s="119" t="str">
        <f t="shared" si="11"/>
        <v/>
      </c>
    </row>
    <row r="335" spans="1:11" ht="15" customHeight="1">
      <c r="A335" s="119" t="str">
        <f>IF($B335="","",IFERROR(INDEX(상담데이터입력!$BH$3:$BH$502,MATCH($B335,상담데이터입력!$A$3:$A$502,0)),""))</f>
        <v/>
      </c>
      <c r="B335" s="120"/>
      <c r="C335" s="119" t="str">
        <f>IF($B335="","",IFERROR(INDEX(상담데이터입력!$D$3:$D$502,MATCH($B335,상담데이터입력!$A$3:$A$502,0)),""))</f>
        <v/>
      </c>
      <c r="D335" s="119" t="str">
        <f>IF($B335="","",IFERROR(INDEX(상담데이터입력!$S$3:$S$502,MATCH($B335,상담데이터입력!$A$3:$A$502,0)),""))</f>
        <v/>
      </c>
      <c r="E335" s="121"/>
      <c r="F335" s="122"/>
      <c r="G335" s="123"/>
      <c r="H335" s="123"/>
      <c r="I335" s="124"/>
      <c r="J335" s="125" t="str">
        <f t="shared" si="10"/>
        <v/>
      </c>
      <c r="K335" s="119" t="str">
        <f t="shared" si="11"/>
        <v/>
      </c>
    </row>
    <row r="336" spans="1:11" ht="15" customHeight="1">
      <c r="A336" s="119" t="str">
        <f>IF($B336="","",IFERROR(INDEX(상담데이터입력!$BH$3:$BH$502,MATCH($B336,상담데이터입력!$A$3:$A$502,0)),""))</f>
        <v/>
      </c>
      <c r="B336" s="120"/>
      <c r="C336" s="119" t="str">
        <f>IF($B336="","",IFERROR(INDEX(상담데이터입력!$D$3:$D$502,MATCH($B336,상담데이터입력!$A$3:$A$502,0)),""))</f>
        <v/>
      </c>
      <c r="D336" s="119" t="str">
        <f>IF($B336="","",IFERROR(INDEX(상담데이터입력!$S$3:$S$502,MATCH($B336,상담데이터입력!$A$3:$A$502,0)),""))</f>
        <v/>
      </c>
      <c r="E336" s="121"/>
      <c r="F336" s="122"/>
      <c r="G336" s="123"/>
      <c r="H336" s="123"/>
      <c r="I336" s="124"/>
      <c r="J336" s="125" t="str">
        <f t="shared" si="10"/>
        <v/>
      </c>
      <c r="K336" s="119" t="str">
        <f t="shared" si="11"/>
        <v/>
      </c>
    </row>
    <row r="337" spans="1:11" ht="15" customHeight="1">
      <c r="A337" s="119" t="str">
        <f>IF($B337="","",IFERROR(INDEX(상담데이터입력!$BH$3:$BH$502,MATCH($B337,상담데이터입력!$A$3:$A$502,0)),""))</f>
        <v/>
      </c>
      <c r="B337" s="120"/>
      <c r="C337" s="119" t="str">
        <f>IF($B337="","",IFERROR(INDEX(상담데이터입력!$D$3:$D$502,MATCH($B337,상담데이터입력!$A$3:$A$502,0)),""))</f>
        <v/>
      </c>
      <c r="D337" s="119" t="str">
        <f>IF($B337="","",IFERROR(INDEX(상담데이터입력!$S$3:$S$502,MATCH($B337,상담데이터입력!$A$3:$A$502,0)),""))</f>
        <v/>
      </c>
      <c r="E337" s="121"/>
      <c r="F337" s="122"/>
      <c r="G337" s="123"/>
      <c r="H337" s="123"/>
      <c r="I337" s="124"/>
      <c r="J337" s="125" t="str">
        <f t="shared" si="10"/>
        <v/>
      </c>
      <c r="K337" s="119" t="str">
        <f t="shared" si="11"/>
        <v/>
      </c>
    </row>
    <row r="338" spans="1:11" ht="15" customHeight="1">
      <c r="A338" s="119" t="str">
        <f>IF($B338="","",IFERROR(INDEX(상담데이터입력!$BH$3:$BH$502,MATCH($B338,상담데이터입력!$A$3:$A$502,0)),""))</f>
        <v/>
      </c>
      <c r="B338" s="120"/>
      <c r="C338" s="119" t="str">
        <f>IF($B338="","",IFERROR(INDEX(상담데이터입력!$D$3:$D$502,MATCH($B338,상담데이터입력!$A$3:$A$502,0)),""))</f>
        <v/>
      </c>
      <c r="D338" s="119" t="str">
        <f>IF($B338="","",IFERROR(INDEX(상담데이터입력!$S$3:$S$502,MATCH($B338,상담데이터입력!$A$3:$A$502,0)),""))</f>
        <v/>
      </c>
      <c r="E338" s="121"/>
      <c r="F338" s="122"/>
      <c r="G338" s="123"/>
      <c r="H338" s="123"/>
      <c r="I338" s="124"/>
      <c r="J338" s="125" t="str">
        <f t="shared" si="10"/>
        <v/>
      </c>
      <c r="K338" s="119" t="str">
        <f t="shared" si="11"/>
        <v/>
      </c>
    </row>
    <row r="339" spans="1:11" ht="15" customHeight="1">
      <c r="A339" s="119" t="str">
        <f>IF($B339="","",IFERROR(INDEX(상담데이터입력!$BH$3:$BH$502,MATCH($B339,상담데이터입력!$A$3:$A$502,0)),""))</f>
        <v/>
      </c>
      <c r="B339" s="120"/>
      <c r="C339" s="119" t="str">
        <f>IF($B339="","",IFERROR(INDEX(상담데이터입력!$D$3:$D$502,MATCH($B339,상담데이터입력!$A$3:$A$502,0)),""))</f>
        <v/>
      </c>
      <c r="D339" s="119" t="str">
        <f>IF($B339="","",IFERROR(INDEX(상담데이터입력!$S$3:$S$502,MATCH($B339,상담데이터입력!$A$3:$A$502,0)),""))</f>
        <v/>
      </c>
      <c r="E339" s="121"/>
      <c r="F339" s="122"/>
      <c r="G339" s="123"/>
      <c r="H339" s="123"/>
      <c r="I339" s="124"/>
      <c r="J339" s="125" t="str">
        <f t="shared" si="10"/>
        <v/>
      </c>
      <c r="K339" s="119" t="str">
        <f t="shared" si="11"/>
        <v/>
      </c>
    </row>
    <row r="340" spans="1:11" ht="15" customHeight="1">
      <c r="A340" s="119" t="str">
        <f>IF($B340="","",IFERROR(INDEX(상담데이터입력!$BH$3:$BH$502,MATCH($B340,상담데이터입력!$A$3:$A$502,0)),""))</f>
        <v/>
      </c>
      <c r="B340" s="120"/>
      <c r="C340" s="119" t="str">
        <f>IF($B340="","",IFERROR(INDEX(상담데이터입력!$D$3:$D$502,MATCH($B340,상담데이터입력!$A$3:$A$502,0)),""))</f>
        <v/>
      </c>
      <c r="D340" s="119" t="str">
        <f>IF($B340="","",IFERROR(INDEX(상담데이터입력!$S$3:$S$502,MATCH($B340,상담데이터입력!$A$3:$A$502,0)),""))</f>
        <v/>
      </c>
      <c r="E340" s="121"/>
      <c r="F340" s="122"/>
      <c r="G340" s="123"/>
      <c r="H340" s="123"/>
      <c r="I340" s="124"/>
      <c r="J340" s="125" t="str">
        <f t="shared" si="10"/>
        <v/>
      </c>
      <c r="K340" s="119" t="str">
        <f t="shared" si="11"/>
        <v/>
      </c>
    </row>
    <row r="341" spans="1:11" ht="15" customHeight="1">
      <c r="A341" s="119" t="str">
        <f>IF($B341="","",IFERROR(INDEX(상담데이터입력!$BH$3:$BH$502,MATCH($B341,상담데이터입력!$A$3:$A$502,0)),""))</f>
        <v/>
      </c>
      <c r="B341" s="120"/>
      <c r="C341" s="119" t="str">
        <f>IF($B341="","",IFERROR(INDEX(상담데이터입력!$D$3:$D$502,MATCH($B341,상담데이터입력!$A$3:$A$502,0)),""))</f>
        <v/>
      </c>
      <c r="D341" s="119" t="str">
        <f>IF($B341="","",IFERROR(INDEX(상담데이터입력!$S$3:$S$502,MATCH($B341,상담데이터입력!$A$3:$A$502,0)),""))</f>
        <v/>
      </c>
      <c r="E341" s="121"/>
      <c r="F341" s="122"/>
      <c r="G341" s="123"/>
      <c r="H341" s="123"/>
      <c r="I341" s="124"/>
      <c r="J341" s="125" t="str">
        <f t="shared" si="10"/>
        <v/>
      </c>
      <c r="K341" s="119" t="str">
        <f t="shared" si="11"/>
        <v/>
      </c>
    </row>
    <row r="342" spans="1:11" ht="15" customHeight="1">
      <c r="A342" s="119" t="str">
        <f>IF($B342="","",IFERROR(INDEX(상담데이터입력!$BH$3:$BH$502,MATCH($B342,상담데이터입력!$A$3:$A$502,0)),""))</f>
        <v/>
      </c>
      <c r="B342" s="120"/>
      <c r="C342" s="119" t="str">
        <f>IF($B342="","",IFERROR(INDEX(상담데이터입력!$D$3:$D$502,MATCH($B342,상담데이터입력!$A$3:$A$502,0)),""))</f>
        <v/>
      </c>
      <c r="D342" s="119" t="str">
        <f>IF($B342="","",IFERROR(INDEX(상담데이터입력!$S$3:$S$502,MATCH($B342,상담데이터입력!$A$3:$A$502,0)),""))</f>
        <v/>
      </c>
      <c r="E342" s="121"/>
      <c r="F342" s="122"/>
      <c r="G342" s="123"/>
      <c r="H342" s="123"/>
      <c r="I342" s="124"/>
      <c r="J342" s="125" t="str">
        <f t="shared" si="10"/>
        <v/>
      </c>
      <c r="K342" s="119" t="str">
        <f t="shared" si="11"/>
        <v/>
      </c>
    </row>
    <row r="343" spans="1:11" ht="15" customHeight="1">
      <c r="A343" s="119" t="str">
        <f>IF($B343="","",IFERROR(INDEX(상담데이터입력!$BH$3:$BH$502,MATCH($B343,상담데이터입력!$A$3:$A$502,0)),""))</f>
        <v/>
      </c>
      <c r="B343" s="120"/>
      <c r="C343" s="119" t="str">
        <f>IF($B343="","",IFERROR(INDEX(상담데이터입력!$D$3:$D$502,MATCH($B343,상담데이터입력!$A$3:$A$502,0)),""))</f>
        <v/>
      </c>
      <c r="D343" s="119" t="str">
        <f>IF($B343="","",IFERROR(INDEX(상담데이터입력!$S$3:$S$502,MATCH($B343,상담데이터입력!$A$3:$A$502,0)),""))</f>
        <v/>
      </c>
      <c r="E343" s="121"/>
      <c r="F343" s="122"/>
      <c r="G343" s="123"/>
      <c r="H343" s="123"/>
      <c r="I343" s="124"/>
      <c r="J343" s="125" t="str">
        <f t="shared" si="10"/>
        <v/>
      </c>
      <c r="K343" s="119" t="str">
        <f t="shared" si="11"/>
        <v/>
      </c>
    </row>
    <row r="344" spans="1:11" ht="15" customHeight="1">
      <c r="A344" s="119" t="str">
        <f>IF($B344="","",IFERROR(INDEX(상담데이터입력!$BH$3:$BH$502,MATCH($B344,상담데이터입력!$A$3:$A$502,0)),""))</f>
        <v/>
      </c>
      <c r="B344" s="120"/>
      <c r="C344" s="119" t="str">
        <f>IF($B344="","",IFERROR(INDEX(상담데이터입력!$D$3:$D$502,MATCH($B344,상담데이터입력!$A$3:$A$502,0)),""))</f>
        <v/>
      </c>
      <c r="D344" s="119" t="str">
        <f>IF($B344="","",IFERROR(INDEX(상담데이터입력!$S$3:$S$502,MATCH($B344,상담데이터입력!$A$3:$A$502,0)),""))</f>
        <v/>
      </c>
      <c r="E344" s="121"/>
      <c r="F344" s="122"/>
      <c r="G344" s="123"/>
      <c r="H344" s="123"/>
      <c r="I344" s="124"/>
      <c r="J344" s="125" t="str">
        <f t="shared" si="10"/>
        <v/>
      </c>
      <c r="K344" s="119" t="str">
        <f t="shared" si="11"/>
        <v/>
      </c>
    </row>
    <row r="345" spans="1:11" ht="15" customHeight="1">
      <c r="A345" s="119" t="str">
        <f>IF($B345="","",IFERROR(INDEX(상담데이터입력!$BH$3:$BH$502,MATCH($B345,상담데이터입력!$A$3:$A$502,0)),""))</f>
        <v/>
      </c>
      <c r="B345" s="120"/>
      <c r="C345" s="119" t="str">
        <f>IF($B345="","",IFERROR(INDEX(상담데이터입력!$D$3:$D$502,MATCH($B345,상담데이터입력!$A$3:$A$502,0)),""))</f>
        <v/>
      </c>
      <c r="D345" s="119" t="str">
        <f>IF($B345="","",IFERROR(INDEX(상담데이터입력!$S$3:$S$502,MATCH($B345,상담데이터입력!$A$3:$A$502,0)),""))</f>
        <v/>
      </c>
      <c r="E345" s="121"/>
      <c r="F345" s="122"/>
      <c r="G345" s="123"/>
      <c r="H345" s="123"/>
      <c r="I345" s="124"/>
      <c r="J345" s="125" t="str">
        <f t="shared" si="10"/>
        <v/>
      </c>
      <c r="K345" s="119" t="str">
        <f t="shared" si="11"/>
        <v/>
      </c>
    </row>
    <row r="346" spans="1:11" ht="15" customHeight="1">
      <c r="A346" s="119" t="str">
        <f>IF($B346="","",IFERROR(INDEX(상담데이터입력!$BH$3:$BH$502,MATCH($B346,상담데이터입력!$A$3:$A$502,0)),""))</f>
        <v/>
      </c>
      <c r="B346" s="120"/>
      <c r="C346" s="119" t="str">
        <f>IF($B346="","",IFERROR(INDEX(상담데이터입력!$D$3:$D$502,MATCH($B346,상담데이터입력!$A$3:$A$502,0)),""))</f>
        <v/>
      </c>
      <c r="D346" s="119" t="str">
        <f>IF($B346="","",IFERROR(INDEX(상담데이터입력!$S$3:$S$502,MATCH($B346,상담데이터입력!$A$3:$A$502,0)),""))</f>
        <v/>
      </c>
      <c r="E346" s="121"/>
      <c r="F346" s="122"/>
      <c r="G346" s="123"/>
      <c r="H346" s="123"/>
      <c r="I346" s="124"/>
      <c r="J346" s="125" t="str">
        <f t="shared" si="10"/>
        <v/>
      </c>
      <c r="K346" s="119" t="str">
        <f t="shared" si="11"/>
        <v/>
      </c>
    </row>
    <row r="347" spans="1:11" ht="15" customHeight="1">
      <c r="A347" s="119" t="str">
        <f>IF($B347="","",IFERROR(INDEX(상담데이터입력!$BH$3:$BH$502,MATCH($B347,상담데이터입력!$A$3:$A$502,0)),""))</f>
        <v/>
      </c>
      <c r="B347" s="120"/>
      <c r="C347" s="119" t="str">
        <f>IF($B347="","",IFERROR(INDEX(상담데이터입력!$D$3:$D$502,MATCH($B347,상담데이터입력!$A$3:$A$502,0)),""))</f>
        <v/>
      </c>
      <c r="D347" s="119" t="str">
        <f>IF($B347="","",IFERROR(INDEX(상담데이터입력!$S$3:$S$502,MATCH($B347,상담데이터입력!$A$3:$A$502,0)),""))</f>
        <v/>
      </c>
      <c r="E347" s="121"/>
      <c r="F347" s="122"/>
      <c r="G347" s="123"/>
      <c r="H347" s="123"/>
      <c r="I347" s="124"/>
      <c r="J347" s="125" t="str">
        <f t="shared" si="10"/>
        <v/>
      </c>
      <c r="K347" s="119" t="str">
        <f t="shared" si="11"/>
        <v/>
      </c>
    </row>
    <row r="348" spans="1:11" ht="15" customHeight="1">
      <c r="A348" s="119" t="str">
        <f>IF($B348="","",IFERROR(INDEX(상담데이터입력!$BH$3:$BH$502,MATCH($B348,상담데이터입력!$A$3:$A$502,0)),""))</f>
        <v/>
      </c>
      <c r="B348" s="120"/>
      <c r="C348" s="119" t="str">
        <f>IF($B348="","",IFERROR(INDEX(상담데이터입력!$D$3:$D$502,MATCH($B348,상담데이터입력!$A$3:$A$502,0)),""))</f>
        <v/>
      </c>
      <c r="D348" s="119" t="str">
        <f>IF($B348="","",IFERROR(INDEX(상담데이터입력!$S$3:$S$502,MATCH($B348,상담데이터입력!$A$3:$A$502,0)),""))</f>
        <v/>
      </c>
      <c r="E348" s="121"/>
      <c r="F348" s="122"/>
      <c r="G348" s="123"/>
      <c r="H348" s="123"/>
      <c r="I348" s="124"/>
      <c r="J348" s="125" t="str">
        <f t="shared" si="10"/>
        <v/>
      </c>
      <c r="K348" s="119" t="str">
        <f t="shared" si="11"/>
        <v/>
      </c>
    </row>
    <row r="349" spans="1:11" ht="15" customHeight="1">
      <c r="A349" s="119" t="str">
        <f>IF($B349="","",IFERROR(INDEX(상담데이터입력!$BH$3:$BH$502,MATCH($B349,상담데이터입력!$A$3:$A$502,0)),""))</f>
        <v/>
      </c>
      <c r="B349" s="120"/>
      <c r="C349" s="119" t="str">
        <f>IF($B349="","",IFERROR(INDEX(상담데이터입력!$D$3:$D$502,MATCH($B349,상담데이터입력!$A$3:$A$502,0)),""))</f>
        <v/>
      </c>
      <c r="D349" s="119" t="str">
        <f>IF($B349="","",IFERROR(INDEX(상담데이터입력!$S$3:$S$502,MATCH($B349,상담데이터입력!$A$3:$A$502,0)),""))</f>
        <v/>
      </c>
      <c r="E349" s="121"/>
      <c r="F349" s="122"/>
      <c r="G349" s="123"/>
      <c r="H349" s="123"/>
      <c r="I349" s="124"/>
      <c r="J349" s="125" t="str">
        <f t="shared" si="10"/>
        <v/>
      </c>
      <c r="K349" s="119" t="str">
        <f t="shared" si="11"/>
        <v/>
      </c>
    </row>
    <row r="350" spans="1:11" ht="15" customHeight="1">
      <c r="A350" s="119" t="str">
        <f>IF($B350="","",IFERROR(INDEX(상담데이터입력!$BH$3:$BH$502,MATCH($B350,상담데이터입력!$A$3:$A$502,0)),""))</f>
        <v/>
      </c>
      <c r="B350" s="120"/>
      <c r="C350" s="119" t="str">
        <f>IF($B350="","",IFERROR(INDEX(상담데이터입력!$D$3:$D$502,MATCH($B350,상담데이터입력!$A$3:$A$502,0)),""))</f>
        <v/>
      </c>
      <c r="D350" s="119" t="str">
        <f>IF($B350="","",IFERROR(INDEX(상담데이터입력!$S$3:$S$502,MATCH($B350,상담데이터입력!$A$3:$A$502,0)),""))</f>
        <v/>
      </c>
      <c r="E350" s="121"/>
      <c r="F350" s="122"/>
      <c r="G350" s="123"/>
      <c r="H350" s="123"/>
      <c r="I350" s="124"/>
      <c r="J350" s="125" t="str">
        <f t="shared" si="10"/>
        <v/>
      </c>
      <c r="K350" s="119" t="str">
        <f t="shared" si="11"/>
        <v/>
      </c>
    </row>
    <row r="351" spans="1:11" ht="15" customHeight="1">
      <c r="A351" s="119" t="str">
        <f>IF($B351="","",IFERROR(INDEX(상담데이터입력!$BH$3:$BH$502,MATCH($B351,상담데이터입력!$A$3:$A$502,0)),""))</f>
        <v/>
      </c>
      <c r="B351" s="120"/>
      <c r="C351" s="119" t="str">
        <f>IF($B351="","",IFERROR(INDEX(상담데이터입력!$D$3:$D$502,MATCH($B351,상담데이터입력!$A$3:$A$502,0)),""))</f>
        <v/>
      </c>
      <c r="D351" s="119" t="str">
        <f>IF($B351="","",IFERROR(INDEX(상담데이터입력!$S$3:$S$502,MATCH($B351,상담데이터입력!$A$3:$A$502,0)),""))</f>
        <v/>
      </c>
      <c r="E351" s="121"/>
      <c r="F351" s="122"/>
      <c r="G351" s="123"/>
      <c r="H351" s="123"/>
      <c r="I351" s="124"/>
      <c r="J351" s="125" t="str">
        <f t="shared" si="10"/>
        <v/>
      </c>
      <c r="K351" s="119" t="str">
        <f t="shared" si="11"/>
        <v/>
      </c>
    </row>
    <row r="352" spans="1:11" ht="15" customHeight="1">
      <c r="A352" s="119" t="str">
        <f>IF($B352="","",IFERROR(INDEX(상담데이터입력!$BH$3:$BH$502,MATCH($B352,상담데이터입력!$A$3:$A$502,0)),""))</f>
        <v/>
      </c>
      <c r="B352" s="120"/>
      <c r="C352" s="119" t="str">
        <f>IF($B352="","",IFERROR(INDEX(상담데이터입력!$D$3:$D$502,MATCH($B352,상담데이터입력!$A$3:$A$502,0)),""))</f>
        <v/>
      </c>
      <c r="D352" s="119" t="str">
        <f>IF($B352="","",IFERROR(INDEX(상담데이터입력!$S$3:$S$502,MATCH($B352,상담데이터입력!$A$3:$A$502,0)),""))</f>
        <v/>
      </c>
      <c r="E352" s="121"/>
      <c r="F352" s="122"/>
      <c r="G352" s="123"/>
      <c r="H352" s="123"/>
      <c r="I352" s="124"/>
      <c r="J352" s="125" t="str">
        <f t="shared" si="10"/>
        <v/>
      </c>
      <c r="K352" s="119" t="str">
        <f t="shared" si="11"/>
        <v/>
      </c>
    </row>
    <row r="353" spans="1:11" ht="15" customHeight="1">
      <c r="A353" s="119" t="str">
        <f>IF($B353="","",IFERROR(INDEX(상담데이터입력!$BH$3:$BH$502,MATCH($B353,상담데이터입력!$A$3:$A$502,0)),""))</f>
        <v/>
      </c>
      <c r="B353" s="120"/>
      <c r="C353" s="119" t="str">
        <f>IF($B353="","",IFERROR(INDEX(상담데이터입력!$D$3:$D$502,MATCH($B353,상담데이터입력!$A$3:$A$502,0)),""))</f>
        <v/>
      </c>
      <c r="D353" s="119" t="str">
        <f>IF($B353="","",IFERROR(INDEX(상담데이터입력!$S$3:$S$502,MATCH($B353,상담데이터입력!$A$3:$A$502,0)),""))</f>
        <v/>
      </c>
      <c r="E353" s="121"/>
      <c r="F353" s="122"/>
      <c r="G353" s="123"/>
      <c r="H353" s="123"/>
      <c r="I353" s="124"/>
      <c r="J353" s="125" t="str">
        <f t="shared" si="10"/>
        <v/>
      </c>
      <c r="K353" s="119" t="str">
        <f t="shared" si="11"/>
        <v/>
      </c>
    </row>
    <row r="354" spans="1:11" ht="15" customHeight="1">
      <c r="A354" s="119" t="str">
        <f>IF($B354="","",IFERROR(INDEX(상담데이터입력!$BH$3:$BH$502,MATCH($B354,상담데이터입력!$A$3:$A$502,0)),""))</f>
        <v/>
      </c>
      <c r="B354" s="120"/>
      <c r="C354" s="119" t="str">
        <f>IF($B354="","",IFERROR(INDEX(상담데이터입력!$D$3:$D$502,MATCH($B354,상담데이터입력!$A$3:$A$502,0)),""))</f>
        <v/>
      </c>
      <c r="D354" s="119" t="str">
        <f>IF($B354="","",IFERROR(INDEX(상담데이터입력!$S$3:$S$502,MATCH($B354,상담데이터입력!$A$3:$A$502,0)),""))</f>
        <v/>
      </c>
      <c r="E354" s="121"/>
      <c r="F354" s="122"/>
      <c r="G354" s="123"/>
      <c r="H354" s="123"/>
      <c r="I354" s="124"/>
      <c r="J354" s="125" t="str">
        <f t="shared" si="10"/>
        <v/>
      </c>
      <c r="K354" s="119" t="str">
        <f t="shared" si="11"/>
        <v/>
      </c>
    </row>
    <row r="355" spans="1:11" ht="15" customHeight="1">
      <c r="A355" s="119" t="str">
        <f>IF($B355="","",IFERROR(INDEX(상담데이터입력!$BH$3:$BH$502,MATCH($B355,상담데이터입력!$A$3:$A$502,0)),""))</f>
        <v/>
      </c>
      <c r="B355" s="120"/>
      <c r="C355" s="119" t="str">
        <f>IF($B355="","",IFERROR(INDEX(상담데이터입력!$D$3:$D$502,MATCH($B355,상담데이터입력!$A$3:$A$502,0)),""))</f>
        <v/>
      </c>
      <c r="D355" s="119" t="str">
        <f>IF($B355="","",IFERROR(INDEX(상담데이터입력!$S$3:$S$502,MATCH($B355,상담데이터입력!$A$3:$A$502,0)),""))</f>
        <v/>
      </c>
      <c r="E355" s="121"/>
      <c r="F355" s="122"/>
      <c r="G355" s="123"/>
      <c r="H355" s="123"/>
      <c r="I355" s="124"/>
      <c r="J355" s="125" t="str">
        <f t="shared" si="10"/>
        <v/>
      </c>
      <c r="K355" s="119" t="str">
        <f t="shared" si="11"/>
        <v/>
      </c>
    </row>
    <row r="356" spans="1:11" ht="15" customHeight="1">
      <c r="A356" s="119" t="str">
        <f>IF($B356="","",IFERROR(INDEX(상담데이터입력!$BH$3:$BH$502,MATCH($B356,상담데이터입력!$A$3:$A$502,0)),""))</f>
        <v/>
      </c>
      <c r="B356" s="120"/>
      <c r="C356" s="119" t="str">
        <f>IF($B356="","",IFERROR(INDEX(상담데이터입력!$D$3:$D$502,MATCH($B356,상담데이터입력!$A$3:$A$502,0)),""))</f>
        <v/>
      </c>
      <c r="D356" s="119" t="str">
        <f>IF($B356="","",IFERROR(INDEX(상담데이터입력!$S$3:$S$502,MATCH($B356,상담데이터입력!$A$3:$A$502,0)),""))</f>
        <v/>
      </c>
      <c r="E356" s="121"/>
      <c r="F356" s="122"/>
      <c r="G356" s="123"/>
      <c r="H356" s="123"/>
      <c r="I356" s="124"/>
      <c r="J356" s="125" t="str">
        <f t="shared" si="10"/>
        <v/>
      </c>
      <c r="K356" s="119" t="str">
        <f t="shared" si="11"/>
        <v/>
      </c>
    </row>
    <row r="357" spans="1:11" ht="15" customHeight="1">
      <c r="A357" s="119" t="str">
        <f>IF($B357="","",IFERROR(INDEX(상담데이터입력!$BH$3:$BH$502,MATCH($B357,상담데이터입력!$A$3:$A$502,0)),""))</f>
        <v/>
      </c>
      <c r="B357" s="120"/>
      <c r="C357" s="119" t="str">
        <f>IF($B357="","",IFERROR(INDEX(상담데이터입력!$D$3:$D$502,MATCH($B357,상담데이터입력!$A$3:$A$502,0)),""))</f>
        <v/>
      </c>
      <c r="D357" s="119" t="str">
        <f>IF($B357="","",IFERROR(INDEX(상담데이터입력!$S$3:$S$502,MATCH($B357,상담데이터입력!$A$3:$A$502,0)),""))</f>
        <v/>
      </c>
      <c r="E357" s="121"/>
      <c r="F357" s="122"/>
      <c r="G357" s="123"/>
      <c r="H357" s="123"/>
      <c r="I357" s="124"/>
      <c r="J357" s="125" t="str">
        <f t="shared" si="10"/>
        <v/>
      </c>
      <c r="K357" s="119" t="str">
        <f t="shared" si="11"/>
        <v/>
      </c>
    </row>
    <row r="358" spans="1:11" ht="15" customHeight="1">
      <c r="A358" s="119" t="str">
        <f>IF($B358="","",IFERROR(INDEX(상담데이터입력!$BH$3:$BH$502,MATCH($B358,상담데이터입력!$A$3:$A$502,0)),""))</f>
        <v/>
      </c>
      <c r="B358" s="120"/>
      <c r="C358" s="119" t="str">
        <f>IF($B358="","",IFERROR(INDEX(상담데이터입력!$D$3:$D$502,MATCH($B358,상담데이터입력!$A$3:$A$502,0)),""))</f>
        <v/>
      </c>
      <c r="D358" s="119" t="str">
        <f>IF($B358="","",IFERROR(INDEX(상담데이터입력!$S$3:$S$502,MATCH($B358,상담데이터입력!$A$3:$A$502,0)),""))</f>
        <v/>
      </c>
      <c r="E358" s="121"/>
      <c r="F358" s="122"/>
      <c r="G358" s="123"/>
      <c r="H358" s="123"/>
      <c r="I358" s="124"/>
      <c r="J358" s="125" t="str">
        <f t="shared" si="10"/>
        <v/>
      </c>
      <c r="K358" s="119" t="str">
        <f t="shared" si="11"/>
        <v/>
      </c>
    </row>
    <row r="359" spans="1:11" ht="15" customHeight="1">
      <c r="A359" s="119" t="str">
        <f>IF($B359="","",IFERROR(INDEX(상담데이터입력!$BH$3:$BH$502,MATCH($B359,상담데이터입력!$A$3:$A$502,0)),""))</f>
        <v/>
      </c>
      <c r="B359" s="120"/>
      <c r="C359" s="119" t="str">
        <f>IF($B359="","",IFERROR(INDEX(상담데이터입력!$D$3:$D$502,MATCH($B359,상담데이터입력!$A$3:$A$502,0)),""))</f>
        <v/>
      </c>
      <c r="D359" s="119" t="str">
        <f>IF($B359="","",IFERROR(INDEX(상담데이터입력!$S$3:$S$502,MATCH($B359,상담데이터입력!$A$3:$A$502,0)),""))</f>
        <v/>
      </c>
      <c r="E359" s="121"/>
      <c r="F359" s="122"/>
      <c r="G359" s="123"/>
      <c r="H359" s="123"/>
      <c r="I359" s="124"/>
      <c r="J359" s="125" t="str">
        <f t="shared" si="10"/>
        <v/>
      </c>
      <c r="K359" s="119" t="str">
        <f t="shared" si="11"/>
        <v/>
      </c>
    </row>
    <row r="360" spans="1:11" ht="15" customHeight="1">
      <c r="A360" s="119" t="str">
        <f>IF($B360="","",IFERROR(INDEX(상담데이터입력!$BH$3:$BH$502,MATCH($B360,상담데이터입력!$A$3:$A$502,0)),""))</f>
        <v/>
      </c>
      <c r="B360" s="120"/>
      <c r="C360" s="119" t="str">
        <f>IF($B360="","",IFERROR(INDEX(상담데이터입력!$D$3:$D$502,MATCH($B360,상담데이터입력!$A$3:$A$502,0)),""))</f>
        <v/>
      </c>
      <c r="D360" s="119" t="str">
        <f>IF($B360="","",IFERROR(INDEX(상담데이터입력!$S$3:$S$502,MATCH($B360,상담데이터입력!$A$3:$A$502,0)),""))</f>
        <v/>
      </c>
      <c r="E360" s="121"/>
      <c r="F360" s="122"/>
      <c r="G360" s="123"/>
      <c r="H360" s="123"/>
      <c r="I360" s="124"/>
      <c r="J360" s="125" t="str">
        <f t="shared" si="10"/>
        <v/>
      </c>
      <c r="K360" s="119" t="str">
        <f t="shared" si="11"/>
        <v/>
      </c>
    </row>
    <row r="361" spans="1:11" ht="15" customHeight="1">
      <c r="A361" s="119" t="str">
        <f>IF($B361="","",IFERROR(INDEX(상담데이터입력!$BH$3:$BH$502,MATCH($B361,상담데이터입력!$A$3:$A$502,0)),""))</f>
        <v/>
      </c>
      <c r="B361" s="120"/>
      <c r="C361" s="119" t="str">
        <f>IF($B361="","",IFERROR(INDEX(상담데이터입력!$D$3:$D$502,MATCH($B361,상담데이터입력!$A$3:$A$502,0)),""))</f>
        <v/>
      </c>
      <c r="D361" s="119" t="str">
        <f>IF($B361="","",IFERROR(INDEX(상담데이터입력!$S$3:$S$502,MATCH($B361,상담데이터입력!$A$3:$A$502,0)),""))</f>
        <v/>
      </c>
      <c r="E361" s="121"/>
      <c r="F361" s="122"/>
      <c r="G361" s="123"/>
      <c r="H361" s="123"/>
      <c r="I361" s="124"/>
      <c r="J361" s="125" t="str">
        <f t="shared" si="10"/>
        <v/>
      </c>
      <c r="K361" s="119" t="str">
        <f t="shared" si="11"/>
        <v/>
      </c>
    </row>
    <row r="362" spans="1:11" ht="15" customHeight="1">
      <c r="A362" s="119" t="str">
        <f>IF($B362="","",IFERROR(INDEX(상담데이터입력!$BH$3:$BH$502,MATCH($B362,상담데이터입력!$A$3:$A$502,0)),""))</f>
        <v/>
      </c>
      <c r="B362" s="120"/>
      <c r="C362" s="119" t="str">
        <f>IF($B362="","",IFERROR(INDEX(상담데이터입력!$D$3:$D$502,MATCH($B362,상담데이터입력!$A$3:$A$502,0)),""))</f>
        <v/>
      </c>
      <c r="D362" s="119" t="str">
        <f>IF($B362="","",IFERROR(INDEX(상담데이터입력!$S$3:$S$502,MATCH($B362,상담데이터입력!$A$3:$A$502,0)),""))</f>
        <v/>
      </c>
      <c r="E362" s="121"/>
      <c r="F362" s="122"/>
      <c r="G362" s="123"/>
      <c r="H362" s="123"/>
      <c r="I362" s="124"/>
      <c r="J362" s="125" t="str">
        <f t="shared" si="10"/>
        <v/>
      </c>
      <c r="K362" s="119" t="str">
        <f t="shared" si="11"/>
        <v/>
      </c>
    </row>
    <row r="363" spans="1:11" ht="15" customHeight="1">
      <c r="A363" s="119" t="str">
        <f>IF($B363="","",IFERROR(INDEX(상담데이터입력!$BH$3:$BH$502,MATCH($B363,상담데이터입력!$A$3:$A$502,0)),""))</f>
        <v/>
      </c>
      <c r="B363" s="120"/>
      <c r="C363" s="119" t="str">
        <f>IF($B363="","",IFERROR(INDEX(상담데이터입력!$D$3:$D$502,MATCH($B363,상담데이터입력!$A$3:$A$502,0)),""))</f>
        <v/>
      </c>
      <c r="D363" s="119" t="str">
        <f>IF($B363="","",IFERROR(INDEX(상담데이터입력!$S$3:$S$502,MATCH($B363,상담데이터입력!$A$3:$A$502,0)),""))</f>
        <v/>
      </c>
      <c r="E363" s="121"/>
      <c r="F363" s="122"/>
      <c r="G363" s="123"/>
      <c r="H363" s="123"/>
      <c r="I363" s="124"/>
      <c r="J363" s="125" t="str">
        <f t="shared" si="10"/>
        <v/>
      </c>
      <c r="K363" s="119" t="str">
        <f t="shared" si="11"/>
        <v/>
      </c>
    </row>
    <row r="364" spans="1:11" ht="15" customHeight="1">
      <c r="A364" s="119" t="str">
        <f>IF($B364="","",IFERROR(INDEX(상담데이터입력!$BH$3:$BH$502,MATCH($B364,상담데이터입력!$A$3:$A$502,0)),""))</f>
        <v/>
      </c>
      <c r="B364" s="120"/>
      <c r="C364" s="119" t="str">
        <f>IF($B364="","",IFERROR(INDEX(상담데이터입력!$D$3:$D$502,MATCH($B364,상담데이터입력!$A$3:$A$502,0)),""))</f>
        <v/>
      </c>
      <c r="D364" s="119" t="str">
        <f>IF($B364="","",IFERROR(INDEX(상담데이터입력!$S$3:$S$502,MATCH($B364,상담데이터입력!$A$3:$A$502,0)),""))</f>
        <v/>
      </c>
      <c r="E364" s="121"/>
      <c r="F364" s="122"/>
      <c r="G364" s="123"/>
      <c r="H364" s="123"/>
      <c r="I364" s="124"/>
      <c r="J364" s="125" t="str">
        <f t="shared" si="10"/>
        <v/>
      </c>
      <c r="K364" s="119" t="str">
        <f t="shared" si="11"/>
        <v/>
      </c>
    </row>
    <row r="365" spans="1:11" ht="15" customHeight="1">
      <c r="A365" s="119" t="str">
        <f>IF($B365="","",IFERROR(INDEX(상담데이터입력!$BH$3:$BH$502,MATCH($B365,상담데이터입력!$A$3:$A$502,0)),""))</f>
        <v/>
      </c>
      <c r="B365" s="120"/>
      <c r="C365" s="119" t="str">
        <f>IF($B365="","",IFERROR(INDEX(상담데이터입력!$D$3:$D$502,MATCH($B365,상담데이터입력!$A$3:$A$502,0)),""))</f>
        <v/>
      </c>
      <c r="D365" s="119" t="str">
        <f>IF($B365="","",IFERROR(INDEX(상담데이터입력!$S$3:$S$502,MATCH($B365,상담데이터입력!$A$3:$A$502,0)),""))</f>
        <v/>
      </c>
      <c r="E365" s="121"/>
      <c r="F365" s="122"/>
      <c r="G365" s="123"/>
      <c r="H365" s="123"/>
      <c r="I365" s="124"/>
      <c r="J365" s="125" t="str">
        <f t="shared" si="10"/>
        <v/>
      </c>
      <c r="K365" s="119" t="str">
        <f t="shared" si="11"/>
        <v/>
      </c>
    </row>
    <row r="366" spans="1:11" ht="15" customHeight="1">
      <c r="A366" s="119" t="str">
        <f>IF($B366="","",IFERROR(INDEX(상담데이터입력!$BH$3:$BH$502,MATCH($B366,상담데이터입력!$A$3:$A$502,0)),""))</f>
        <v/>
      </c>
      <c r="B366" s="120"/>
      <c r="C366" s="119" t="str">
        <f>IF($B366="","",IFERROR(INDEX(상담데이터입력!$D$3:$D$502,MATCH($B366,상담데이터입력!$A$3:$A$502,0)),""))</f>
        <v/>
      </c>
      <c r="D366" s="119" t="str">
        <f>IF($B366="","",IFERROR(INDEX(상담데이터입력!$S$3:$S$502,MATCH($B366,상담데이터입력!$A$3:$A$502,0)),""))</f>
        <v/>
      </c>
      <c r="E366" s="121"/>
      <c r="F366" s="122"/>
      <c r="G366" s="123"/>
      <c r="H366" s="123"/>
      <c r="I366" s="124"/>
      <c r="J366" s="125" t="str">
        <f t="shared" si="10"/>
        <v/>
      </c>
      <c r="K366" s="119" t="str">
        <f t="shared" si="11"/>
        <v/>
      </c>
    </row>
    <row r="367" spans="1:11" ht="15" customHeight="1">
      <c r="A367" s="119" t="str">
        <f>IF($B367="","",IFERROR(INDEX(상담데이터입력!$BH$3:$BH$502,MATCH($B367,상담데이터입력!$A$3:$A$502,0)),""))</f>
        <v/>
      </c>
      <c r="B367" s="120"/>
      <c r="C367" s="119" t="str">
        <f>IF($B367="","",IFERROR(INDEX(상담데이터입력!$D$3:$D$502,MATCH($B367,상담데이터입력!$A$3:$A$502,0)),""))</f>
        <v/>
      </c>
      <c r="D367" s="119" t="str">
        <f>IF($B367="","",IFERROR(INDEX(상담데이터입력!$S$3:$S$502,MATCH($B367,상담데이터입력!$A$3:$A$502,0)),""))</f>
        <v/>
      </c>
      <c r="E367" s="121"/>
      <c r="F367" s="122"/>
      <c r="G367" s="123"/>
      <c r="H367" s="123"/>
      <c r="I367" s="124"/>
      <c r="J367" s="125" t="str">
        <f t="shared" si="10"/>
        <v/>
      </c>
      <c r="K367" s="119" t="str">
        <f t="shared" si="11"/>
        <v/>
      </c>
    </row>
    <row r="368" spans="1:11" ht="15" customHeight="1">
      <c r="A368" s="119" t="str">
        <f>IF($B368="","",IFERROR(INDEX(상담데이터입력!$BH$3:$BH$502,MATCH($B368,상담데이터입력!$A$3:$A$502,0)),""))</f>
        <v/>
      </c>
      <c r="B368" s="120"/>
      <c r="C368" s="119" t="str">
        <f>IF($B368="","",IFERROR(INDEX(상담데이터입력!$D$3:$D$502,MATCH($B368,상담데이터입력!$A$3:$A$502,0)),""))</f>
        <v/>
      </c>
      <c r="D368" s="119" t="str">
        <f>IF($B368="","",IFERROR(INDEX(상담데이터입력!$S$3:$S$502,MATCH($B368,상담데이터입력!$A$3:$A$502,0)),""))</f>
        <v/>
      </c>
      <c r="E368" s="121"/>
      <c r="F368" s="122"/>
      <c r="G368" s="123"/>
      <c r="H368" s="123"/>
      <c r="I368" s="124"/>
      <c r="J368" s="125" t="str">
        <f t="shared" si="10"/>
        <v/>
      </c>
      <c r="K368" s="119" t="str">
        <f t="shared" si="11"/>
        <v/>
      </c>
    </row>
    <row r="369" spans="1:11" ht="15" customHeight="1">
      <c r="A369" s="119" t="str">
        <f>IF($B369="","",IFERROR(INDEX(상담데이터입력!$BH$3:$BH$502,MATCH($B369,상담데이터입력!$A$3:$A$502,0)),""))</f>
        <v/>
      </c>
      <c r="B369" s="120"/>
      <c r="C369" s="119" t="str">
        <f>IF($B369="","",IFERROR(INDEX(상담데이터입력!$D$3:$D$502,MATCH($B369,상담데이터입력!$A$3:$A$502,0)),""))</f>
        <v/>
      </c>
      <c r="D369" s="119" t="str">
        <f>IF($B369="","",IFERROR(INDEX(상담데이터입력!$S$3:$S$502,MATCH($B369,상담데이터입력!$A$3:$A$502,0)),""))</f>
        <v/>
      </c>
      <c r="E369" s="121"/>
      <c r="F369" s="122"/>
      <c r="G369" s="123"/>
      <c r="H369" s="123"/>
      <c r="I369" s="124"/>
      <c r="J369" s="125" t="str">
        <f t="shared" si="10"/>
        <v/>
      </c>
      <c r="K369" s="119" t="str">
        <f t="shared" si="11"/>
        <v/>
      </c>
    </row>
    <row r="370" spans="1:11" ht="15" customHeight="1">
      <c r="A370" s="119" t="str">
        <f>IF($B370="","",IFERROR(INDEX(상담데이터입력!$BH$3:$BH$502,MATCH($B370,상담데이터입력!$A$3:$A$502,0)),""))</f>
        <v/>
      </c>
      <c r="B370" s="120"/>
      <c r="C370" s="119" t="str">
        <f>IF($B370="","",IFERROR(INDEX(상담데이터입력!$D$3:$D$502,MATCH($B370,상담데이터입력!$A$3:$A$502,0)),""))</f>
        <v/>
      </c>
      <c r="D370" s="119" t="str">
        <f>IF($B370="","",IFERROR(INDEX(상담데이터입력!$S$3:$S$502,MATCH($B370,상담데이터입력!$A$3:$A$502,0)),""))</f>
        <v/>
      </c>
      <c r="E370" s="121"/>
      <c r="F370" s="122"/>
      <c r="G370" s="123"/>
      <c r="H370" s="123"/>
      <c r="I370" s="124"/>
      <c r="J370" s="125" t="str">
        <f t="shared" si="10"/>
        <v/>
      </c>
      <c r="K370" s="119" t="str">
        <f t="shared" si="11"/>
        <v/>
      </c>
    </row>
    <row r="371" spans="1:11" ht="15" customHeight="1">
      <c r="A371" s="119" t="str">
        <f>IF($B371="","",IFERROR(INDEX(상담데이터입력!$BH$3:$BH$502,MATCH($B371,상담데이터입력!$A$3:$A$502,0)),""))</f>
        <v/>
      </c>
      <c r="B371" s="120"/>
      <c r="C371" s="119" t="str">
        <f>IF($B371="","",IFERROR(INDEX(상담데이터입력!$D$3:$D$502,MATCH($B371,상담데이터입력!$A$3:$A$502,0)),""))</f>
        <v/>
      </c>
      <c r="D371" s="119" t="str">
        <f>IF($B371="","",IFERROR(INDEX(상담데이터입력!$S$3:$S$502,MATCH($B371,상담데이터입력!$A$3:$A$502,0)),""))</f>
        <v/>
      </c>
      <c r="E371" s="121"/>
      <c r="F371" s="122"/>
      <c r="G371" s="123"/>
      <c r="H371" s="123"/>
      <c r="I371" s="124"/>
      <c r="J371" s="125" t="str">
        <f t="shared" si="10"/>
        <v/>
      </c>
      <c r="K371" s="119" t="str">
        <f t="shared" si="11"/>
        <v/>
      </c>
    </row>
    <row r="372" spans="1:11" ht="15" customHeight="1">
      <c r="A372" s="119" t="str">
        <f>IF($B372="","",IFERROR(INDEX(상담데이터입력!$BH$3:$BH$502,MATCH($B372,상담데이터입력!$A$3:$A$502,0)),""))</f>
        <v/>
      </c>
      <c r="B372" s="120"/>
      <c r="C372" s="119" t="str">
        <f>IF($B372="","",IFERROR(INDEX(상담데이터입력!$D$3:$D$502,MATCH($B372,상담데이터입력!$A$3:$A$502,0)),""))</f>
        <v/>
      </c>
      <c r="D372" s="119" t="str">
        <f>IF($B372="","",IFERROR(INDEX(상담데이터입력!$S$3:$S$502,MATCH($B372,상담데이터입력!$A$3:$A$502,0)),""))</f>
        <v/>
      </c>
      <c r="E372" s="121"/>
      <c r="F372" s="122"/>
      <c r="G372" s="123"/>
      <c r="H372" s="123"/>
      <c r="I372" s="124"/>
      <c r="J372" s="125" t="str">
        <f t="shared" si="10"/>
        <v/>
      </c>
      <c r="K372" s="119" t="str">
        <f t="shared" si="11"/>
        <v/>
      </c>
    </row>
    <row r="373" spans="1:11" ht="15" customHeight="1">
      <c r="A373" s="119" t="str">
        <f>IF($B373="","",IFERROR(INDEX(상담데이터입력!$BH$3:$BH$502,MATCH($B373,상담데이터입력!$A$3:$A$502,0)),""))</f>
        <v/>
      </c>
      <c r="B373" s="120"/>
      <c r="C373" s="119" t="str">
        <f>IF($B373="","",IFERROR(INDEX(상담데이터입력!$D$3:$D$502,MATCH($B373,상담데이터입력!$A$3:$A$502,0)),""))</f>
        <v/>
      </c>
      <c r="D373" s="119" t="str">
        <f>IF($B373="","",IFERROR(INDEX(상담데이터입력!$S$3:$S$502,MATCH($B373,상담데이터입력!$A$3:$A$502,0)),""))</f>
        <v/>
      </c>
      <c r="E373" s="121"/>
      <c r="F373" s="122"/>
      <c r="G373" s="123"/>
      <c r="H373" s="123"/>
      <c r="I373" s="124"/>
      <c r="J373" s="125" t="str">
        <f t="shared" si="10"/>
        <v/>
      </c>
      <c r="K373" s="119" t="str">
        <f t="shared" si="11"/>
        <v/>
      </c>
    </row>
    <row r="374" spans="1:11" ht="15" customHeight="1">
      <c r="A374" s="119" t="str">
        <f>IF($B374="","",IFERROR(INDEX(상담데이터입력!$BH$3:$BH$502,MATCH($B374,상담데이터입력!$A$3:$A$502,0)),""))</f>
        <v/>
      </c>
      <c r="B374" s="120"/>
      <c r="C374" s="119" t="str">
        <f>IF($B374="","",IFERROR(INDEX(상담데이터입력!$D$3:$D$502,MATCH($B374,상담데이터입력!$A$3:$A$502,0)),""))</f>
        <v/>
      </c>
      <c r="D374" s="119" t="str">
        <f>IF($B374="","",IFERROR(INDEX(상담데이터입력!$S$3:$S$502,MATCH($B374,상담데이터입력!$A$3:$A$502,0)),""))</f>
        <v/>
      </c>
      <c r="E374" s="121"/>
      <c r="F374" s="122"/>
      <c r="G374" s="123"/>
      <c r="H374" s="123"/>
      <c r="I374" s="124"/>
      <c r="J374" s="125" t="str">
        <f t="shared" si="10"/>
        <v/>
      </c>
      <c r="K374" s="119" t="str">
        <f t="shared" si="11"/>
        <v/>
      </c>
    </row>
    <row r="375" spans="1:11" ht="15" customHeight="1">
      <c r="A375" s="119" t="str">
        <f>IF($B375="","",IFERROR(INDEX(상담데이터입력!$BH$3:$BH$502,MATCH($B375,상담데이터입력!$A$3:$A$502,0)),""))</f>
        <v/>
      </c>
      <c r="B375" s="120"/>
      <c r="C375" s="119" t="str">
        <f>IF($B375="","",IFERROR(INDEX(상담데이터입력!$D$3:$D$502,MATCH($B375,상담데이터입력!$A$3:$A$502,0)),""))</f>
        <v/>
      </c>
      <c r="D375" s="119" t="str">
        <f>IF($B375="","",IFERROR(INDEX(상담데이터입력!$S$3:$S$502,MATCH($B375,상담데이터입력!$A$3:$A$502,0)),""))</f>
        <v/>
      </c>
      <c r="E375" s="121"/>
      <c r="F375" s="122"/>
      <c r="G375" s="123"/>
      <c r="H375" s="123"/>
      <c r="I375" s="124"/>
      <c r="J375" s="125" t="str">
        <f t="shared" si="10"/>
        <v/>
      </c>
      <c r="K375" s="119" t="str">
        <f t="shared" si="11"/>
        <v/>
      </c>
    </row>
    <row r="376" spans="1:11" ht="15" customHeight="1">
      <c r="A376" s="119" t="str">
        <f>IF($B376="","",IFERROR(INDEX(상담데이터입력!$BH$3:$BH$502,MATCH($B376,상담데이터입력!$A$3:$A$502,0)),""))</f>
        <v/>
      </c>
      <c r="B376" s="120"/>
      <c r="C376" s="119" t="str">
        <f>IF($B376="","",IFERROR(INDEX(상담데이터입력!$D$3:$D$502,MATCH($B376,상담데이터입력!$A$3:$A$502,0)),""))</f>
        <v/>
      </c>
      <c r="D376" s="119" t="str">
        <f>IF($B376="","",IFERROR(INDEX(상담데이터입력!$S$3:$S$502,MATCH($B376,상담데이터입력!$A$3:$A$502,0)),""))</f>
        <v/>
      </c>
      <c r="E376" s="121"/>
      <c r="F376" s="122"/>
      <c r="G376" s="123"/>
      <c r="H376" s="123"/>
      <c r="I376" s="124"/>
      <c r="J376" s="125" t="str">
        <f t="shared" si="10"/>
        <v/>
      </c>
      <c r="K376" s="119" t="str">
        <f t="shared" si="11"/>
        <v/>
      </c>
    </row>
    <row r="377" spans="1:11" ht="15" customHeight="1">
      <c r="A377" s="119" t="str">
        <f>IF($B377="","",IFERROR(INDEX(상담데이터입력!$BH$3:$BH$502,MATCH($B377,상담데이터입력!$A$3:$A$502,0)),""))</f>
        <v/>
      </c>
      <c r="B377" s="120"/>
      <c r="C377" s="119" t="str">
        <f>IF($B377="","",IFERROR(INDEX(상담데이터입력!$D$3:$D$502,MATCH($B377,상담데이터입력!$A$3:$A$502,0)),""))</f>
        <v/>
      </c>
      <c r="D377" s="119" t="str">
        <f>IF($B377="","",IFERROR(INDEX(상담데이터입력!$S$3:$S$502,MATCH($B377,상담데이터입력!$A$3:$A$502,0)),""))</f>
        <v/>
      </c>
      <c r="E377" s="121"/>
      <c r="F377" s="122"/>
      <c r="G377" s="123"/>
      <c r="H377" s="123"/>
      <c r="I377" s="124"/>
      <c r="J377" s="125" t="str">
        <f t="shared" si="10"/>
        <v/>
      </c>
      <c r="K377" s="119" t="str">
        <f t="shared" si="11"/>
        <v/>
      </c>
    </row>
    <row r="378" spans="1:11" ht="15" customHeight="1">
      <c r="A378" s="119" t="str">
        <f>IF($B378="","",IFERROR(INDEX(상담데이터입력!$BH$3:$BH$502,MATCH($B378,상담데이터입력!$A$3:$A$502,0)),""))</f>
        <v/>
      </c>
      <c r="B378" s="120"/>
      <c r="C378" s="119" t="str">
        <f>IF($B378="","",IFERROR(INDEX(상담데이터입력!$D$3:$D$502,MATCH($B378,상담데이터입력!$A$3:$A$502,0)),""))</f>
        <v/>
      </c>
      <c r="D378" s="119" t="str">
        <f>IF($B378="","",IFERROR(INDEX(상담데이터입력!$S$3:$S$502,MATCH($B378,상담데이터입력!$A$3:$A$502,0)),""))</f>
        <v/>
      </c>
      <c r="E378" s="121"/>
      <c r="F378" s="122"/>
      <c r="G378" s="123"/>
      <c r="H378" s="123"/>
      <c r="I378" s="124"/>
      <c r="J378" s="125" t="str">
        <f t="shared" si="10"/>
        <v/>
      </c>
      <c r="K378" s="119" t="str">
        <f t="shared" si="11"/>
        <v/>
      </c>
    </row>
    <row r="379" spans="1:11" ht="15" customHeight="1">
      <c r="A379" s="119" t="str">
        <f>IF($B379="","",IFERROR(INDEX(상담데이터입력!$BH$3:$BH$502,MATCH($B379,상담데이터입력!$A$3:$A$502,0)),""))</f>
        <v/>
      </c>
      <c r="B379" s="120"/>
      <c r="C379" s="119" t="str">
        <f>IF($B379="","",IFERROR(INDEX(상담데이터입력!$D$3:$D$502,MATCH($B379,상담데이터입력!$A$3:$A$502,0)),""))</f>
        <v/>
      </c>
      <c r="D379" s="119" t="str">
        <f>IF($B379="","",IFERROR(INDEX(상담데이터입력!$S$3:$S$502,MATCH($B379,상담데이터입력!$A$3:$A$502,0)),""))</f>
        <v/>
      </c>
      <c r="E379" s="121"/>
      <c r="F379" s="122"/>
      <c r="G379" s="123"/>
      <c r="H379" s="123"/>
      <c r="I379" s="124"/>
      <c r="J379" s="125" t="str">
        <f t="shared" si="10"/>
        <v/>
      </c>
      <c r="K379" s="119" t="str">
        <f t="shared" si="11"/>
        <v/>
      </c>
    </row>
    <row r="380" spans="1:11" ht="15" customHeight="1">
      <c r="A380" s="119" t="str">
        <f>IF($B380="","",IFERROR(INDEX(상담데이터입력!$BH$3:$BH$502,MATCH($B380,상담데이터입력!$A$3:$A$502,0)),""))</f>
        <v/>
      </c>
      <c r="B380" s="120"/>
      <c r="C380" s="119" t="str">
        <f>IF($B380="","",IFERROR(INDEX(상담데이터입력!$D$3:$D$502,MATCH($B380,상담데이터입력!$A$3:$A$502,0)),""))</f>
        <v/>
      </c>
      <c r="D380" s="119" t="str">
        <f>IF($B380="","",IFERROR(INDEX(상담데이터입력!$S$3:$S$502,MATCH($B380,상담데이터입력!$A$3:$A$502,0)),""))</f>
        <v/>
      </c>
      <c r="E380" s="121"/>
      <c r="F380" s="122"/>
      <c r="G380" s="123"/>
      <c r="H380" s="123"/>
      <c r="I380" s="124"/>
      <c r="J380" s="125" t="str">
        <f t="shared" si="10"/>
        <v/>
      </c>
      <c r="K380" s="119" t="str">
        <f t="shared" si="11"/>
        <v/>
      </c>
    </row>
    <row r="381" spans="1:11" ht="15" customHeight="1">
      <c r="A381" s="119" t="str">
        <f>IF($B381="","",IFERROR(INDEX(상담데이터입력!$BH$3:$BH$502,MATCH($B381,상담데이터입력!$A$3:$A$502,0)),""))</f>
        <v/>
      </c>
      <c r="B381" s="120"/>
      <c r="C381" s="119" t="str">
        <f>IF($B381="","",IFERROR(INDEX(상담데이터입력!$D$3:$D$502,MATCH($B381,상담데이터입력!$A$3:$A$502,0)),""))</f>
        <v/>
      </c>
      <c r="D381" s="119" t="str">
        <f>IF($B381="","",IFERROR(INDEX(상담데이터입력!$S$3:$S$502,MATCH($B381,상담데이터입력!$A$3:$A$502,0)),""))</f>
        <v/>
      </c>
      <c r="E381" s="121"/>
      <c r="F381" s="122"/>
      <c r="G381" s="123"/>
      <c r="H381" s="123"/>
      <c r="I381" s="124"/>
      <c r="J381" s="125" t="str">
        <f t="shared" si="10"/>
        <v/>
      </c>
      <c r="K381" s="119" t="str">
        <f t="shared" si="11"/>
        <v/>
      </c>
    </row>
    <row r="382" spans="1:11" ht="15" customHeight="1">
      <c r="A382" s="119" t="str">
        <f>IF($B382="","",IFERROR(INDEX(상담데이터입력!$BH$3:$BH$502,MATCH($B382,상담데이터입력!$A$3:$A$502,0)),""))</f>
        <v/>
      </c>
      <c r="B382" s="120"/>
      <c r="C382" s="119" t="str">
        <f>IF($B382="","",IFERROR(INDEX(상담데이터입력!$D$3:$D$502,MATCH($B382,상담데이터입력!$A$3:$A$502,0)),""))</f>
        <v/>
      </c>
      <c r="D382" s="119" t="str">
        <f>IF($B382="","",IFERROR(INDEX(상담데이터입력!$S$3:$S$502,MATCH($B382,상담데이터입력!$A$3:$A$502,0)),""))</f>
        <v/>
      </c>
      <c r="E382" s="121"/>
      <c r="F382" s="122"/>
      <c r="G382" s="123"/>
      <c r="H382" s="123"/>
      <c r="I382" s="124"/>
      <c r="J382" s="125" t="str">
        <f t="shared" si="10"/>
        <v/>
      </c>
      <c r="K382" s="119" t="str">
        <f t="shared" si="11"/>
        <v/>
      </c>
    </row>
    <row r="383" spans="1:11" ht="15" customHeight="1">
      <c r="A383" s="119" t="str">
        <f>IF($B383="","",IFERROR(INDEX(상담데이터입력!$BH$3:$BH$502,MATCH($B383,상담데이터입력!$A$3:$A$502,0)),""))</f>
        <v/>
      </c>
      <c r="B383" s="120"/>
      <c r="C383" s="119" t="str">
        <f>IF($B383="","",IFERROR(INDEX(상담데이터입력!$D$3:$D$502,MATCH($B383,상담데이터입력!$A$3:$A$502,0)),""))</f>
        <v/>
      </c>
      <c r="D383" s="119" t="str">
        <f>IF($B383="","",IFERROR(INDEX(상담데이터입력!$S$3:$S$502,MATCH($B383,상담데이터입력!$A$3:$A$502,0)),""))</f>
        <v/>
      </c>
      <c r="E383" s="121"/>
      <c r="F383" s="122"/>
      <c r="G383" s="123"/>
      <c r="H383" s="123"/>
      <c r="I383" s="124"/>
      <c r="J383" s="125" t="str">
        <f t="shared" si="10"/>
        <v/>
      </c>
      <c r="K383" s="119" t="str">
        <f t="shared" si="11"/>
        <v/>
      </c>
    </row>
    <row r="384" spans="1:11" ht="15" customHeight="1">
      <c r="A384" s="119" t="str">
        <f>IF($B384="","",IFERROR(INDEX(상담데이터입력!$BH$3:$BH$502,MATCH($B384,상담데이터입력!$A$3:$A$502,0)),""))</f>
        <v/>
      </c>
      <c r="B384" s="120"/>
      <c r="C384" s="119" t="str">
        <f>IF($B384="","",IFERROR(INDEX(상담데이터입력!$D$3:$D$502,MATCH($B384,상담데이터입력!$A$3:$A$502,0)),""))</f>
        <v/>
      </c>
      <c r="D384" s="119" t="str">
        <f>IF($B384="","",IFERROR(INDEX(상담데이터입력!$S$3:$S$502,MATCH($B384,상담데이터입력!$A$3:$A$502,0)),""))</f>
        <v/>
      </c>
      <c r="E384" s="121"/>
      <c r="F384" s="122"/>
      <c r="G384" s="123"/>
      <c r="H384" s="123"/>
      <c r="I384" s="124"/>
      <c r="J384" s="125" t="str">
        <f t="shared" si="10"/>
        <v/>
      </c>
      <c r="K384" s="119" t="str">
        <f t="shared" si="11"/>
        <v/>
      </c>
    </row>
    <row r="385" spans="1:11" ht="15" customHeight="1">
      <c r="A385" s="119" t="str">
        <f>IF($B385="","",IFERROR(INDEX(상담데이터입력!$BH$3:$BH$502,MATCH($B385,상담데이터입력!$A$3:$A$502,0)),""))</f>
        <v/>
      </c>
      <c r="B385" s="120"/>
      <c r="C385" s="119" t="str">
        <f>IF($B385="","",IFERROR(INDEX(상담데이터입력!$D$3:$D$502,MATCH($B385,상담데이터입력!$A$3:$A$502,0)),""))</f>
        <v/>
      </c>
      <c r="D385" s="119" t="str">
        <f>IF($B385="","",IFERROR(INDEX(상담데이터입력!$S$3:$S$502,MATCH($B385,상담데이터입력!$A$3:$A$502,0)),""))</f>
        <v/>
      </c>
      <c r="E385" s="121"/>
      <c r="F385" s="122"/>
      <c r="G385" s="123"/>
      <c r="H385" s="123"/>
      <c r="I385" s="124"/>
      <c r="J385" s="125" t="str">
        <f t="shared" si="10"/>
        <v/>
      </c>
      <c r="K385" s="119" t="str">
        <f t="shared" si="11"/>
        <v/>
      </c>
    </row>
    <row r="386" spans="1:11" ht="15" customHeight="1">
      <c r="A386" s="119" t="str">
        <f>IF($B386="","",IFERROR(INDEX(상담데이터입력!$BH$3:$BH$502,MATCH($B386,상담데이터입력!$A$3:$A$502,0)),""))</f>
        <v/>
      </c>
      <c r="B386" s="120"/>
      <c r="C386" s="119" t="str">
        <f>IF($B386="","",IFERROR(INDEX(상담데이터입력!$D$3:$D$502,MATCH($B386,상담데이터입력!$A$3:$A$502,0)),""))</f>
        <v/>
      </c>
      <c r="D386" s="119" t="str">
        <f>IF($B386="","",IFERROR(INDEX(상담데이터입력!$S$3:$S$502,MATCH($B386,상담데이터입력!$A$3:$A$502,0)),""))</f>
        <v/>
      </c>
      <c r="E386" s="121"/>
      <c r="F386" s="122"/>
      <c r="G386" s="123"/>
      <c r="H386" s="123"/>
      <c r="I386" s="124"/>
      <c r="J386" s="125" t="str">
        <f t="shared" si="10"/>
        <v/>
      </c>
      <c r="K386" s="119" t="str">
        <f t="shared" si="11"/>
        <v/>
      </c>
    </row>
    <row r="387" spans="1:11" ht="15" customHeight="1">
      <c r="A387" s="119" t="str">
        <f>IF($B387="","",IFERROR(INDEX(상담데이터입력!$BH$3:$BH$502,MATCH($B387,상담데이터입력!$A$3:$A$502,0)),""))</f>
        <v/>
      </c>
      <c r="B387" s="120"/>
      <c r="C387" s="119" t="str">
        <f>IF($B387="","",IFERROR(INDEX(상담데이터입력!$D$3:$D$502,MATCH($B387,상담데이터입력!$A$3:$A$502,0)),""))</f>
        <v/>
      </c>
      <c r="D387" s="119" t="str">
        <f>IF($B387="","",IFERROR(INDEX(상담데이터입력!$S$3:$S$502,MATCH($B387,상담데이터입력!$A$3:$A$502,0)),""))</f>
        <v/>
      </c>
      <c r="E387" s="121"/>
      <c r="F387" s="122"/>
      <c r="G387" s="123"/>
      <c r="H387" s="123"/>
      <c r="I387" s="124"/>
      <c r="J387" s="125" t="str">
        <f t="shared" si="10"/>
        <v/>
      </c>
      <c r="K387" s="119" t="str">
        <f t="shared" si="11"/>
        <v/>
      </c>
    </row>
    <row r="388" spans="1:11" ht="15" customHeight="1">
      <c r="A388" s="119" t="str">
        <f>IF($B388="","",IFERROR(INDEX(상담데이터입력!$BH$3:$BH$502,MATCH($B388,상담데이터입력!$A$3:$A$502,0)),""))</f>
        <v/>
      </c>
      <c r="B388" s="120"/>
      <c r="C388" s="119" t="str">
        <f>IF($B388="","",IFERROR(INDEX(상담데이터입력!$D$3:$D$502,MATCH($B388,상담데이터입력!$A$3:$A$502,0)),""))</f>
        <v/>
      </c>
      <c r="D388" s="119" t="str">
        <f>IF($B388="","",IFERROR(INDEX(상담데이터입력!$S$3:$S$502,MATCH($B388,상담데이터입력!$A$3:$A$502,0)),""))</f>
        <v/>
      </c>
      <c r="E388" s="121"/>
      <c r="F388" s="122"/>
      <c r="G388" s="123"/>
      <c r="H388" s="123"/>
      <c r="I388" s="124"/>
      <c r="J388" s="125" t="str">
        <f t="shared" si="10"/>
        <v/>
      </c>
      <c r="K388" s="119" t="str">
        <f t="shared" si="11"/>
        <v/>
      </c>
    </row>
    <row r="389" spans="1:11" ht="15" customHeight="1">
      <c r="A389" s="119" t="str">
        <f>IF($B389="","",IFERROR(INDEX(상담데이터입력!$BH$3:$BH$502,MATCH($B389,상담데이터입력!$A$3:$A$502,0)),""))</f>
        <v/>
      </c>
      <c r="B389" s="120"/>
      <c r="C389" s="119" t="str">
        <f>IF($B389="","",IFERROR(INDEX(상담데이터입력!$D$3:$D$502,MATCH($B389,상담데이터입력!$A$3:$A$502,0)),""))</f>
        <v/>
      </c>
      <c r="D389" s="119" t="str">
        <f>IF($B389="","",IFERROR(INDEX(상담데이터입력!$S$3:$S$502,MATCH($B389,상담데이터입력!$A$3:$A$502,0)),""))</f>
        <v/>
      </c>
      <c r="E389" s="121"/>
      <c r="F389" s="122"/>
      <c r="G389" s="123"/>
      <c r="H389" s="123"/>
      <c r="I389" s="124"/>
      <c r="J389" s="125" t="str">
        <f t="shared" ref="J389:J452" si="12">IF(OR($G389="",$F389=""),"",EDATE($G389,IF($F389="1개월",1,IF($F389="3개월",3,IF($F389="6개월",6,0)))))</f>
        <v/>
      </c>
      <c r="K389" s="119" t="str">
        <f t="shared" ref="K389:K452" si="13">IF($B389="","",IF($H389="","재원중","퇴소"))</f>
        <v/>
      </c>
    </row>
    <row r="390" spans="1:11" ht="15" customHeight="1">
      <c r="A390" s="119" t="str">
        <f>IF($B390="","",IFERROR(INDEX(상담데이터입력!$BH$3:$BH$502,MATCH($B390,상담데이터입력!$A$3:$A$502,0)),""))</f>
        <v/>
      </c>
      <c r="B390" s="120"/>
      <c r="C390" s="119" t="str">
        <f>IF($B390="","",IFERROR(INDEX(상담데이터입력!$D$3:$D$502,MATCH($B390,상담데이터입력!$A$3:$A$502,0)),""))</f>
        <v/>
      </c>
      <c r="D390" s="119" t="str">
        <f>IF($B390="","",IFERROR(INDEX(상담데이터입력!$S$3:$S$502,MATCH($B390,상담데이터입력!$A$3:$A$502,0)),""))</f>
        <v/>
      </c>
      <c r="E390" s="121"/>
      <c r="F390" s="122"/>
      <c r="G390" s="123"/>
      <c r="H390" s="123"/>
      <c r="I390" s="124"/>
      <c r="J390" s="125" t="str">
        <f t="shared" si="12"/>
        <v/>
      </c>
      <c r="K390" s="119" t="str">
        <f t="shared" si="13"/>
        <v/>
      </c>
    </row>
    <row r="391" spans="1:11" ht="15" customHeight="1">
      <c r="A391" s="119" t="str">
        <f>IF($B391="","",IFERROR(INDEX(상담데이터입력!$BH$3:$BH$502,MATCH($B391,상담데이터입력!$A$3:$A$502,0)),""))</f>
        <v/>
      </c>
      <c r="B391" s="120"/>
      <c r="C391" s="119" t="str">
        <f>IF($B391="","",IFERROR(INDEX(상담데이터입력!$D$3:$D$502,MATCH($B391,상담데이터입력!$A$3:$A$502,0)),""))</f>
        <v/>
      </c>
      <c r="D391" s="119" t="str">
        <f>IF($B391="","",IFERROR(INDEX(상담데이터입력!$S$3:$S$502,MATCH($B391,상담데이터입력!$A$3:$A$502,0)),""))</f>
        <v/>
      </c>
      <c r="E391" s="121"/>
      <c r="F391" s="122"/>
      <c r="G391" s="123"/>
      <c r="H391" s="123"/>
      <c r="I391" s="124"/>
      <c r="J391" s="125" t="str">
        <f t="shared" si="12"/>
        <v/>
      </c>
      <c r="K391" s="119" t="str">
        <f t="shared" si="13"/>
        <v/>
      </c>
    </row>
    <row r="392" spans="1:11" ht="15" customHeight="1">
      <c r="A392" s="119" t="str">
        <f>IF($B392="","",IFERROR(INDEX(상담데이터입력!$BH$3:$BH$502,MATCH($B392,상담데이터입력!$A$3:$A$502,0)),""))</f>
        <v/>
      </c>
      <c r="B392" s="120"/>
      <c r="C392" s="119" t="str">
        <f>IF($B392="","",IFERROR(INDEX(상담데이터입력!$D$3:$D$502,MATCH($B392,상담데이터입력!$A$3:$A$502,0)),""))</f>
        <v/>
      </c>
      <c r="D392" s="119" t="str">
        <f>IF($B392="","",IFERROR(INDEX(상담데이터입력!$S$3:$S$502,MATCH($B392,상담데이터입력!$A$3:$A$502,0)),""))</f>
        <v/>
      </c>
      <c r="E392" s="121"/>
      <c r="F392" s="122"/>
      <c r="G392" s="123"/>
      <c r="H392" s="123"/>
      <c r="I392" s="124"/>
      <c r="J392" s="125" t="str">
        <f t="shared" si="12"/>
        <v/>
      </c>
      <c r="K392" s="119" t="str">
        <f t="shared" si="13"/>
        <v/>
      </c>
    </row>
    <row r="393" spans="1:11" ht="15" customHeight="1">
      <c r="A393" s="119" t="str">
        <f>IF($B393="","",IFERROR(INDEX(상담데이터입력!$BH$3:$BH$502,MATCH($B393,상담데이터입력!$A$3:$A$502,0)),""))</f>
        <v/>
      </c>
      <c r="B393" s="120"/>
      <c r="C393" s="119" t="str">
        <f>IF($B393="","",IFERROR(INDEX(상담데이터입력!$D$3:$D$502,MATCH($B393,상담데이터입력!$A$3:$A$502,0)),""))</f>
        <v/>
      </c>
      <c r="D393" s="119" t="str">
        <f>IF($B393="","",IFERROR(INDEX(상담데이터입력!$S$3:$S$502,MATCH($B393,상담데이터입력!$A$3:$A$502,0)),""))</f>
        <v/>
      </c>
      <c r="E393" s="121"/>
      <c r="F393" s="122"/>
      <c r="G393" s="123"/>
      <c r="H393" s="123"/>
      <c r="I393" s="124"/>
      <c r="J393" s="125" t="str">
        <f t="shared" si="12"/>
        <v/>
      </c>
      <c r="K393" s="119" t="str">
        <f t="shared" si="13"/>
        <v/>
      </c>
    </row>
    <row r="394" spans="1:11" ht="15" customHeight="1">
      <c r="A394" s="119" t="str">
        <f>IF($B394="","",IFERROR(INDEX(상담데이터입력!$BH$3:$BH$502,MATCH($B394,상담데이터입력!$A$3:$A$502,0)),""))</f>
        <v/>
      </c>
      <c r="B394" s="120"/>
      <c r="C394" s="119" t="str">
        <f>IF($B394="","",IFERROR(INDEX(상담데이터입력!$D$3:$D$502,MATCH($B394,상담데이터입력!$A$3:$A$502,0)),""))</f>
        <v/>
      </c>
      <c r="D394" s="119" t="str">
        <f>IF($B394="","",IFERROR(INDEX(상담데이터입력!$S$3:$S$502,MATCH($B394,상담데이터입력!$A$3:$A$502,0)),""))</f>
        <v/>
      </c>
      <c r="E394" s="121"/>
      <c r="F394" s="122"/>
      <c r="G394" s="123"/>
      <c r="H394" s="123"/>
      <c r="I394" s="124"/>
      <c r="J394" s="125" t="str">
        <f t="shared" si="12"/>
        <v/>
      </c>
      <c r="K394" s="119" t="str">
        <f t="shared" si="13"/>
        <v/>
      </c>
    </row>
    <row r="395" spans="1:11" ht="15" customHeight="1">
      <c r="A395" s="119" t="str">
        <f>IF($B395="","",IFERROR(INDEX(상담데이터입력!$BH$3:$BH$502,MATCH($B395,상담데이터입력!$A$3:$A$502,0)),""))</f>
        <v/>
      </c>
      <c r="B395" s="120"/>
      <c r="C395" s="119" t="str">
        <f>IF($B395="","",IFERROR(INDEX(상담데이터입력!$D$3:$D$502,MATCH($B395,상담데이터입력!$A$3:$A$502,0)),""))</f>
        <v/>
      </c>
      <c r="D395" s="119" t="str">
        <f>IF($B395="","",IFERROR(INDEX(상담데이터입력!$S$3:$S$502,MATCH($B395,상담데이터입력!$A$3:$A$502,0)),""))</f>
        <v/>
      </c>
      <c r="E395" s="121"/>
      <c r="F395" s="122"/>
      <c r="G395" s="123"/>
      <c r="H395" s="123"/>
      <c r="I395" s="124"/>
      <c r="J395" s="125" t="str">
        <f t="shared" si="12"/>
        <v/>
      </c>
      <c r="K395" s="119" t="str">
        <f t="shared" si="13"/>
        <v/>
      </c>
    </row>
    <row r="396" spans="1:11" ht="15" customHeight="1">
      <c r="A396" s="119" t="str">
        <f>IF($B396="","",IFERROR(INDEX(상담데이터입력!$BH$3:$BH$502,MATCH($B396,상담데이터입력!$A$3:$A$502,0)),""))</f>
        <v/>
      </c>
      <c r="B396" s="120"/>
      <c r="C396" s="119" t="str">
        <f>IF($B396="","",IFERROR(INDEX(상담데이터입력!$D$3:$D$502,MATCH($B396,상담데이터입력!$A$3:$A$502,0)),""))</f>
        <v/>
      </c>
      <c r="D396" s="119" t="str">
        <f>IF($B396="","",IFERROR(INDEX(상담데이터입력!$S$3:$S$502,MATCH($B396,상담데이터입력!$A$3:$A$502,0)),""))</f>
        <v/>
      </c>
      <c r="E396" s="121"/>
      <c r="F396" s="122"/>
      <c r="G396" s="123"/>
      <c r="H396" s="123"/>
      <c r="I396" s="124"/>
      <c r="J396" s="125" t="str">
        <f t="shared" si="12"/>
        <v/>
      </c>
      <c r="K396" s="119" t="str">
        <f t="shared" si="13"/>
        <v/>
      </c>
    </row>
    <row r="397" spans="1:11" ht="15" customHeight="1">
      <c r="A397" s="119" t="str">
        <f>IF($B397="","",IFERROR(INDEX(상담데이터입력!$BH$3:$BH$502,MATCH($B397,상담데이터입력!$A$3:$A$502,0)),""))</f>
        <v/>
      </c>
      <c r="B397" s="120"/>
      <c r="C397" s="119" t="str">
        <f>IF($B397="","",IFERROR(INDEX(상담데이터입력!$D$3:$D$502,MATCH($B397,상담데이터입력!$A$3:$A$502,0)),""))</f>
        <v/>
      </c>
      <c r="D397" s="119" t="str">
        <f>IF($B397="","",IFERROR(INDEX(상담데이터입력!$S$3:$S$502,MATCH($B397,상담데이터입력!$A$3:$A$502,0)),""))</f>
        <v/>
      </c>
      <c r="E397" s="121"/>
      <c r="F397" s="122"/>
      <c r="G397" s="123"/>
      <c r="H397" s="123"/>
      <c r="I397" s="124"/>
      <c r="J397" s="125" t="str">
        <f t="shared" si="12"/>
        <v/>
      </c>
      <c r="K397" s="119" t="str">
        <f t="shared" si="13"/>
        <v/>
      </c>
    </row>
    <row r="398" spans="1:11" ht="15" customHeight="1">
      <c r="A398" s="119" t="str">
        <f>IF($B398="","",IFERROR(INDEX(상담데이터입력!$BH$3:$BH$502,MATCH($B398,상담데이터입력!$A$3:$A$502,0)),""))</f>
        <v/>
      </c>
      <c r="B398" s="120"/>
      <c r="C398" s="119" t="str">
        <f>IF($B398="","",IFERROR(INDEX(상담데이터입력!$D$3:$D$502,MATCH($B398,상담데이터입력!$A$3:$A$502,0)),""))</f>
        <v/>
      </c>
      <c r="D398" s="119" t="str">
        <f>IF($B398="","",IFERROR(INDEX(상담데이터입력!$S$3:$S$502,MATCH($B398,상담데이터입력!$A$3:$A$502,0)),""))</f>
        <v/>
      </c>
      <c r="E398" s="121"/>
      <c r="F398" s="122"/>
      <c r="G398" s="123"/>
      <c r="H398" s="123"/>
      <c r="I398" s="124"/>
      <c r="J398" s="125" t="str">
        <f t="shared" si="12"/>
        <v/>
      </c>
      <c r="K398" s="119" t="str">
        <f t="shared" si="13"/>
        <v/>
      </c>
    </row>
    <row r="399" spans="1:11" ht="15" customHeight="1">
      <c r="A399" s="119" t="str">
        <f>IF($B399="","",IFERROR(INDEX(상담데이터입력!$BH$3:$BH$502,MATCH($B399,상담데이터입력!$A$3:$A$502,0)),""))</f>
        <v/>
      </c>
      <c r="B399" s="120"/>
      <c r="C399" s="119" t="str">
        <f>IF($B399="","",IFERROR(INDEX(상담데이터입력!$D$3:$D$502,MATCH($B399,상담데이터입력!$A$3:$A$502,0)),""))</f>
        <v/>
      </c>
      <c r="D399" s="119" t="str">
        <f>IF($B399="","",IFERROR(INDEX(상담데이터입력!$S$3:$S$502,MATCH($B399,상담데이터입력!$A$3:$A$502,0)),""))</f>
        <v/>
      </c>
      <c r="E399" s="121"/>
      <c r="F399" s="122"/>
      <c r="G399" s="123"/>
      <c r="H399" s="123"/>
      <c r="I399" s="124"/>
      <c r="J399" s="125" t="str">
        <f t="shared" si="12"/>
        <v/>
      </c>
      <c r="K399" s="119" t="str">
        <f t="shared" si="13"/>
        <v/>
      </c>
    </row>
    <row r="400" spans="1:11" ht="15" customHeight="1">
      <c r="A400" s="119" t="str">
        <f>IF($B400="","",IFERROR(INDEX(상담데이터입력!$BH$3:$BH$502,MATCH($B400,상담데이터입력!$A$3:$A$502,0)),""))</f>
        <v/>
      </c>
      <c r="B400" s="120"/>
      <c r="C400" s="119" t="str">
        <f>IF($B400="","",IFERROR(INDEX(상담데이터입력!$D$3:$D$502,MATCH($B400,상담데이터입력!$A$3:$A$502,0)),""))</f>
        <v/>
      </c>
      <c r="D400" s="119" t="str">
        <f>IF($B400="","",IFERROR(INDEX(상담데이터입력!$S$3:$S$502,MATCH($B400,상담데이터입력!$A$3:$A$502,0)),""))</f>
        <v/>
      </c>
      <c r="E400" s="121"/>
      <c r="F400" s="122"/>
      <c r="G400" s="123"/>
      <c r="H400" s="123"/>
      <c r="I400" s="124"/>
      <c r="J400" s="125" t="str">
        <f t="shared" si="12"/>
        <v/>
      </c>
      <c r="K400" s="119" t="str">
        <f t="shared" si="13"/>
        <v/>
      </c>
    </row>
    <row r="401" spans="1:11" ht="15" customHeight="1">
      <c r="A401" s="119" t="str">
        <f>IF($B401="","",IFERROR(INDEX(상담데이터입력!$BH$3:$BH$502,MATCH($B401,상담데이터입력!$A$3:$A$502,0)),""))</f>
        <v/>
      </c>
      <c r="B401" s="120"/>
      <c r="C401" s="119" t="str">
        <f>IF($B401="","",IFERROR(INDEX(상담데이터입력!$D$3:$D$502,MATCH($B401,상담데이터입력!$A$3:$A$502,0)),""))</f>
        <v/>
      </c>
      <c r="D401" s="119" t="str">
        <f>IF($B401="","",IFERROR(INDEX(상담데이터입력!$S$3:$S$502,MATCH($B401,상담데이터입력!$A$3:$A$502,0)),""))</f>
        <v/>
      </c>
      <c r="E401" s="121"/>
      <c r="F401" s="122"/>
      <c r="G401" s="123"/>
      <c r="H401" s="123"/>
      <c r="I401" s="124"/>
      <c r="J401" s="125" t="str">
        <f t="shared" si="12"/>
        <v/>
      </c>
      <c r="K401" s="119" t="str">
        <f t="shared" si="13"/>
        <v/>
      </c>
    </row>
    <row r="402" spans="1:11" ht="15" customHeight="1">
      <c r="A402" s="119" t="str">
        <f>IF($B402="","",IFERROR(INDEX(상담데이터입력!$BH$3:$BH$502,MATCH($B402,상담데이터입력!$A$3:$A$502,0)),""))</f>
        <v/>
      </c>
      <c r="B402" s="120"/>
      <c r="C402" s="119" t="str">
        <f>IF($B402="","",IFERROR(INDEX(상담데이터입력!$D$3:$D$502,MATCH($B402,상담데이터입력!$A$3:$A$502,0)),""))</f>
        <v/>
      </c>
      <c r="D402" s="119" t="str">
        <f>IF($B402="","",IFERROR(INDEX(상담데이터입력!$S$3:$S$502,MATCH($B402,상담데이터입력!$A$3:$A$502,0)),""))</f>
        <v/>
      </c>
      <c r="E402" s="121"/>
      <c r="F402" s="122"/>
      <c r="G402" s="123"/>
      <c r="H402" s="123"/>
      <c r="I402" s="124"/>
      <c r="J402" s="125" t="str">
        <f t="shared" si="12"/>
        <v/>
      </c>
      <c r="K402" s="119" t="str">
        <f t="shared" si="13"/>
        <v/>
      </c>
    </row>
    <row r="403" spans="1:11" ht="15" customHeight="1">
      <c r="A403" s="119" t="str">
        <f>IF($B403="","",IFERROR(INDEX(상담데이터입력!$BH$3:$BH$502,MATCH($B403,상담데이터입력!$A$3:$A$502,0)),""))</f>
        <v/>
      </c>
      <c r="B403" s="120"/>
      <c r="C403" s="119" t="str">
        <f>IF($B403="","",IFERROR(INDEX(상담데이터입력!$D$3:$D$502,MATCH($B403,상담데이터입력!$A$3:$A$502,0)),""))</f>
        <v/>
      </c>
      <c r="D403" s="119" t="str">
        <f>IF($B403="","",IFERROR(INDEX(상담데이터입력!$S$3:$S$502,MATCH($B403,상담데이터입력!$A$3:$A$502,0)),""))</f>
        <v/>
      </c>
      <c r="E403" s="121"/>
      <c r="F403" s="122"/>
      <c r="G403" s="123"/>
      <c r="H403" s="123"/>
      <c r="I403" s="124"/>
      <c r="J403" s="125" t="str">
        <f t="shared" si="12"/>
        <v/>
      </c>
      <c r="K403" s="119" t="str">
        <f t="shared" si="13"/>
        <v/>
      </c>
    </row>
    <row r="404" spans="1:11" ht="15" customHeight="1">
      <c r="A404" s="119" t="str">
        <f>IF($B404="","",IFERROR(INDEX(상담데이터입력!$BH$3:$BH$502,MATCH($B404,상담데이터입력!$A$3:$A$502,0)),""))</f>
        <v/>
      </c>
      <c r="B404" s="120"/>
      <c r="C404" s="119" t="str">
        <f>IF($B404="","",IFERROR(INDEX(상담데이터입력!$D$3:$D$502,MATCH($B404,상담데이터입력!$A$3:$A$502,0)),""))</f>
        <v/>
      </c>
      <c r="D404" s="119" t="str">
        <f>IF($B404="","",IFERROR(INDEX(상담데이터입력!$S$3:$S$502,MATCH($B404,상담데이터입력!$A$3:$A$502,0)),""))</f>
        <v/>
      </c>
      <c r="E404" s="121"/>
      <c r="F404" s="122"/>
      <c r="G404" s="123"/>
      <c r="H404" s="123"/>
      <c r="I404" s="124"/>
      <c r="J404" s="125" t="str">
        <f t="shared" si="12"/>
        <v/>
      </c>
      <c r="K404" s="119" t="str">
        <f t="shared" si="13"/>
        <v/>
      </c>
    </row>
    <row r="405" spans="1:11" ht="15" customHeight="1">
      <c r="A405" s="119" t="str">
        <f>IF($B405="","",IFERROR(INDEX(상담데이터입력!$BH$3:$BH$502,MATCH($B405,상담데이터입력!$A$3:$A$502,0)),""))</f>
        <v/>
      </c>
      <c r="B405" s="120"/>
      <c r="C405" s="119" t="str">
        <f>IF($B405="","",IFERROR(INDEX(상담데이터입력!$D$3:$D$502,MATCH($B405,상담데이터입력!$A$3:$A$502,0)),""))</f>
        <v/>
      </c>
      <c r="D405" s="119" t="str">
        <f>IF($B405="","",IFERROR(INDEX(상담데이터입력!$S$3:$S$502,MATCH($B405,상담데이터입력!$A$3:$A$502,0)),""))</f>
        <v/>
      </c>
      <c r="E405" s="121"/>
      <c r="F405" s="122"/>
      <c r="G405" s="123"/>
      <c r="H405" s="123"/>
      <c r="I405" s="124"/>
      <c r="J405" s="125" t="str">
        <f t="shared" si="12"/>
        <v/>
      </c>
      <c r="K405" s="119" t="str">
        <f t="shared" si="13"/>
        <v/>
      </c>
    </row>
    <row r="406" spans="1:11" ht="15" customHeight="1">
      <c r="A406" s="119" t="str">
        <f>IF($B406="","",IFERROR(INDEX(상담데이터입력!$BH$3:$BH$502,MATCH($B406,상담데이터입력!$A$3:$A$502,0)),""))</f>
        <v/>
      </c>
      <c r="B406" s="120"/>
      <c r="C406" s="119" t="str">
        <f>IF($B406="","",IFERROR(INDEX(상담데이터입력!$D$3:$D$502,MATCH($B406,상담데이터입력!$A$3:$A$502,0)),""))</f>
        <v/>
      </c>
      <c r="D406" s="119" t="str">
        <f>IF($B406="","",IFERROR(INDEX(상담데이터입력!$S$3:$S$502,MATCH($B406,상담데이터입력!$A$3:$A$502,0)),""))</f>
        <v/>
      </c>
      <c r="E406" s="121"/>
      <c r="F406" s="122"/>
      <c r="G406" s="123"/>
      <c r="H406" s="123"/>
      <c r="I406" s="124"/>
      <c r="J406" s="125" t="str">
        <f t="shared" si="12"/>
        <v/>
      </c>
      <c r="K406" s="119" t="str">
        <f t="shared" si="13"/>
        <v/>
      </c>
    </row>
    <row r="407" spans="1:11" ht="15" customHeight="1">
      <c r="A407" s="119" t="str">
        <f>IF($B407="","",IFERROR(INDEX(상담데이터입력!$BH$3:$BH$502,MATCH($B407,상담데이터입력!$A$3:$A$502,0)),""))</f>
        <v/>
      </c>
      <c r="B407" s="120"/>
      <c r="C407" s="119" t="str">
        <f>IF($B407="","",IFERROR(INDEX(상담데이터입력!$D$3:$D$502,MATCH($B407,상담데이터입력!$A$3:$A$502,0)),""))</f>
        <v/>
      </c>
      <c r="D407" s="119" t="str">
        <f>IF($B407="","",IFERROR(INDEX(상담데이터입력!$S$3:$S$502,MATCH($B407,상담데이터입력!$A$3:$A$502,0)),""))</f>
        <v/>
      </c>
      <c r="E407" s="121"/>
      <c r="F407" s="122"/>
      <c r="G407" s="123"/>
      <c r="H407" s="123"/>
      <c r="I407" s="124"/>
      <c r="J407" s="125" t="str">
        <f t="shared" si="12"/>
        <v/>
      </c>
      <c r="K407" s="119" t="str">
        <f t="shared" si="13"/>
        <v/>
      </c>
    </row>
    <row r="408" spans="1:11" ht="15" customHeight="1">
      <c r="A408" s="119" t="str">
        <f>IF($B408="","",IFERROR(INDEX(상담데이터입력!$BH$3:$BH$502,MATCH($B408,상담데이터입력!$A$3:$A$502,0)),""))</f>
        <v/>
      </c>
      <c r="B408" s="120"/>
      <c r="C408" s="119" t="str">
        <f>IF($B408="","",IFERROR(INDEX(상담데이터입력!$D$3:$D$502,MATCH($B408,상담데이터입력!$A$3:$A$502,0)),""))</f>
        <v/>
      </c>
      <c r="D408" s="119" t="str">
        <f>IF($B408="","",IFERROR(INDEX(상담데이터입력!$S$3:$S$502,MATCH($B408,상담데이터입력!$A$3:$A$502,0)),""))</f>
        <v/>
      </c>
      <c r="E408" s="121"/>
      <c r="F408" s="122"/>
      <c r="G408" s="123"/>
      <c r="H408" s="123"/>
      <c r="I408" s="124"/>
      <c r="J408" s="125" t="str">
        <f t="shared" si="12"/>
        <v/>
      </c>
      <c r="K408" s="119" t="str">
        <f t="shared" si="13"/>
        <v/>
      </c>
    </row>
    <row r="409" spans="1:11" ht="15" customHeight="1">
      <c r="A409" s="119" t="str">
        <f>IF($B409="","",IFERROR(INDEX(상담데이터입력!$BH$3:$BH$502,MATCH($B409,상담데이터입력!$A$3:$A$502,0)),""))</f>
        <v/>
      </c>
      <c r="B409" s="120"/>
      <c r="C409" s="119" t="str">
        <f>IF($B409="","",IFERROR(INDEX(상담데이터입력!$D$3:$D$502,MATCH($B409,상담데이터입력!$A$3:$A$502,0)),""))</f>
        <v/>
      </c>
      <c r="D409" s="119" t="str">
        <f>IF($B409="","",IFERROR(INDEX(상담데이터입력!$S$3:$S$502,MATCH($B409,상담데이터입력!$A$3:$A$502,0)),""))</f>
        <v/>
      </c>
      <c r="E409" s="121"/>
      <c r="F409" s="122"/>
      <c r="G409" s="123"/>
      <c r="H409" s="123"/>
      <c r="I409" s="124"/>
      <c r="J409" s="125" t="str">
        <f t="shared" si="12"/>
        <v/>
      </c>
      <c r="K409" s="119" t="str">
        <f t="shared" si="13"/>
        <v/>
      </c>
    </row>
    <row r="410" spans="1:11" ht="15" customHeight="1">
      <c r="A410" s="119" t="str">
        <f>IF($B410="","",IFERROR(INDEX(상담데이터입력!$BH$3:$BH$502,MATCH($B410,상담데이터입력!$A$3:$A$502,0)),""))</f>
        <v/>
      </c>
      <c r="B410" s="120"/>
      <c r="C410" s="119" t="str">
        <f>IF($B410="","",IFERROR(INDEX(상담데이터입력!$D$3:$D$502,MATCH($B410,상담데이터입력!$A$3:$A$502,0)),""))</f>
        <v/>
      </c>
      <c r="D410" s="119" t="str">
        <f>IF($B410="","",IFERROR(INDEX(상담데이터입력!$S$3:$S$502,MATCH($B410,상담데이터입력!$A$3:$A$502,0)),""))</f>
        <v/>
      </c>
      <c r="E410" s="121"/>
      <c r="F410" s="122"/>
      <c r="G410" s="123"/>
      <c r="H410" s="123"/>
      <c r="I410" s="124"/>
      <c r="J410" s="125" t="str">
        <f t="shared" si="12"/>
        <v/>
      </c>
      <c r="K410" s="119" t="str">
        <f t="shared" si="13"/>
        <v/>
      </c>
    </row>
    <row r="411" spans="1:11" ht="15" customHeight="1">
      <c r="A411" s="119" t="str">
        <f>IF($B411="","",IFERROR(INDEX(상담데이터입력!$BH$3:$BH$502,MATCH($B411,상담데이터입력!$A$3:$A$502,0)),""))</f>
        <v/>
      </c>
      <c r="B411" s="120"/>
      <c r="C411" s="119" t="str">
        <f>IF($B411="","",IFERROR(INDEX(상담데이터입력!$D$3:$D$502,MATCH($B411,상담데이터입력!$A$3:$A$502,0)),""))</f>
        <v/>
      </c>
      <c r="D411" s="119" t="str">
        <f>IF($B411="","",IFERROR(INDEX(상담데이터입력!$S$3:$S$502,MATCH($B411,상담데이터입력!$A$3:$A$502,0)),""))</f>
        <v/>
      </c>
      <c r="E411" s="121"/>
      <c r="F411" s="122"/>
      <c r="G411" s="123"/>
      <c r="H411" s="123"/>
      <c r="I411" s="124"/>
      <c r="J411" s="125" t="str">
        <f t="shared" si="12"/>
        <v/>
      </c>
      <c r="K411" s="119" t="str">
        <f t="shared" si="13"/>
        <v/>
      </c>
    </row>
    <row r="412" spans="1:11" ht="15" customHeight="1">
      <c r="A412" s="119" t="str">
        <f>IF($B412="","",IFERROR(INDEX(상담데이터입력!$BH$3:$BH$502,MATCH($B412,상담데이터입력!$A$3:$A$502,0)),""))</f>
        <v/>
      </c>
      <c r="B412" s="120"/>
      <c r="C412" s="119" t="str">
        <f>IF($B412="","",IFERROR(INDEX(상담데이터입력!$D$3:$D$502,MATCH($B412,상담데이터입력!$A$3:$A$502,0)),""))</f>
        <v/>
      </c>
      <c r="D412" s="119" t="str">
        <f>IF($B412="","",IFERROR(INDEX(상담데이터입력!$S$3:$S$502,MATCH($B412,상담데이터입력!$A$3:$A$502,0)),""))</f>
        <v/>
      </c>
      <c r="E412" s="121"/>
      <c r="F412" s="122"/>
      <c r="G412" s="123"/>
      <c r="H412" s="123"/>
      <c r="I412" s="124"/>
      <c r="J412" s="125" t="str">
        <f t="shared" si="12"/>
        <v/>
      </c>
      <c r="K412" s="119" t="str">
        <f t="shared" si="13"/>
        <v/>
      </c>
    </row>
    <row r="413" spans="1:11" ht="15" customHeight="1">
      <c r="A413" s="119" t="str">
        <f>IF($B413="","",IFERROR(INDEX(상담데이터입력!$BH$3:$BH$502,MATCH($B413,상담데이터입력!$A$3:$A$502,0)),""))</f>
        <v/>
      </c>
      <c r="B413" s="120"/>
      <c r="C413" s="119" t="str">
        <f>IF($B413="","",IFERROR(INDEX(상담데이터입력!$D$3:$D$502,MATCH($B413,상담데이터입력!$A$3:$A$502,0)),""))</f>
        <v/>
      </c>
      <c r="D413" s="119" t="str">
        <f>IF($B413="","",IFERROR(INDEX(상담데이터입력!$S$3:$S$502,MATCH($B413,상담데이터입력!$A$3:$A$502,0)),""))</f>
        <v/>
      </c>
      <c r="E413" s="121"/>
      <c r="F413" s="122"/>
      <c r="G413" s="123"/>
      <c r="H413" s="123"/>
      <c r="I413" s="124"/>
      <c r="J413" s="125" t="str">
        <f t="shared" si="12"/>
        <v/>
      </c>
      <c r="K413" s="119" t="str">
        <f t="shared" si="13"/>
        <v/>
      </c>
    </row>
    <row r="414" spans="1:11" ht="15" customHeight="1">
      <c r="A414" s="119" t="str">
        <f>IF($B414="","",IFERROR(INDEX(상담데이터입력!$BH$3:$BH$502,MATCH($B414,상담데이터입력!$A$3:$A$502,0)),""))</f>
        <v/>
      </c>
      <c r="B414" s="120"/>
      <c r="C414" s="119" t="str">
        <f>IF($B414="","",IFERROR(INDEX(상담데이터입력!$D$3:$D$502,MATCH($B414,상담데이터입력!$A$3:$A$502,0)),""))</f>
        <v/>
      </c>
      <c r="D414" s="119" t="str">
        <f>IF($B414="","",IFERROR(INDEX(상담데이터입력!$S$3:$S$502,MATCH($B414,상담데이터입력!$A$3:$A$502,0)),""))</f>
        <v/>
      </c>
      <c r="E414" s="121"/>
      <c r="F414" s="122"/>
      <c r="G414" s="123"/>
      <c r="H414" s="123"/>
      <c r="I414" s="124"/>
      <c r="J414" s="125" t="str">
        <f t="shared" si="12"/>
        <v/>
      </c>
      <c r="K414" s="119" t="str">
        <f t="shared" si="13"/>
        <v/>
      </c>
    </row>
    <row r="415" spans="1:11" ht="15" customHeight="1">
      <c r="A415" s="119" t="str">
        <f>IF($B415="","",IFERROR(INDEX(상담데이터입력!$BH$3:$BH$502,MATCH($B415,상담데이터입력!$A$3:$A$502,0)),""))</f>
        <v/>
      </c>
      <c r="B415" s="120"/>
      <c r="C415" s="119" t="str">
        <f>IF($B415="","",IFERROR(INDEX(상담데이터입력!$D$3:$D$502,MATCH($B415,상담데이터입력!$A$3:$A$502,0)),""))</f>
        <v/>
      </c>
      <c r="D415" s="119" t="str">
        <f>IF($B415="","",IFERROR(INDEX(상담데이터입력!$S$3:$S$502,MATCH($B415,상담데이터입력!$A$3:$A$502,0)),""))</f>
        <v/>
      </c>
      <c r="E415" s="121"/>
      <c r="F415" s="122"/>
      <c r="G415" s="123"/>
      <c r="H415" s="123"/>
      <c r="I415" s="124"/>
      <c r="J415" s="125" t="str">
        <f t="shared" si="12"/>
        <v/>
      </c>
      <c r="K415" s="119" t="str">
        <f t="shared" si="13"/>
        <v/>
      </c>
    </row>
    <row r="416" spans="1:11" ht="15" customHeight="1">
      <c r="A416" s="119" t="str">
        <f>IF($B416="","",IFERROR(INDEX(상담데이터입력!$BH$3:$BH$502,MATCH($B416,상담데이터입력!$A$3:$A$502,0)),""))</f>
        <v/>
      </c>
      <c r="B416" s="120"/>
      <c r="C416" s="119" t="str">
        <f>IF($B416="","",IFERROR(INDEX(상담데이터입력!$D$3:$D$502,MATCH($B416,상담데이터입력!$A$3:$A$502,0)),""))</f>
        <v/>
      </c>
      <c r="D416" s="119" t="str">
        <f>IF($B416="","",IFERROR(INDEX(상담데이터입력!$S$3:$S$502,MATCH($B416,상담데이터입력!$A$3:$A$502,0)),""))</f>
        <v/>
      </c>
      <c r="E416" s="121"/>
      <c r="F416" s="122"/>
      <c r="G416" s="123"/>
      <c r="H416" s="123"/>
      <c r="I416" s="124"/>
      <c r="J416" s="125" t="str">
        <f t="shared" si="12"/>
        <v/>
      </c>
      <c r="K416" s="119" t="str">
        <f t="shared" si="13"/>
        <v/>
      </c>
    </row>
    <row r="417" spans="1:11" ht="15" customHeight="1">
      <c r="A417" s="119" t="str">
        <f>IF($B417="","",IFERROR(INDEX(상담데이터입력!$BH$3:$BH$502,MATCH($B417,상담데이터입력!$A$3:$A$502,0)),""))</f>
        <v/>
      </c>
      <c r="B417" s="120"/>
      <c r="C417" s="119" t="str">
        <f>IF($B417="","",IFERROR(INDEX(상담데이터입력!$D$3:$D$502,MATCH($B417,상담데이터입력!$A$3:$A$502,0)),""))</f>
        <v/>
      </c>
      <c r="D417" s="119" t="str">
        <f>IF($B417="","",IFERROR(INDEX(상담데이터입력!$S$3:$S$502,MATCH($B417,상담데이터입력!$A$3:$A$502,0)),""))</f>
        <v/>
      </c>
      <c r="E417" s="121"/>
      <c r="F417" s="122"/>
      <c r="G417" s="123"/>
      <c r="H417" s="123"/>
      <c r="I417" s="124"/>
      <c r="J417" s="125" t="str">
        <f t="shared" si="12"/>
        <v/>
      </c>
      <c r="K417" s="119" t="str">
        <f t="shared" si="13"/>
        <v/>
      </c>
    </row>
    <row r="418" spans="1:11" ht="15" customHeight="1">
      <c r="A418" s="119" t="str">
        <f>IF($B418="","",IFERROR(INDEX(상담데이터입력!$BH$3:$BH$502,MATCH($B418,상담데이터입력!$A$3:$A$502,0)),""))</f>
        <v/>
      </c>
      <c r="B418" s="120"/>
      <c r="C418" s="119" t="str">
        <f>IF($B418="","",IFERROR(INDEX(상담데이터입력!$D$3:$D$502,MATCH($B418,상담데이터입력!$A$3:$A$502,0)),""))</f>
        <v/>
      </c>
      <c r="D418" s="119" t="str">
        <f>IF($B418="","",IFERROR(INDEX(상담데이터입력!$S$3:$S$502,MATCH($B418,상담데이터입력!$A$3:$A$502,0)),""))</f>
        <v/>
      </c>
      <c r="E418" s="121"/>
      <c r="F418" s="122"/>
      <c r="G418" s="123"/>
      <c r="H418" s="123"/>
      <c r="I418" s="124"/>
      <c r="J418" s="125" t="str">
        <f t="shared" si="12"/>
        <v/>
      </c>
      <c r="K418" s="119" t="str">
        <f t="shared" si="13"/>
        <v/>
      </c>
    </row>
    <row r="419" spans="1:11" ht="15" customHeight="1">
      <c r="A419" s="119" t="str">
        <f>IF($B419="","",IFERROR(INDEX(상담데이터입력!$BH$3:$BH$502,MATCH($B419,상담데이터입력!$A$3:$A$502,0)),""))</f>
        <v/>
      </c>
      <c r="B419" s="120"/>
      <c r="C419" s="119" t="str">
        <f>IF($B419="","",IFERROR(INDEX(상담데이터입력!$D$3:$D$502,MATCH($B419,상담데이터입력!$A$3:$A$502,0)),""))</f>
        <v/>
      </c>
      <c r="D419" s="119" t="str">
        <f>IF($B419="","",IFERROR(INDEX(상담데이터입력!$S$3:$S$502,MATCH($B419,상담데이터입력!$A$3:$A$502,0)),""))</f>
        <v/>
      </c>
      <c r="E419" s="121"/>
      <c r="F419" s="122"/>
      <c r="G419" s="123"/>
      <c r="H419" s="123"/>
      <c r="I419" s="124"/>
      <c r="J419" s="125" t="str">
        <f t="shared" si="12"/>
        <v/>
      </c>
      <c r="K419" s="119" t="str">
        <f t="shared" si="13"/>
        <v/>
      </c>
    </row>
    <row r="420" spans="1:11" ht="15" customHeight="1">
      <c r="A420" s="119" t="str">
        <f>IF($B420="","",IFERROR(INDEX(상담데이터입력!$BH$3:$BH$502,MATCH($B420,상담데이터입력!$A$3:$A$502,0)),""))</f>
        <v/>
      </c>
      <c r="B420" s="120"/>
      <c r="C420" s="119" t="str">
        <f>IF($B420="","",IFERROR(INDEX(상담데이터입력!$D$3:$D$502,MATCH($B420,상담데이터입력!$A$3:$A$502,0)),""))</f>
        <v/>
      </c>
      <c r="D420" s="119" t="str">
        <f>IF($B420="","",IFERROR(INDEX(상담데이터입력!$S$3:$S$502,MATCH($B420,상담데이터입력!$A$3:$A$502,0)),""))</f>
        <v/>
      </c>
      <c r="E420" s="121"/>
      <c r="F420" s="122"/>
      <c r="G420" s="123"/>
      <c r="H420" s="123"/>
      <c r="I420" s="124"/>
      <c r="J420" s="125" t="str">
        <f t="shared" si="12"/>
        <v/>
      </c>
      <c r="K420" s="119" t="str">
        <f t="shared" si="13"/>
        <v/>
      </c>
    </row>
    <row r="421" spans="1:11" ht="15" customHeight="1">
      <c r="A421" s="119" t="str">
        <f>IF($B421="","",IFERROR(INDEX(상담데이터입력!$BH$3:$BH$502,MATCH($B421,상담데이터입력!$A$3:$A$502,0)),""))</f>
        <v/>
      </c>
      <c r="B421" s="120"/>
      <c r="C421" s="119" t="str">
        <f>IF($B421="","",IFERROR(INDEX(상담데이터입력!$D$3:$D$502,MATCH($B421,상담데이터입력!$A$3:$A$502,0)),""))</f>
        <v/>
      </c>
      <c r="D421" s="119" t="str">
        <f>IF($B421="","",IFERROR(INDEX(상담데이터입력!$S$3:$S$502,MATCH($B421,상담데이터입력!$A$3:$A$502,0)),""))</f>
        <v/>
      </c>
      <c r="E421" s="121"/>
      <c r="F421" s="122"/>
      <c r="G421" s="123"/>
      <c r="H421" s="123"/>
      <c r="I421" s="124"/>
      <c r="J421" s="125" t="str">
        <f t="shared" si="12"/>
        <v/>
      </c>
      <c r="K421" s="119" t="str">
        <f t="shared" si="13"/>
        <v/>
      </c>
    </row>
    <row r="422" spans="1:11" ht="15" customHeight="1">
      <c r="A422" s="119" t="str">
        <f>IF($B422="","",IFERROR(INDEX(상담데이터입력!$BH$3:$BH$502,MATCH($B422,상담데이터입력!$A$3:$A$502,0)),""))</f>
        <v/>
      </c>
      <c r="B422" s="120"/>
      <c r="C422" s="119" t="str">
        <f>IF($B422="","",IFERROR(INDEX(상담데이터입력!$D$3:$D$502,MATCH($B422,상담데이터입력!$A$3:$A$502,0)),""))</f>
        <v/>
      </c>
      <c r="D422" s="119" t="str">
        <f>IF($B422="","",IFERROR(INDEX(상담데이터입력!$S$3:$S$502,MATCH($B422,상담데이터입력!$A$3:$A$502,0)),""))</f>
        <v/>
      </c>
      <c r="E422" s="121"/>
      <c r="F422" s="122"/>
      <c r="G422" s="123"/>
      <c r="H422" s="123"/>
      <c r="I422" s="124"/>
      <c r="J422" s="125" t="str">
        <f t="shared" si="12"/>
        <v/>
      </c>
      <c r="K422" s="119" t="str">
        <f t="shared" si="13"/>
        <v/>
      </c>
    </row>
    <row r="423" spans="1:11" ht="15" customHeight="1">
      <c r="A423" s="119" t="str">
        <f>IF($B423="","",IFERROR(INDEX(상담데이터입력!$BH$3:$BH$502,MATCH($B423,상담데이터입력!$A$3:$A$502,0)),""))</f>
        <v/>
      </c>
      <c r="B423" s="120"/>
      <c r="C423" s="119" t="str">
        <f>IF($B423="","",IFERROR(INDEX(상담데이터입력!$D$3:$D$502,MATCH($B423,상담데이터입력!$A$3:$A$502,0)),""))</f>
        <v/>
      </c>
      <c r="D423" s="119" t="str">
        <f>IF($B423="","",IFERROR(INDEX(상담데이터입력!$S$3:$S$502,MATCH($B423,상담데이터입력!$A$3:$A$502,0)),""))</f>
        <v/>
      </c>
      <c r="E423" s="121"/>
      <c r="F423" s="122"/>
      <c r="G423" s="123"/>
      <c r="H423" s="123"/>
      <c r="I423" s="124"/>
      <c r="J423" s="125" t="str">
        <f t="shared" si="12"/>
        <v/>
      </c>
      <c r="K423" s="119" t="str">
        <f t="shared" si="13"/>
        <v/>
      </c>
    </row>
    <row r="424" spans="1:11" ht="15" customHeight="1">
      <c r="A424" s="119" t="str">
        <f>IF($B424="","",IFERROR(INDEX(상담데이터입력!$BH$3:$BH$502,MATCH($B424,상담데이터입력!$A$3:$A$502,0)),""))</f>
        <v/>
      </c>
      <c r="B424" s="120"/>
      <c r="C424" s="119" t="str">
        <f>IF($B424="","",IFERROR(INDEX(상담데이터입력!$D$3:$D$502,MATCH($B424,상담데이터입력!$A$3:$A$502,0)),""))</f>
        <v/>
      </c>
      <c r="D424" s="119" t="str">
        <f>IF($B424="","",IFERROR(INDEX(상담데이터입력!$S$3:$S$502,MATCH($B424,상담데이터입력!$A$3:$A$502,0)),""))</f>
        <v/>
      </c>
      <c r="E424" s="121"/>
      <c r="F424" s="122"/>
      <c r="G424" s="123"/>
      <c r="H424" s="123"/>
      <c r="I424" s="124"/>
      <c r="J424" s="125" t="str">
        <f t="shared" si="12"/>
        <v/>
      </c>
      <c r="K424" s="119" t="str">
        <f t="shared" si="13"/>
        <v/>
      </c>
    </row>
    <row r="425" spans="1:11" ht="15" customHeight="1">
      <c r="A425" s="119" t="str">
        <f>IF($B425="","",IFERROR(INDEX(상담데이터입력!$BH$3:$BH$502,MATCH($B425,상담데이터입력!$A$3:$A$502,0)),""))</f>
        <v/>
      </c>
      <c r="B425" s="120"/>
      <c r="C425" s="119" t="str">
        <f>IF($B425="","",IFERROR(INDEX(상담데이터입력!$D$3:$D$502,MATCH($B425,상담데이터입력!$A$3:$A$502,0)),""))</f>
        <v/>
      </c>
      <c r="D425" s="119" t="str">
        <f>IF($B425="","",IFERROR(INDEX(상담데이터입력!$S$3:$S$502,MATCH($B425,상담데이터입력!$A$3:$A$502,0)),""))</f>
        <v/>
      </c>
      <c r="E425" s="121"/>
      <c r="F425" s="122"/>
      <c r="G425" s="123"/>
      <c r="H425" s="123"/>
      <c r="I425" s="124"/>
      <c r="J425" s="125" t="str">
        <f t="shared" si="12"/>
        <v/>
      </c>
      <c r="K425" s="119" t="str">
        <f t="shared" si="13"/>
        <v/>
      </c>
    </row>
    <row r="426" spans="1:11" ht="15" customHeight="1">
      <c r="A426" s="119" t="str">
        <f>IF($B426="","",IFERROR(INDEX(상담데이터입력!$BH$3:$BH$502,MATCH($B426,상담데이터입력!$A$3:$A$502,0)),""))</f>
        <v/>
      </c>
      <c r="B426" s="120"/>
      <c r="C426" s="119" t="str">
        <f>IF($B426="","",IFERROR(INDEX(상담데이터입력!$D$3:$D$502,MATCH($B426,상담데이터입력!$A$3:$A$502,0)),""))</f>
        <v/>
      </c>
      <c r="D426" s="119" t="str">
        <f>IF($B426="","",IFERROR(INDEX(상담데이터입력!$S$3:$S$502,MATCH($B426,상담데이터입력!$A$3:$A$502,0)),""))</f>
        <v/>
      </c>
      <c r="E426" s="121"/>
      <c r="F426" s="122"/>
      <c r="G426" s="123"/>
      <c r="H426" s="123"/>
      <c r="I426" s="124"/>
      <c r="J426" s="125" t="str">
        <f t="shared" si="12"/>
        <v/>
      </c>
      <c r="K426" s="119" t="str">
        <f t="shared" si="13"/>
        <v/>
      </c>
    </row>
    <row r="427" spans="1:11" ht="15" customHeight="1">
      <c r="A427" s="119" t="str">
        <f>IF($B427="","",IFERROR(INDEX(상담데이터입력!$BH$3:$BH$502,MATCH($B427,상담데이터입력!$A$3:$A$502,0)),""))</f>
        <v/>
      </c>
      <c r="B427" s="120"/>
      <c r="C427" s="119" t="str">
        <f>IF($B427="","",IFERROR(INDEX(상담데이터입력!$D$3:$D$502,MATCH($B427,상담데이터입력!$A$3:$A$502,0)),""))</f>
        <v/>
      </c>
      <c r="D427" s="119" t="str">
        <f>IF($B427="","",IFERROR(INDEX(상담데이터입력!$S$3:$S$502,MATCH($B427,상담데이터입력!$A$3:$A$502,0)),""))</f>
        <v/>
      </c>
      <c r="E427" s="121"/>
      <c r="F427" s="122"/>
      <c r="G427" s="123"/>
      <c r="H427" s="123"/>
      <c r="I427" s="124"/>
      <c r="J427" s="125" t="str">
        <f t="shared" si="12"/>
        <v/>
      </c>
      <c r="K427" s="119" t="str">
        <f t="shared" si="13"/>
        <v/>
      </c>
    </row>
    <row r="428" spans="1:11" ht="15" customHeight="1">
      <c r="A428" s="119" t="str">
        <f>IF($B428="","",IFERROR(INDEX(상담데이터입력!$BH$3:$BH$502,MATCH($B428,상담데이터입력!$A$3:$A$502,0)),""))</f>
        <v/>
      </c>
      <c r="B428" s="120"/>
      <c r="C428" s="119" t="str">
        <f>IF($B428="","",IFERROR(INDEX(상담데이터입력!$D$3:$D$502,MATCH($B428,상담데이터입력!$A$3:$A$502,0)),""))</f>
        <v/>
      </c>
      <c r="D428" s="119" t="str">
        <f>IF($B428="","",IFERROR(INDEX(상담데이터입력!$S$3:$S$502,MATCH($B428,상담데이터입력!$A$3:$A$502,0)),""))</f>
        <v/>
      </c>
      <c r="E428" s="121"/>
      <c r="F428" s="122"/>
      <c r="G428" s="123"/>
      <c r="H428" s="123"/>
      <c r="I428" s="124"/>
      <c r="J428" s="125" t="str">
        <f t="shared" si="12"/>
        <v/>
      </c>
      <c r="K428" s="119" t="str">
        <f t="shared" si="13"/>
        <v/>
      </c>
    </row>
    <row r="429" spans="1:11" ht="15" customHeight="1">
      <c r="A429" s="119" t="str">
        <f>IF($B429="","",IFERROR(INDEX(상담데이터입력!$BH$3:$BH$502,MATCH($B429,상담데이터입력!$A$3:$A$502,0)),""))</f>
        <v/>
      </c>
      <c r="B429" s="120"/>
      <c r="C429" s="119" t="str">
        <f>IF($B429="","",IFERROR(INDEX(상담데이터입력!$D$3:$D$502,MATCH($B429,상담데이터입력!$A$3:$A$502,0)),""))</f>
        <v/>
      </c>
      <c r="D429" s="119" t="str">
        <f>IF($B429="","",IFERROR(INDEX(상담데이터입력!$S$3:$S$502,MATCH($B429,상담데이터입력!$A$3:$A$502,0)),""))</f>
        <v/>
      </c>
      <c r="E429" s="121"/>
      <c r="F429" s="122"/>
      <c r="G429" s="123"/>
      <c r="H429" s="123"/>
      <c r="I429" s="124"/>
      <c r="J429" s="125" t="str">
        <f t="shared" si="12"/>
        <v/>
      </c>
      <c r="K429" s="119" t="str">
        <f t="shared" si="13"/>
        <v/>
      </c>
    </row>
    <row r="430" spans="1:11" ht="15" customHeight="1">
      <c r="A430" s="119" t="str">
        <f>IF($B430="","",IFERROR(INDEX(상담데이터입력!$BH$3:$BH$502,MATCH($B430,상담데이터입력!$A$3:$A$502,0)),""))</f>
        <v/>
      </c>
      <c r="B430" s="120"/>
      <c r="C430" s="119" t="str">
        <f>IF($B430="","",IFERROR(INDEX(상담데이터입력!$D$3:$D$502,MATCH($B430,상담데이터입력!$A$3:$A$502,0)),""))</f>
        <v/>
      </c>
      <c r="D430" s="119" t="str">
        <f>IF($B430="","",IFERROR(INDEX(상담데이터입력!$S$3:$S$502,MATCH($B430,상담데이터입력!$A$3:$A$502,0)),""))</f>
        <v/>
      </c>
      <c r="E430" s="121"/>
      <c r="F430" s="122"/>
      <c r="G430" s="123"/>
      <c r="H430" s="123"/>
      <c r="I430" s="124"/>
      <c r="J430" s="125" t="str">
        <f t="shared" si="12"/>
        <v/>
      </c>
      <c r="K430" s="119" t="str">
        <f t="shared" si="13"/>
        <v/>
      </c>
    </row>
    <row r="431" spans="1:11" ht="15" customHeight="1">
      <c r="A431" s="119" t="str">
        <f>IF($B431="","",IFERROR(INDEX(상담데이터입력!$BH$3:$BH$502,MATCH($B431,상담데이터입력!$A$3:$A$502,0)),""))</f>
        <v/>
      </c>
      <c r="B431" s="120"/>
      <c r="C431" s="119" t="str">
        <f>IF($B431="","",IFERROR(INDEX(상담데이터입력!$D$3:$D$502,MATCH($B431,상담데이터입력!$A$3:$A$502,0)),""))</f>
        <v/>
      </c>
      <c r="D431" s="119" t="str">
        <f>IF($B431="","",IFERROR(INDEX(상담데이터입력!$S$3:$S$502,MATCH($B431,상담데이터입력!$A$3:$A$502,0)),""))</f>
        <v/>
      </c>
      <c r="E431" s="121"/>
      <c r="F431" s="122"/>
      <c r="G431" s="123"/>
      <c r="H431" s="123"/>
      <c r="I431" s="124"/>
      <c r="J431" s="125" t="str">
        <f t="shared" si="12"/>
        <v/>
      </c>
      <c r="K431" s="119" t="str">
        <f t="shared" si="13"/>
        <v/>
      </c>
    </row>
    <row r="432" spans="1:11" ht="15" customHeight="1">
      <c r="A432" s="119" t="str">
        <f>IF($B432="","",IFERROR(INDEX(상담데이터입력!$BH$3:$BH$502,MATCH($B432,상담데이터입력!$A$3:$A$502,0)),""))</f>
        <v/>
      </c>
      <c r="B432" s="120"/>
      <c r="C432" s="119" t="str">
        <f>IF($B432="","",IFERROR(INDEX(상담데이터입력!$D$3:$D$502,MATCH($B432,상담데이터입력!$A$3:$A$502,0)),""))</f>
        <v/>
      </c>
      <c r="D432" s="119" t="str">
        <f>IF($B432="","",IFERROR(INDEX(상담데이터입력!$S$3:$S$502,MATCH($B432,상담데이터입력!$A$3:$A$502,0)),""))</f>
        <v/>
      </c>
      <c r="E432" s="121"/>
      <c r="F432" s="122"/>
      <c r="G432" s="123"/>
      <c r="H432" s="123"/>
      <c r="I432" s="124"/>
      <c r="J432" s="125" t="str">
        <f t="shared" si="12"/>
        <v/>
      </c>
      <c r="K432" s="119" t="str">
        <f t="shared" si="13"/>
        <v/>
      </c>
    </row>
    <row r="433" spans="1:11" ht="15" customHeight="1">
      <c r="A433" s="119" t="str">
        <f>IF($B433="","",IFERROR(INDEX(상담데이터입력!$BH$3:$BH$502,MATCH($B433,상담데이터입력!$A$3:$A$502,0)),""))</f>
        <v/>
      </c>
      <c r="B433" s="120"/>
      <c r="C433" s="119" t="str">
        <f>IF($B433="","",IFERROR(INDEX(상담데이터입력!$D$3:$D$502,MATCH($B433,상담데이터입력!$A$3:$A$502,0)),""))</f>
        <v/>
      </c>
      <c r="D433" s="119" t="str">
        <f>IF($B433="","",IFERROR(INDEX(상담데이터입력!$S$3:$S$502,MATCH($B433,상담데이터입력!$A$3:$A$502,0)),""))</f>
        <v/>
      </c>
      <c r="E433" s="121"/>
      <c r="F433" s="122"/>
      <c r="G433" s="123"/>
      <c r="H433" s="123"/>
      <c r="I433" s="124"/>
      <c r="J433" s="125" t="str">
        <f t="shared" si="12"/>
        <v/>
      </c>
      <c r="K433" s="119" t="str">
        <f t="shared" si="13"/>
        <v/>
      </c>
    </row>
    <row r="434" spans="1:11" ht="15" customHeight="1">
      <c r="A434" s="119" t="str">
        <f>IF($B434="","",IFERROR(INDEX(상담데이터입력!$BH$3:$BH$502,MATCH($B434,상담데이터입력!$A$3:$A$502,0)),""))</f>
        <v/>
      </c>
      <c r="B434" s="120"/>
      <c r="C434" s="119" t="str">
        <f>IF($B434="","",IFERROR(INDEX(상담데이터입력!$D$3:$D$502,MATCH($B434,상담데이터입력!$A$3:$A$502,0)),""))</f>
        <v/>
      </c>
      <c r="D434" s="119" t="str">
        <f>IF($B434="","",IFERROR(INDEX(상담데이터입력!$S$3:$S$502,MATCH($B434,상담데이터입력!$A$3:$A$502,0)),""))</f>
        <v/>
      </c>
      <c r="E434" s="121"/>
      <c r="F434" s="122"/>
      <c r="G434" s="123"/>
      <c r="H434" s="123"/>
      <c r="I434" s="124"/>
      <c r="J434" s="125" t="str">
        <f t="shared" si="12"/>
        <v/>
      </c>
      <c r="K434" s="119" t="str">
        <f t="shared" si="13"/>
        <v/>
      </c>
    </row>
    <row r="435" spans="1:11" ht="15" customHeight="1">
      <c r="A435" s="119" t="str">
        <f>IF($B435="","",IFERROR(INDEX(상담데이터입력!$BH$3:$BH$502,MATCH($B435,상담데이터입력!$A$3:$A$502,0)),""))</f>
        <v/>
      </c>
      <c r="B435" s="120"/>
      <c r="C435" s="119" t="str">
        <f>IF($B435="","",IFERROR(INDEX(상담데이터입력!$D$3:$D$502,MATCH($B435,상담데이터입력!$A$3:$A$502,0)),""))</f>
        <v/>
      </c>
      <c r="D435" s="119" t="str">
        <f>IF($B435="","",IFERROR(INDEX(상담데이터입력!$S$3:$S$502,MATCH($B435,상담데이터입력!$A$3:$A$502,0)),""))</f>
        <v/>
      </c>
      <c r="E435" s="121"/>
      <c r="F435" s="122"/>
      <c r="G435" s="123"/>
      <c r="H435" s="123"/>
      <c r="I435" s="124"/>
      <c r="J435" s="125" t="str">
        <f t="shared" si="12"/>
        <v/>
      </c>
      <c r="K435" s="119" t="str">
        <f t="shared" si="13"/>
        <v/>
      </c>
    </row>
    <row r="436" spans="1:11" ht="15" customHeight="1">
      <c r="A436" s="119" t="str">
        <f>IF($B436="","",IFERROR(INDEX(상담데이터입력!$BH$3:$BH$502,MATCH($B436,상담데이터입력!$A$3:$A$502,0)),""))</f>
        <v/>
      </c>
      <c r="B436" s="120"/>
      <c r="C436" s="119" t="str">
        <f>IF($B436="","",IFERROR(INDEX(상담데이터입력!$D$3:$D$502,MATCH($B436,상담데이터입력!$A$3:$A$502,0)),""))</f>
        <v/>
      </c>
      <c r="D436" s="119" t="str">
        <f>IF($B436="","",IFERROR(INDEX(상담데이터입력!$S$3:$S$502,MATCH($B436,상담데이터입력!$A$3:$A$502,0)),""))</f>
        <v/>
      </c>
      <c r="E436" s="121"/>
      <c r="F436" s="122"/>
      <c r="G436" s="123"/>
      <c r="H436" s="123"/>
      <c r="I436" s="124"/>
      <c r="J436" s="125" t="str">
        <f t="shared" si="12"/>
        <v/>
      </c>
      <c r="K436" s="119" t="str">
        <f t="shared" si="13"/>
        <v/>
      </c>
    </row>
    <row r="437" spans="1:11" ht="15" customHeight="1">
      <c r="A437" s="119" t="str">
        <f>IF($B437="","",IFERROR(INDEX(상담데이터입력!$BH$3:$BH$502,MATCH($B437,상담데이터입력!$A$3:$A$502,0)),""))</f>
        <v/>
      </c>
      <c r="B437" s="120"/>
      <c r="C437" s="119" t="str">
        <f>IF($B437="","",IFERROR(INDEX(상담데이터입력!$D$3:$D$502,MATCH($B437,상담데이터입력!$A$3:$A$502,0)),""))</f>
        <v/>
      </c>
      <c r="D437" s="119" t="str">
        <f>IF($B437="","",IFERROR(INDEX(상담데이터입력!$S$3:$S$502,MATCH($B437,상담데이터입력!$A$3:$A$502,0)),""))</f>
        <v/>
      </c>
      <c r="E437" s="121"/>
      <c r="F437" s="122"/>
      <c r="G437" s="123"/>
      <c r="H437" s="123"/>
      <c r="I437" s="124"/>
      <c r="J437" s="125" t="str">
        <f t="shared" si="12"/>
        <v/>
      </c>
      <c r="K437" s="119" t="str">
        <f t="shared" si="13"/>
        <v/>
      </c>
    </row>
    <row r="438" spans="1:11" ht="15" customHeight="1">
      <c r="A438" s="119" t="str">
        <f>IF($B438="","",IFERROR(INDEX(상담데이터입력!$BH$3:$BH$502,MATCH($B438,상담데이터입력!$A$3:$A$502,0)),""))</f>
        <v/>
      </c>
      <c r="B438" s="120"/>
      <c r="C438" s="119" t="str">
        <f>IF($B438="","",IFERROR(INDEX(상담데이터입력!$D$3:$D$502,MATCH($B438,상담데이터입력!$A$3:$A$502,0)),""))</f>
        <v/>
      </c>
      <c r="D438" s="119" t="str">
        <f>IF($B438="","",IFERROR(INDEX(상담데이터입력!$S$3:$S$502,MATCH($B438,상담데이터입력!$A$3:$A$502,0)),""))</f>
        <v/>
      </c>
      <c r="E438" s="121"/>
      <c r="F438" s="122"/>
      <c r="G438" s="123"/>
      <c r="H438" s="123"/>
      <c r="I438" s="124"/>
      <c r="J438" s="125" t="str">
        <f t="shared" si="12"/>
        <v/>
      </c>
      <c r="K438" s="119" t="str">
        <f t="shared" si="13"/>
        <v/>
      </c>
    </row>
    <row r="439" spans="1:11" ht="15" customHeight="1">
      <c r="A439" s="119" t="str">
        <f>IF($B439="","",IFERROR(INDEX(상담데이터입력!$BH$3:$BH$502,MATCH($B439,상담데이터입력!$A$3:$A$502,0)),""))</f>
        <v/>
      </c>
      <c r="B439" s="120"/>
      <c r="C439" s="119" t="str">
        <f>IF($B439="","",IFERROR(INDEX(상담데이터입력!$D$3:$D$502,MATCH($B439,상담데이터입력!$A$3:$A$502,0)),""))</f>
        <v/>
      </c>
      <c r="D439" s="119" t="str">
        <f>IF($B439="","",IFERROR(INDEX(상담데이터입력!$S$3:$S$502,MATCH($B439,상담데이터입력!$A$3:$A$502,0)),""))</f>
        <v/>
      </c>
      <c r="E439" s="121"/>
      <c r="F439" s="122"/>
      <c r="G439" s="123"/>
      <c r="H439" s="123"/>
      <c r="I439" s="124"/>
      <c r="J439" s="125" t="str">
        <f t="shared" si="12"/>
        <v/>
      </c>
      <c r="K439" s="119" t="str">
        <f t="shared" si="13"/>
        <v/>
      </c>
    </row>
    <row r="440" spans="1:11" ht="15" customHeight="1">
      <c r="A440" s="119" t="str">
        <f>IF($B440="","",IFERROR(INDEX(상담데이터입력!$BH$3:$BH$502,MATCH($B440,상담데이터입력!$A$3:$A$502,0)),""))</f>
        <v/>
      </c>
      <c r="B440" s="120"/>
      <c r="C440" s="119" t="str">
        <f>IF($B440="","",IFERROR(INDEX(상담데이터입력!$D$3:$D$502,MATCH($B440,상담데이터입력!$A$3:$A$502,0)),""))</f>
        <v/>
      </c>
      <c r="D440" s="119" t="str">
        <f>IF($B440="","",IFERROR(INDEX(상담데이터입력!$S$3:$S$502,MATCH($B440,상담데이터입력!$A$3:$A$502,0)),""))</f>
        <v/>
      </c>
      <c r="E440" s="121"/>
      <c r="F440" s="122"/>
      <c r="G440" s="123"/>
      <c r="H440" s="123"/>
      <c r="I440" s="124"/>
      <c r="J440" s="125" t="str">
        <f t="shared" si="12"/>
        <v/>
      </c>
      <c r="K440" s="119" t="str">
        <f t="shared" si="13"/>
        <v/>
      </c>
    </row>
    <row r="441" spans="1:11" ht="15" customHeight="1">
      <c r="A441" s="119" t="str">
        <f>IF($B441="","",IFERROR(INDEX(상담데이터입력!$BH$3:$BH$502,MATCH($B441,상담데이터입력!$A$3:$A$502,0)),""))</f>
        <v/>
      </c>
      <c r="B441" s="120"/>
      <c r="C441" s="119" t="str">
        <f>IF($B441="","",IFERROR(INDEX(상담데이터입력!$D$3:$D$502,MATCH($B441,상담데이터입력!$A$3:$A$502,0)),""))</f>
        <v/>
      </c>
      <c r="D441" s="119" t="str">
        <f>IF($B441="","",IFERROR(INDEX(상담데이터입력!$S$3:$S$502,MATCH($B441,상담데이터입력!$A$3:$A$502,0)),""))</f>
        <v/>
      </c>
      <c r="E441" s="121"/>
      <c r="F441" s="122"/>
      <c r="G441" s="123"/>
      <c r="H441" s="123"/>
      <c r="I441" s="124"/>
      <c r="J441" s="125" t="str">
        <f t="shared" si="12"/>
        <v/>
      </c>
      <c r="K441" s="119" t="str">
        <f t="shared" si="13"/>
        <v/>
      </c>
    </row>
    <row r="442" spans="1:11" ht="15" customHeight="1">
      <c r="A442" s="119" t="str">
        <f>IF($B442="","",IFERROR(INDEX(상담데이터입력!$BH$3:$BH$502,MATCH($B442,상담데이터입력!$A$3:$A$502,0)),""))</f>
        <v/>
      </c>
      <c r="B442" s="120"/>
      <c r="C442" s="119" t="str">
        <f>IF($B442="","",IFERROR(INDEX(상담데이터입력!$D$3:$D$502,MATCH($B442,상담데이터입력!$A$3:$A$502,0)),""))</f>
        <v/>
      </c>
      <c r="D442" s="119" t="str">
        <f>IF($B442="","",IFERROR(INDEX(상담데이터입력!$S$3:$S$502,MATCH($B442,상담데이터입력!$A$3:$A$502,0)),""))</f>
        <v/>
      </c>
      <c r="E442" s="121"/>
      <c r="F442" s="122"/>
      <c r="G442" s="123"/>
      <c r="H442" s="123"/>
      <c r="I442" s="124"/>
      <c r="J442" s="125" t="str">
        <f t="shared" si="12"/>
        <v/>
      </c>
      <c r="K442" s="119" t="str">
        <f t="shared" si="13"/>
        <v/>
      </c>
    </row>
    <row r="443" spans="1:11" ht="15" customHeight="1">
      <c r="A443" s="119" t="str">
        <f>IF($B443="","",IFERROR(INDEX(상담데이터입력!$BH$3:$BH$502,MATCH($B443,상담데이터입력!$A$3:$A$502,0)),""))</f>
        <v/>
      </c>
      <c r="B443" s="120"/>
      <c r="C443" s="119" t="str">
        <f>IF($B443="","",IFERROR(INDEX(상담데이터입력!$D$3:$D$502,MATCH($B443,상담데이터입력!$A$3:$A$502,0)),""))</f>
        <v/>
      </c>
      <c r="D443" s="119" t="str">
        <f>IF($B443="","",IFERROR(INDEX(상담데이터입력!$S$3:$S$502,MATCH($B443,상담데이터입력!$A$3:$A$502,0)),""))</f>
        <v/>
      </c>
      <c r="E443" s="121"/>
      <c r="F443" s="122"/>
      <c r="G443" s="123"/>
      <c r="H443" s="123"/>
      <c r="I443" s="124"/>
      <c r="J443" s="125" t="str">
        <f t="shared" si="12"/>
        <v/>
      </c>
      <c r="K443" s="119" t="str">
        <f t="shared" si="13"/>
        <v/>
      </c>
    </row>
    <row r="444" spans="1:11" ht="15" customHeight="1">
      <c r="A444" s="119" t="str">
        <f>IF($B444="","",IFERROR(INDEX(상담데이터입력!$BH$3:$BH$502,MATCH($B444,상담데이터입력!$A$3:$A$502,0)),""))</f>
        <v/>
      </c>
      <c r="B444" s="120"/>
      <c r="C444" s="119" t="str">
        <f>IF($B444="","",IFERROR(INDEX(상담데이터입력!$D$3:$D$502,MATCH($B444,상담데이터입력!$A$3:$A$502,0)),""))</f>
        <v/>
      </c>
      <c r="D444" s="119" t="str">
        <f>IF($B444="","",IFERROR(INDEX(상담데이터입력!$S$3:$S$502,MATCH($B444,상담데이터입력!$A$3:$A$502,0)),""))</f>
        <v/>
      </c>
      <c r="E444" s="121"/>
      <c r="F444" s="122"/>
      <c r="G444" s="123"/>
      <c r="H444" s="123"/>
      <c r="I444" s="124"/>
      <c r="J444" s="125" t="str">
        <f t="shared" si="12"/>
        <v/>
      </c>
      <c r="K444" s="119" t="str">
        <f t="shared" si="13"/>
        <v/>
      </c>
    </row>
    <row r="445" spans="1:11" ht="15" customHeight="1">
      <c r="A445" s="119" t="str">
        <f>IF($B445="","",IFERROR(INDEX(상담데이터입력!$BH$3:$BH$502,MATCH($B445,상담데이터입력!$A$3:$A$502,0)),""))</f>
        <v/>
      </c>
      <c r="B445" s="120"/>
      <c r="C445" s="119" t="str">
        <f>IF($B445="","",IFERROR(INDEX(상담데이터입력!$D$3:$D$502,MATCH($B445,상담데이터입력!$A$3:$A$502,0)),""))</f>
        <v/>
      </c>
      <c r="D445" s="119" t="str">
        <f>IF($B445="","",IFERROR(INDEX(상담데이터입력!$S$3:$S$502,MATCH($B445,상담데이터입력!$A$3:$A$502,0)),""))</f>
        <v/>
      </c>
      <c r="E445" s="121"/>
      <c r="F445" s="122"/>
      <c r="G445" s="123"/>
      <c r="H445" s="123"/>
      <c r="I445" s="124"/>
      <c r="J445" s="125" t="str">
        <f t="shared" si="12"/>
        <v/>
      </c>
      <c r="K445" s="119" t="str">
        <f t="shared" si="13"/>
        <v/>
      </c>
    </row>
    <row r="446" spans="1:11" ht="15" customHeight="1">
      <c r="A446" s="119" t="str">
        <f>IF($B446="","",IFERROR(INDEX(상담데이터입력!$BH$3:$BH$502,MATCH($B446,상담데이터입력!$A$3:$A$502,0)),""))</f>
        <v/>
      </c>
      <c r="B446" s="120"/>
      <c r="C446" s="119" t="str">
        <f>IF($B446="","",IFERROR(INDEX(상담데이터입력!$D$3:$D$502,MATCH($B446,상담데이터입력!$A$3:$A$502,0)),""))</f>
        <v/>
      </c>
      <c r="D446" s="119" t="str">
        <f>IF($B446="","",IFERROR(INDEX(상담데이터입력!$S$3:$S$502,MATCH($B446,상담데이터입력!$A$3:$A$502,0)),""))</f>
        <v/>
      </c>
      <c r="E446" s="121"/>
      <c r="F446" s="122"/>
      <c r="G446" s="123"/>
      <c r="H446" s="123"/>
      <c r="I446" s="124"/>
      <c r="J446" s="125" t="str">
        <f t="shared" si="12"/>
        <v/>
      </c>
      <c r="K446" s="119" t="str">
        <f t="shared" si="13"/>
        <v/>
      </c>
    </row>
    <row r="447" spans="1:11" ht="15" customHeight="1">
      <c r="A447" s="119" t="str">
        <f>IF($B447="","",IFERROR(INDEX(상담데이터입력!$BH$3:$BH$502,MATCH($B447,상담데이터입력!$A$3:$A$502,0)),""))</f>
        <v/>
      </c>
      <c r="B447" s="120"/>
      <c r="C447" s="119" t="str">
        <f>IF($B447="","",IFERROR(INDEX(상담데이터입력!$D$3:$D$502,MATCH($B447,상담데이터입력!$A$3:$A$502,0)),""))</f>
        <v/>
      </c>
      <c r="D447" s="119" t="str">
        <f>IF($B447="","",IFERROR(INDEX(상담데이터입력!$S$3:$S$502,MATCH($B447,상담데이터입력!$A$3:$A$502,0)),""))</f>
        <v/>
      </c>
      <c r="E447" s="121"/>
      <c r="F447" s="122"/>
      <c r="G447" s="123"/>
      <c r="H447" s="123"/>
      <c r="I447" s="124"/>
      <c r="J447" s="125" t="str">
        <f t="shared" si="12"/>
        <v/>
      </c>
      <c r="K447" s="119" t="str">
        <f t="shared" si="13"/>
        <v/>
      </c>
    </row>
    <row r="448" spans="1:11" ht="15" customHeight="1">
      <c r="A448" s="119" t="str">
        <f>IF($B448="","",IFERROR(INDEX(상담데이터입력!$BH$3:$BH$502,MATCH($B448,상담데이터입력!$A$3:$A$502,0)),""))</f>
        <v/>
      </c>
      <c r="B448" s="120"/>
      <c r="C448" s="119" t="str">
        <f>IF($B448="","",IFERROR(INDEX(상담데이터입력!$D$3:$D$502,MATCH($B448,상담데이터입력!$A$3:$A$502,0)),""))</f>
        <v/>
      </c>
      <c r="D448" s="119" t="str">
        <f>IF($B448="","",IFERROR(INDEX(상담데이터입력!$S$3:$S$502,MATCH($B448,상담데이터입력!$A$3:$A$502,0)),""))</f>
        <v/>
      </c>
      <c r="E448" s="121"/>
      <c r="F448" s="122"/>
      <c r="G448" s="123"/>
      <c r="H448" s="123"/>
      <c r="I448" s="124"/>
      <c r="J448" s="125" t="str">
        <f t="shared" si="12"/>
        <v/>
      </c>
      <c r="K448" s="119" t="str">
        <f t="shared" si="13"/>
        <v/>
      </c>
    </row>
    <row r="449" spans="1:11" ht="15" customHeight="1">
      <c r="A449" s="119" t="str">
        <f>IF($B449="","",IFERROR(INDEX(상담데이터입력!$BH$3:$BH$502,MATCH($B449,상담데이터입력!$A$3:$A$502,0)),""))</f>
        <v/>
      </c>
      <c r="B449" s="120"/>
      <c r="C449" s="119" t="str">
        <f>IF($B449="","",IFERROR(INDEX(상담데이터입력!$D$3:$D$502,MATCH($B449,상담데이터입력!$A$3:$A$502,0)),""))</f>
        <v/>
      </c>
      <c r="D449" s="119" t="str">
        <f>IF($B449="","",IFERROR(INDEX(상담데이터입력!$S$3:$S$502,MATCH($B449,상담데이터입력!$A$3:$A$502,0)),""))</f>
        <v/>
      </c>
      <c r="E449" s="121"/>
      <c r="F449" s="122"/>
      <c r="G449" s="123"/>
      <c r="H449" s="123"/>
      <c r="I449" s="124"/>
      <c r="J449" s="125" t="str">
        <f t="shared" si="12"/>
        <v/>
      </c>
      <c r="K449" s="119" t="str">
        <f t="shared" si="13"/>
        <v/>
      </c>
    </row>
    <row r="450" spans="1:11" ht="15" customHeight="1">
      <c r="A450" s="119" t="str">
        <f>IF($B450="","",IFERROR(INDEX(상담데이터입력!$BH$3:$BH$502,MATCH($B450,상담데이터입력!$A$3:$A$502,0)),""))</f>
        <v/>
      </c>
      <c r="B450" s="120"/>
      <c r="C450" s="119" t="str">
        <f>IF($B450="","",IFERROR(INDEX(상담데이터입력!$D$3:$D$502,MATCH($B450,상담데이터입력!$A$3:$A$502,0)),""))</f>
        <v/>
      </c>
      <c r="D450" s="119" t="str">
        <f>IF($B450="","",IFERROR(INDEX(상담데이터입력!$S$3:$S$502,MATCH($B450,상담데이터입력!$A$3:$A$502,0)),""))</f>
        <v/>
      </c>
      <c r="E450" s="121"/>
      <c r="F450" s="122"/>
      <c r="G450" s="123"/>
      <c r="H450" s="123"/>
      <c r="I450" s="124"/>
      <c r="J450" s="125" t="str">
        <f t="shared" si="12"/>
        <v/>
      </c>
      <c r="K450" s="119" t="str">
        <f t="shared" si="13"/>
        <v/>
      </c>
    </row>
    <row r="451" spans="1:11" ht="15" customHeight="1">
      <c r="A451" s="119" t="str">
        <f>IF($B451="","",IFERROR(INDEX(상담데이터입력!$BH$3:$BH$502,MATCH($B451,상담데이터입력!$A$3:$A$502,0)),""))</f>
        <v/>
      </c>
      <c r="B451" s="120"/>
      <c r="C451" s="119" t="str">
        <f>IF($B451="","",IFERROR(INDEX(상담데이터입력!$D$3:$D$502,MATCH($B451,상담데이터입력!$A$3:$A$502,0)),""))</f>
        <v/>
      </c>
      <c r="D451" s="119" t="str">
        <f>IF($B451="","",IFERROR(INDEX(상담데이터입력!$S$3:$S$502,MATCH($B451,상담데이터입력!$A$3:$A$502,0)),""))</f>
        <v/>
      </c>
      <c r="E451" s="121"/>
      <c r="F451" s="122"/>
      <c r="G451" s="123"/>
      <c r="H451" s="123"/>
      <c r="I451" s="124"/>
      <c r="J451" s="125" t="str">
        <f t="shared" si="12"/>
        <v/>
      </c>
      <c r="K451" s="119" t="str">
        <f t="shared" si="13"/>
        <v/>
      </c>
    </row>
    <row r="452" spans="1:11" ht="15" customHeight="1">
      <c r="A452" s="119" t="str">
        <f>IF($B452="","",IFERROR(INDEX(상담데이터입력!$BH$3:$BH$502,MATCH($B452,상담데이터입력!$A$3:$A$502,0)),""))</f>
        <v/>
      </c>
      <c r="B452" s="120"/>
      <c r="C452" s="119" t="str">
        <f>IF($B452="","",IFERROR(INDEX(상담데이터입력!$D$3:$D$502,MATCH($B452,상담데이터입력!$A$3:$A$502,0)),""))</f>
        <v/>
      </c>
      <c r="D452" s="119" t="str">
        <f>IF($B452="","",IFERROR(INDEX(상담데이터입력!$S$3:$S$502,MATCH($B452,상담데이터입력!$A$3:$A$502,0)),""))</f>
        <v/>
      </c>
      <c r="E452" s="121"/>
      <c r="F452" s="122"/>
      <c r="G452" s="123"/>
      <c r="H452" s="123"/>
      <c r="I452" s="124"/>
      <c r="J452" s="125" t="str">
        <f t="shared" si="12"/>
        <v/>
      </c>
      <c r="K452" s="119" t="str">
        <f t="shared" si="13"/>
        <v/>
      </c>
    </row>
    <row r="453" spans="1:11" ht="15" customHeight="1">
      <c r="A453" s="119" t="str">
        <f>IF($B453="","",IFERROR(INDEX(상담데이터입력!$BH$3:$BH$502,MATCH($B453,상담데이터입력!$A$3:$A$502,0)),""))</f>
        <v/>
      </c>
      <c r="B453" s="120"/>
      <c r="C453" s="119" t="str">
        <f>IF($B453="","",IFERROR(INDEX(상담데이터입력!$D$3:$D$502,MATCH($B453,상담데이터입력!$A$3:$A$502,0)),""))</f>
        <v/>
      </c>
      <c r="D453" s="119" t="str">
        <f>IF($B453="","",IFERROR(INDEX(상담데이터입력!$S$3:$S$502,MATCH($B453,상담데이터입력!$A$3:$A$502,0)),""))</f>
        <v/>
      </c>
      <c r="E453" s="121"/>
      <c r="F453" s="122"/>
      <c r="G453" s="123"/>
      <c r="H453" s="123"/>
      <c r="I453" s="124"/>
      <c r="J453" s="125" t="str">
        <f t="shared" ref="J453:J504" si="14">IF(OR($G453="",$F453=""),"",EDATE($G453,IF($F453="1개월",1,IF($F453="3개월",3,IF($F453="6개월",6,0)))))</f>
        <v/>
      </c>
      <c r="K453" s="119" t="str">
        <f t="shared" ref="K453:K504" si="15">IF($B453="","",IF($H453="","재원중","퇴소"))</f>
        <v/>
      </c>
    </row>
    <row r="454" spans="1:11" ht="15" customHeight="1">
      <c r="A454" s="119" t="str">
        <f>IF($B454="","",IFERROR(INDEX(상담데이터입력!$BH$3:$BH$502,MATCH($B454,상담데이터입력!$A$3:$A$502,0)),""))</f>
        <v/>
      </c>
      <c r="B454" s="120"/>
      <c r="C454" s="119" t="str">
        <f>IF($B454="","",IFERROR(INDEX(상담데이터입력!$D$3:$D$502,MATCH($B454,상담데이터입력!$A$3:$A$502,0)),""))</f>
        <v/>
      </c>
      <c r="D454" s="119" t="str">
        <f>IF($B454="","",IFERROR(INDEX(상담데이터입력!$S$3:$S$502,MATCH($B454,상담데이터입력!$A$3:$A$502,0)),""))</f>
        <v/>
      </c>
      <c r="E454" s="121"/>
      <c r="F454" s="122"/>
      <c r="G454" s="123"/>
      <c r="H454" s="123"/>
      <c r="I454" s="124"/>
      <c r="J454" s="125" t="str">
        <f t="shared" si="14"/>
        <v/>
      </c>
      <c r="K454" s="119" t="str">
        <f t="shared" si="15"/>
        <v/>
      </c>
    </row>
    <row r="455" spans="1:11" ht="15" customHeight="1">
      <c r="A455" s="119" t="str">
        <f>IF($B455="","",IFERROR(INDEX(상담데이터입력!$BH$3:$BH$502,MATCH($B455,상담데이터입력!$A$3:$A$502,0)),""))</f>
        <v/>
      </c>
      <c r="B455" s="120"/>
      <c r="C455" s="119" t="str">
        <f>IF($B455="","",IFERROR(INDEX(상담데이터입력!$D$3:$D$502,MATCH($B455,상담데이터입력!$A$3:$A$502,0)),""))</f>
        <v/>
      </c>
      <c r="D455" s="119" t="str">
        <f>IF($B455="","",IFERROR(INDEX(상담데이터입력!$S$3:$S$502,MATCH($B455,상담데이터입력!$A$3:$A$502,0)),""))</f>
        <v/>
      </c>
      <c r="E455" s="121"/>
      <c r="F455" s="122"/>
      <c r="G455" s="123"/>
      <c r="H455" s="123"/>
      <c r="I455" s="124"/>
      <c r="J455" s="125" t="str">
        <f t="shared" si="14"/>
        <v/>
      </c>
      <c r="K455" s="119" t="str">
        <f t="shared" si="15"/>
        <v/>
      </c>
    </row>
    <row r="456" spans="1:11" ht="15" customHeight="1">
      <c r="A456" s="119" t="str">
        <f>IF($B456="","",IFERROR(INDEX(상담데이터입력!$BH$3:$BH$502,MATCH($B456,상담데이터입력!$A$3:$A$502,0)),""))</f>
        <v/>
      </c>
      <c r="B456" s="120"/>
      <c r="C456" s="119" t="str">
        <f>IF($B456="","",IFERROR(INDEX(상담데이터입력!$D$3:$D$502,MATCH($B456,상담데이터입력!$A$3:$A$502,0)),""))</f>
        <v/>
      </c>
      <c r="D456" s="119" t="str">
        <f>IF($B456="","",IFERROR(INDEX(상담데이터입력!$S$3:$S$502,MATCH($B456,상담데이터입력!$A$3:$A$502,0)),""))</f>
        <v/>
      </c>
      <c r="E456" s="121"/>
      <c r="F456" s="122"/>
      <c r="G456" s="123"/>
      <c r="H456" s="123"/>
      <c r="I456" s="124"/>
      <c r="J456" s="125" t="str">
        <f t="shared" si="14"/>
        <v/>
      </c>
      <c r="K456" s="119" t="str">
        <f t="shared" si="15"/>
        <v/>
      </c>
    </row>
    <row r="457" spans="1:11" ht="15" customHeight="1">
      <c r="A457" s="119" t="str">
        <f>IF($B457="","",IFERROR(INDEX(상담데이터입력!$BH$3:$BH$502,MATCH($B457,상담데이터입력!$A$3:$A$502,0)),""))</f>
        <v/>
      </c>
      <c r="B457" s="120"/>
      <c r="C457" s="119" t="str">
        <f>IF($B457="","",IFERROR(INDEX(상담데이터입력!$D$3:$D$502,MATCH($B457,상담데이터입력!$A$3:$A$502,0)),""))</f>
        <v/>
      </c>
      <c r="D457" s="119" t="str">
        <f>IF($B457="","",IFERROR(INDEX(상담데이터입력!$S$3:$S$502,MATCH($B457,상담데이터입력!$A$3:$A$502,0)),""))</f>
        <v/>
      </c>
      <c r="E457" s="121"/>
      <c r="F457" s="122"/>
      <c r="G457" s="123"/>
      <c r="H457" s="123"/>
      <c r="I457" s="124"/>
      <c r="J457" s="125" t="str">
        <f t="shared" si="14"/>
        <v/>
      </c>
      <c r="K457" s="119" t="str">
        <f t="shared" si="15"/>
        <v/>
      </c>
    </row>
    <row r="458" spans="1:11" ht="15" customHeight="1">
      <c r="A458" s="119" t="str">
        <f>IF($B458="","",IFERROR(INDEX(상담데이터입력!$BH$3:$BH$502,MATCH($B458,상담데이터입력!$A$3:$A$502,0)),""))</f>
        <v/>
      </c>
      <c r="B458" s="120"/>
      <c r="C458" s="119" t="str">
        <f>IF($B458="","",IFERROR(INDEX(상담데이터입력!$D$3:$D$502,MATCH($B458,상담데이터입력!$A$3:$A$502,0)),""))</f>
        <v/>
      </c>
      <c r="D458" s="119" t="str">
        <f>IF($B458="","",IFERROR(INDEX(상담데이터입력!$S$3:$S$502,MATCH($B458,상담데이터입력!$A$3:$A$502,0)),""))</f>
        <v/>
      </c>
      <c r="E458" s="121"/>
      <c r="F458" s="122"/>
      <c r="G458" s="123"/>
      <c r="H458" s="123"/>
      <c r="I458" s="124"/>
      <c r="J458" s="125" t="str">
        <f t="shared" si="14"/>
        <v/>
      </c>
      <c r="K458" s="119" t="str">
        <f t="shared" si="15"/>
        <v/>
      </c>
    </row>
    <row r="459" spans="1:11" ht="15" customHeight="1">
      <c r="A459" s="119" t="str">
        <f>IF($B459="","",IFERROR(INDEX(상담데이터입력!$BH$3:$BH$502,MATCH($B459,상담데이터입력!$A$3:$A$502,0)),""))</f>
        <v/>
      </c>
      <c r="B459" s="120"/>
      <c r="C459" s="119" t="str">
        <f>IF($B459="","",IFERROR(INDEX(상담데이터입력!$D$3:$D$502,MATCH($B459,상담데이터입력!$A$3:$A$502,0)),""))</f>
        <v/>
      </c>
      <c r="D459" s="119" t="str">
        <f>IF($B459="","",IFERROR(INDEX(상담데이터입력!$S$3:$S$502,MATCH($B459,상담데이터입력!$A$3:$A$502,0)),""))</f>
        <v/>
      </c>
      <c r="E459" s="121"/>
      <c r="F459" s="122"/>
      <c r="G459" s="123"/>
      <c r="H459" s="123"/>
      <c r="I459" s="124"/>
      <c r="J459" s="125" t="str">
        <f t="shared" si="14"/>
        <v/>
      </c>
      <c r="K459" s="119" t="str">
        <f t="shared" si="15"/>
        <v/>
      </c>
    </row>
    <row r="460" spans="1:11" ht="15" customHeight="1">
      <c r="A460" s="119" t="str">
        <f>IF($B460="","",IFERROR(INDEX(상담데이터입력!$BH$3:$BH$502,MATCH($B460,상담데이터입력!$A$3:$A$502,0)),""))</f>
        <v/>
      </c>
      <c r="B460" s="120"/>
      <c r="C460" s="119" t="str">
        <f>IF($B460="","",IFERROR(INDEX(상담데이터입력!$D$3:$D$502,MATCH($B460,상담데이터입력!$A$3:$A$502,0)),""))</f>
        <v/>
      </c>
      <c r="D460" s="119" t="str">
        <f>IF($B460="","",IFERROR(INDEX(상담데이터입력!$S$3:$S$502,MATCH($B460,상담데이터입력!$A$3:$A$502,0)),""))</f>
        <v/>
      </c>
      <c r="E460" s="121"/>
      <c r="F460" s="122"/>
      <c r="G460" s="123"/>
      <c r="H460" s="123"/>
      <c r="I460" s="124"/>
      <c r="J460" s="125" t="str">
        <f t="shared" si="14"/>
        <v/>
      </c>
      <c r="K460" s="119" t="str">
        <f t="shared" si="15"/>
        <v/>
      </c>
    </row>
    <row r="461" spans="1:11" ht="15" customHeight="1">
      <c r="A461" s="119" t="str">
        <f>IF($B461="","",IFERROR(INDEX(상담데이터입력!$BH$3:$BH$502,MATCH($B461,상담데이터입력!$A$3:$A$502,0)),""))</f>
        <v/>
      </c>
      <c r="B461" s="120"/>
      <c r="C461" s="119" t="str">
        <f>IF($B461="","",IFERROR(INDEX(상담데이터입력!$D$3:$D$502,MATCH($B461,상담데이터입력!$A$3:$A$502,0)),""))</f>
        <v/>
      </c>
      <c r="D461" s="119" t="str">
        <f>IF($B461="","",IFERROR(INDEX(상담데이터입력!$S$3:$S$502,MATCH($B461,상담데이터입력!$A$3:$A$502,0)),""))</f>
        <v/>
      </c>
      <c r="E461" s="121"/>
      <c r="F461" s="122"/>
      <c r="G461" s="123"/>
      <c r="H461" s="123"/>
      <c r="I461" s="124"/>
      <c r="J461" s="125" t="str">
        <f t="shared" si="14"/>
        <v/>
      </c>
      <c r="K461" s="119" t="str">
        <f t="shared" si="15"/>
        <v/>
      </c>
    </row>
    <row r="462" spans="1:11" ht="15" customHeight="1">
      <c r="A462" s="119" t="str">
        <f>IF($B462="","",IFERROR(INDEX(상담데이터입력!$BH$3:$BH$502,MATCH($B462,상담데이터입력!$A$3:$A$502,0)),""))</f>
        <v/>
      </c>
      <c r="B462" s="120"/>
      <c r="C462" s="119" t="str">
        <f>IF($B462="","",IFERROR(INDEX(상담데이터입력!$D$3:$D$502,MATCH($B462,상담데이터입력!$A$3:$A$502,0)),""))</f>
        <v/>
      </c>
      <c r="D462" s="119" t="str">
        <f>IF($B462="","",IFERROR(INDEX(상담데이터입력!$S$3:$S$502,MATCH($B462,상담데이터입력!$A$3:$A$502,0)),""))</f>
        <v/>
      </c>
      <c r="E462" s="121"/>
      <c r="F462" s="122"/>
      <c r="G462" s="123"/>
      <c r="H462" s="123"/>
      <c r="I462" s="124"/>
      <c r="J462" s="125" t="str">
        <f t="shared" si="14"/>
        <v/>
      </c>
      <c r="K462" s="119" t="str">
        <f t="shared" si="15"/>
        <v/>
      </c>
    </row>
    <row r="463" spans="1:11" ht="15" customHeight="1">
      <c r="A463" s="119" t="str">
        <f>IF($B463="","",IFERROR(INDEX(상담데이터입력!$BH$3:$BH$502,MATCH($B463,상담데이터입력!$A$3:$A$502,0)),""))</f>
        <v/>
      </c>
      <c r="B463" s="120"/>
      <c r="C463" s="119" t="str">
        <f>IF($B463="","",IFERROR(INDEX(상담데이터입력!$D$3:$D$502,MATCH($B463,상담데이터입력!$A$3:$A$502,0)),""))</f>
        <v/>
      </c>
      <c r="D463" s="119" t="str">
        <f>IF($B463="","",IFERROR(INDEX(상담데이터입력!$S$3:$S$502,MATCH($B463,상담데이터입력!$A$3:$A$502,0)),""))</f>
        <v/>
      </c>
      <c r="E463" s="121"/>
      <c r="F463" s="122"/>
      <c r="G463" s="123"/>
      <c r="H463" s="123"/>
      <c r="I463" s="124"/>
      <c r="J463" s="125" t="str">
        <f t="shared" si="14"/>
        <v/>
      </c>
      <c r="K463" s="119" t="str">
        <f t="shared" si="15"/>
        <v/>
      </c>
    </row>
    <row r="464" spans="1:11" ht="15" customHeight="1">
      <c r="A464" s="119" t="str">
        <f>IF($B464="","",IFERROR(INDEX(상담데이터입력!$BH$3:$BH$502,MATCH($B464,상담데이터입력!$A$3:$A$502,0)),""))</f>
        <v/>
      </c>
      <c r="B464" s="120"/>
      <c r="C464" s="119" t="str">
        <f>IF($B464="","",IFERROR(INDEX(상담데이터입력!$D$3:$D$502,MATCH($B464,상담데이터입력!$A$3:$A$502,0)),""))</f>
        <v/>
      </c>
      <c r="D464" s="119" t="str">
        <f>IF($B464="","",IFERROR(INDEX(상담데이터입력!$S$3:$S$502,MATCH($B464,상담데이터입력!$A$3:$A$502,0)),""))</f>
        <v/>
      </c>
      <c r="E464" s="121"/>
      <c r="F464" s="122"/>
      <c r="G464" s="123"/>
      <c r="H464" s="123"/>
      <c r="I464" s="124"/>
      <c r="J464" s="125" t="str">
        <f t="shared" si="14"/>
        <v/>
      </c>
      <c r="K464" s="119" t="str">
        <f t="shared" si="15"/>
        <v/>
      </c>
    </row>
    <row r="465" spans="1:11" ht="15" customHeight="1">
      <c r="A465" s="119" t="str">
        <f>IF($B465="","",IFERROR(INDEX(상담데이터입력!$BH$3:$BH$502,MATCH($B465,상담데이터입력!$A$3:$A$502,0)),""))</f>
        <v/>
      </c>
      <c r="B465" s="120"/>
      <c r="C465" s="119" t="str">
        <f>IF($B465="","",IFERROR(INDEX(상담데이터입력!$D$3:$D$502,MATCH($B465,상담데이터입력!$A$3:$A$502,0)),""))</f>
        <v/>
      </c>
      <c r="D465" s="119" t="str">
        <f>IF($B465="","",IFERROR(INDEX(상담데이터입력!$S$3:$S$502,MATCH($B465,상담데이터입력!$A$3:$A$502,0)),""))</f>
        <v/>
      </c>
      <c r="E465" s="121"/>
      <c r="F465" s="122"/>
      <c r="G465" s="123"/>
      <c r="H465" s="123"/>
      <c r="I465" s="124"/>
      <c r="J465" s="125" t="str">
        <f t="shared" si="14"/>
        <v/>
      </c>
      <c r="K465" s="119" t="str">
        <f t="shared" si="15"/>
        <v/>
      </c>
    </row>
    <row r="466" spans="1:11" ht="15" customHeight="1">
      <c r="A466" s="119" t="str">
        <f>IF($B466="","",IFERROR(INDEX(상담데이터입력!$BH$3:$BH$502,MATCH($B466,상담데이터입력!$A$3:$A$502,0)),""))</f>
        <v/>
      </c>
      <c r="B466" s="120"/>
      <c r="C466" s="119" t="str">
        <f>IF($B466="","",IFERROR(INDEX(상담데이터입력!$D$3:$D$502,MATCH($B466,상담데이터입력!$A$3:$A$502,0)),""))</f>
        <v/>
      </c>
      <c r="D466" s="119" t="str">
        <f>IF($B466="","",IFERROR(INDEX(상담데이터입력!$S$3:$S$502,MATCH($B466,상담데이터입력!$A$3:$A$502,0)),""))</f>
        <v/>
      </c>
      <c r="E466" s="121"/>
      <c r="F466" s="122"/>
      <c r="G466" s="123"/>
      <c r="H466" s="123"/>
      <c r="I466" s="124"/>
      <c r="J466" s="125" t="str">
        <f t="shared" si="14"/>
        <v/>
      </c>
      <c r="K466" s="119" t="str">
        <f t="shared" si="15"/>
        <v/>
      </c>
    </row>
    <row r="467" spans="1:11" ht="15" customHeight="1">
      <c r="A467" s="119" t="str">
        <f>IF($B467="","",IFERROR(INDEX(상담데이터입력!$BH$3:$BH$502,MATCH($B467,상담데이터입력!$A$3:$A$502,0)),""))</f>
        <v/>
      </c>
      <c r="B467" s="120"/>
      <c r="C467" s="119" t="str">
        <f>IF($B467="","",IFERROR(INDEX(상담데이터입력!$D$3:$D$502,MATCH($B467,상담데이터입력!$A$3:$A$502,0)),""))</f>
        <v/>
      </c>
      <c r="D467" s="119" t="str">
        <f>IF($B467="","",IFERROR(INDEX(상담데이터입력!$S$3:$S$502,MATCH($B467,상담데이터입력!$A$3:$A$502,0)),""))</f>
        <v/>
      </c>
      <c r="E467" s="121"/>
      <c r="F467" s="122"/>
      <c r="G467" s="123"/>
      <c r="H467" s="123"/>
      <c r="I467" s="124"/>
      <c r="J467" s="125" t="str">
        <f t="shared" si="14"/>
        <v/>
      </c>
      <c r="K467" s="119" t="str">
        <f t="shared" si="15"/>
        <v/>
      </c>
    </row>
    <row r="468" spans="1:11" ht="15" customHeight="1">
      <c r="A468" s="119" t="str">
        <f>IF($B468="","",IFERROR(INDEX(상담데이터입력!$BH$3:$BH$502,MATCH($B468,상담데이터입력!$A$3:$A$502,0)),""))</f>
        <v/>
      </c>
      <c r="B468" s="120"/>
      <c r="C468" s="119" t="str">
        <f>IF($B468="","",IFERROR(INDEX(상담데이터입력!$D$3:$D$502,MATCH($B468,상담데이터입력!$A$3:$A$502,0)),""))</f>
        <v/>
      </c>
      <c r="D468" s="119" t="str">
        <f>IF($B468="","",IFERROR(INDEX(상담데이터입력!$S$3:$S$502,MATCH($B468,상담데이터입력!$A$3:$A$502,0)),""))</f>
        <v/>
      </c>
      <c r="E468" s="121"/>
      <c r="F468" s="122"/>
      <c r="G468" s="123"/>
      <c r="H468" s="123"/>
      <c r="I468" s="124"/>
      <c r="J468" s="125" t="str">
        <f t="shared" si="14"/>
        <v/>
      </c>
      <c r="K468" s="119" t="str">
        <f t="shared" si="15"/>
        <v/>
      </c>
    </row>
    <row r="469" spans="1:11" ht="15" customHeight="1">
      <c r="A469" s="119" t="str">
        <f>IF($B469="","",IFERROR(INDEX(상담데이터입력!$BH$3:$BH$502,MATCH($B469,상담데이터입력!$A$3:$A$502,0)),""))</f>
        <v/>
      </c>
      <c r="B469" s="120"/>
      <c r="C469" s="119" t="str">
        <f>IF($B469="","",IFERROR(INDEX(상담데이터입력!$D$3:$D$502,MATCH($B469,상담데이터입력!$A$3:$A$502,0)),""))</f>
        <v/>
      </c>
      <c r="D469" s="119" t="str">
        <f>IF($B469="","",IFERROR(INDEX(상담데이터입력!$S$3:$S$502,MATCH($B469,상담데이터입력!$A$3:$A$502,0)),""))</f>
        <v/>
      </c>
      <c r="E469" s="121"/>
      <c r="F469" s="122"/>
      <c r="G469" s="123"/>
      <c r="H469" s="123"/>
      <c r="I469" s="124"/>
      <c r="J469" s="125" t="str">
        <f t="shared" si="14"/>
        <v/>
      </c>
      <c r="K469" s="119" t="str">
        <f t="shared" si="15"/>
        <v/>
      </c>
    </row>
    <row r="470" spans="1:11" ht="15" customHeight="1">
      <c r="A470" s="119" t="str">
        <f>IF($B470="","",IFERROR(INDEX(상담데이터입력!$BH$3:$BH$502,MATCH($B470,상담데이터입력!$A$3:$A$502,0)),""))</f>
        <v/>
      </c>
      <c r="B470" s="120"/>
      <c r="C470" s="119" t="str">
        <f>IF($B470="","",IFERROR(INDEX(상담데이터입력!$D$3:$D$502,MATCH($B470,상담데이터입력!$A$3:$A$502,0)),""))</f>
        <v/>
      </c>
      <c r="D470" s="119" t="str">
        <f>IF($B470="","",IFERROR(INDEX(상담데이터입력!$S$3:$S$502,MATCH($B470,상담데이터입력!$A$3:$A$502,0)),""))</f>
        <v/>
      </c>
      <c r="E470" s="121"/>
      <c r="F470" s="122"/>
      <c r="G470" s="123"/>
      <c r="H470" s="123"/>
      <c r="I470" s="124"/>
      <c r="J470" s="125" t="str">
        <f t="shared" si="14"/>
        <v/>
      </c>
      <c r="K470" s="119" t="str">
        <f t="shared" si="15"/>
        <v/>
      </c>
    </row>
    <row r="471" spans="1:11" ht="15" customHeight="1">
      <c r="A471" s="119" t="str">
        <f>IF($B471="","",IFERROR(INDEX(상담데이터입력!$BH$3:$BH$502,MATCH($B471,상담데이터입력!$A$3:$A$502,0)),""))</f>
        <v/>
      </c>
      <c r="B471" s="120"/>
      <c r="C471" s="119" t="str">
        <f>IF($B471="","",IFERROR(INDEX(상담데이터입력!$D$3:$D$502,MATCH($B471,상담데이터입력!$A$3:$A$502,0)),""))</f>
        <v/>
      </c>
      <c r="D471" s="119" t="str">
        <f>IF($B471="","",IFERROR(INDEX(상담데이터입력!$S$3:$S$502,MATCH($B471,상담데이터입력!$A$3:$A$502,0)),""))</f>
        <v/>
      </c>
      <c r="E471" s="121"/>
      <c r="F471" s="122"/>
      <c r="G471" s="123"/>
      <c r="H471" s="123"/>
      <c r="I471" s="124"/>
      <c r="J471" s="125" t="str">
        <f t="shared" si="14"/>
        <v/>
      </c>
      <c r="K471" s="119" t="str">
        <f t="shared" si="15"/>
        <v/>
      </c>
    </row>
    <row r="472" spans="1:11" ht="15" customHeight="1">
      <c r="A472" s="119" t="str">
        <f>IF($B472="","",IFERROR(INDEX(상담데이터입력!$BH$3:$BH$502,MATCH($B472,상담데이터입력!$A$3:$A$502,0)),""))</f>
        <v/>
      </c>
      <c r="B472" s="120"/>
      <c r="C472" s="119" t="str">
        <f>IF($B472="","",IFERROR(INDEX(상담데이터입력!$D$3:$D$502,MATCH($B472,상담데이터입력!$A$3:$A$502,0)),""))</f>
        <v/>
      </c>
      <c r="D472" s="119" t="str">
        <f>IF($B472="","",IFERROR(INDEX(상담데이터입력!$S$3:$S$502,MATCH($B472,상담데이터입력!$A$3:$A$502,0)),""))</f>
        <v/>
      </c>
      <c r="E472" s="121"/>
      <c r="F472" s="122"/>
      <c r="G472" s="123"/>
      <c r="H472" s="123"/>
      <c r="I472" s="124"/>
      <c r="J472" s="125" t="str">
        <f t="shared" si="14"/>
        <v/>
      </c>
      <c r="K472" s="119" t="str">
        <f t="shared" si="15"/>
        <v/>
      </c>
    </row>
    <row r="473" spans="1:11" ht="15" customHeight="1">
      <c r="A473" s="119" t="str">
        <f>IF($B473="","",IFERROR(INDEX(상담데이터입력!$BH$3:$BH$502,MATCH($B473,상담데이터입력!$A$3:$A$502,0)),""))</f>
        <v/>
      </c>
      <c r="B473" s="120"/>
      <c r="C473" s="119" t="str">
        <f>IF($B473="","",IFERROR(INDEX(상담데이터입력!$D$3:$D$502,MATCH($B473,상담데이터입력!$A$3:$A$502,0)),""))</f>
        <v/>
      </c>
      <c r="D473" s="119" t="str">
        <f>IF($B473="","",IFERROR(INDEX(상담데이터입력!$S$3:$S$502,MATCH($B473,상담데이터입력!$A$3:$A$502,0)),""))</f>
        <v/>
      </c>
      <c r="E473" s="121"/>
      <c r="F473" s="122"/>
      <c r="G473" s="123"/>
      <c r="H473" s="123"/>
      <c r="I473" s="124"/>
      <c r="J473" s="125" t="str">
        <f t="shared" si="14"/>
        <v/>
      </c>
      <c r="K473" s="119" t="str">
        <f t="shared" si="15"/>
        <v/>
      </c>
    </row>
    <row r="474" spans="1:11" ht="15" customHeight="1">
      <c r="A474" s="119" t="str">
        <f>IF($B474="","",IFERROR(INDEX(상담데이터입력!$BH$3:$BH$502,MATCH($B474,상담데이터입력!$A$3:$A$502,0)),""))</f>
        <v/>
      </c>
      <c r="B474" s="120"/>
      <c r="C474" s="119" t="str">
        <f>IF($B474="","",IFERROR(INDEX(상담데이터입력!$D$3:$D$502,MATCH($B474,상담데이터입력!$A$3:$A$502,0)),""))</f>
        <v/>
      </c>
      <c r="D474" s="119" t="str">
        <f>IF($B474="","",IFERROR(INDEX(상담데이터입력!$S$3:$S$502,MATCH($B474,상담데이터입력!$A$3:$A$502,0)),""))</f>
        <v/>
      </c>
      <c r="E474" s="121"/>
      <c r="F474" s="122"/>
      <c r="G474" s="123"/>
      <c r="H474" s="123"/>
      <c r="I474" s="124"/>
      <c r="J474" s="125" t="str">
        <f t="shared" si="14"/>
        <v/>
      </c>
      <c r="K474" s="119" t="str">
        <f t="shared" si="15"/>
        <v/>
      </c>
    </row>
    <row r="475" spans="1:11" ht="15" customHeight="1">
      <c r="A475" s="119" t="str">
        <f>IF($B475="","",IFERROR(INDEX(상담데이터입력!$BH$3:$BH$502,MATCH($B475,상담데이터입력!$A$3:$A$502,0)),""))</f>
        <v/>
      </c>
      <c r="B475" s="120"/>
      <c r="C475" s="119" t="str">
        <f>IF($B475="","",IFERROR(INDEX(상담데이터입력!$D$3:$D$502,MATCH($B475,상담데이터입력!$A$3:$A$502,0)),""))</f>
        <v/>
      </c>
      <c r="D475" s="119" t="str">
        <f>IF($B475="","",IFERROR(INDEX(상담데이터입력!$S$3:$S$502,MATCH($B475,상담데이터입력!$A$3:$A$502,0)),""))</f>
        <v/>
      </c>
      <c r="E475" s="121"/>
      <c r="F475" s="122"/>
      <c r="G475" s="123"/>
      <c r="H475" s="123"/>
      <c r="I475" s="124"/>
      <c r="J475" s="125" t="str">
        <f t="shared" si="14"/>
        <v/>
      </c>
      <c r="K475" s="119" t="str">
        <f t="shared" si="15"/>
        <v/>
      </c>
    </row>
    <row r="476" spans="1:11" ht="15" customHeight="1">
      <c r="A476" s="119" t="str">
        <f>IF($B476="","",IFERROR(INDEX(상담데이터입력!$BH$3:$BH$502,MATCH($B476,상담데이터입력!$A$3:$A$502,0)),""))</f>
        <v/>
      </c>
      <c r="B476" s="120"/>
      <c r="C476" s="119" t="str">
        <f>IF($B476="","",IFERROR(INDEX(상담데이터입력!$D$3:$D$502,MATCH($B476,상담데이터입력!$A$3:$A$502,0)),""))</f>
        <v/>
      </c>
      <c r="D476" s="119" t="str">
        <f>IF($B476="","",IFERROR(INDEX(상담데이터입력!$S$3:$S$502,MATCH($B476,상담데이터입력!$A$3:$A$502,0)),""))</f>
        <v/>
      </c>
      <c r="E476" s="121"/>
      <c r="F476" s="122"/>
      <c r="G476" s="123"/>
      <c r="H476" s="123"/>
      <c r="I476" s="124"/>
      <c r="J476" s="125" t="str">
        <f t="shared" si="14"/>
        <v/>
      </c>
      <c r="K476" s="119" t="str">
        <f t="shared" si="15"/>
        <v/>
      </c>
    </row>
    <row r="477" spans="1:11" ht="15" customHeight="1">
      <c r="A477" s="119" t="str">
        <f>IF($B477="","",IFERROR(INDEX(상담데이터입력!$BH$3:$BH$502,MATCH($B477,상담데이터입력!$A$3:$A$502,0)),""))</f>
        <v/>
      </c>
      <c r="B477" s="120"/>
      <c r="C477" s="119" t="str">
        <f>IF($B477="","",IFERROR(INDEX(상담데이터입력!$D$3:$D$502,MATCH($B477,상담데이터입력!$A$3:$A$502,0)),""))</f>
        <v/>
      </c>
      <c r="D477" s="119" t="str">
        <f>IF($B477="","",IFERROR(INDEX(상담데이터입력!$S$3:$S$502,MATCH($B477,상담데이터입력!$A$3:$A$502,0)),""))</f>
        <v/>
      </c>
      <c r="E477" s="121"/>
      <c r="F477" s="122"/>
      <c r="G477" s="123"/>
      <c r="H477" s="123"/>
      <c r="I477" s="124"/>
      <c r="J477" s="125" t="str">
        <f t="shared" si="14"/>
        <v/>
      </c>
      <c r="K477" s="119" t="str">
        <f t="shared" si="15"/>
        <v/>
      </c>
    </row>
    <row r="478" spans="1:11" ht="15" customHeight="1">
      <c r="A478" s="119" t="str">
        <f>IF($B478="","",IFERROR(INDEX(상담데이터입력!$BH$3:$BH$502,MATCH($B478,상담데이터입력!$A$3:$A$502,0)),""))</f>
        <v/>
      </c>
      <c r="B478" s="120"/>
      <c r="C478" s="119" t="str">
        <f>IF($B478="","",IFERROR(INDEX(상담데이터입력!$D$3:$D$502,MATCH($B478,상담데이터입력!$A$3:$A$502,0)),""))</f>
        <v/>
      </c>
      <c r="D478" s="119" t="str">
        <f>IF($B478="","",IFERROR(INDEX(상담데이터입력!$S$3:$S$502,MATCH($B478,상담데이터입력!$A$3:$A$502,0)),""))</f>
        <v/>
      </c>
      <c r="E478" s="121"/>
      <c r="F478" s="122"/>
      <c r="G478" s="123"/>
      <c r="H478" s="123"/>
      <c r="I478" s="124"/>
      <c r="J478" s="125" t="str">
        <f t="shared" si="14"/>
        <v/>
      </c>
      <c r="K478" s="119" t="str">
        <f t="shared" si="15"/>
        <v/>
      </c>
    </row>
    <row r="479" spans="1:11" ht="15" customHeight="1">
      <c r="A479" s="119" t="str">
        <f>IF($B479="","",IFERROR(INDEX(상담데이터입력!$BH$3:$BH$502,MATCH($B479,상담데이터입력!$A$3:$A$502,0)),""))</f>
        <v/>
      </c>
      <c r="B479" s="120"/>
      <c r="C479" s="119" t="str">
        <f>IF($B479="","",IFERROR(INDEX(상담데이터입력!$D$3:$D$502,MATCH($B479,상담데이터입력!$A$3:$A$502,0)),""))</f>
        <v/>
      </c>
      <c r="D479" s="119" t="str">
        <f>IF($B479="","",IFERROR(INDEX(상담데이터입력!$S$3:$S$502,MATCH($B479,상담데이터입력!$A$3:$A$502,0)),""))</f>
        <v/>
      </c>
      <c r="E479" s="121"/>
      <c r="F479" s="122"/>
      <c r="G479" s="123"/>
      <c r="H479" s="123"/>
      <c r="I479" s="124"/>
      <c r="J479" s="125" t="str">
        <f t="shared" si="14"/>
        <v/>
      </c>
      <c r="K479" s="119" t="str">
        <f t="shared" si="15"/>
        <v/>
      </c>
    </row>
    <row r="480" spans="1:11" ht="15" customHeight="1">
      <c r="A480" s="119" t="str">
        <f>IF($B480="","",IFERROR(INDEX(상담데이터입력!$BH$3:$BH$502,MATCH($B480,상담데이터입력!$A$3:$A$502,0)),""))</f>
        <v/>
      </c>
      <c r="B480" s="120"/>
      <c r="C480" s="119" t="str">
        <f>IF($B480="","",IFERROR(INDEX(상담데이터입력!$D$3:$D$502,MATCH($B480,상담데이터입력!$A$3:$A$502,0)),""))</f>
        <v/>
      </c>
      <c r="D480" s="119" t="str">
        <f>IF($B480="","",IFERROR(INDEX(상담데이터입력!$S$3:$S$502,MATCH($B480,상담데이터입력!$A$3:$A$502,0)),""))</f>
        <v/>
      </c>
      <c r="E480" s="121"/>
      <c r="F480" s="122"/>
      <c r="G480" s="123"/>
      <c r="H480" s="123"/>
      <c r="I480" s="124"/>
      <c r="J480" s="125" t="str">
        <f t="shared" si="14"/>
        <v/>
      </c>
      <c r="K480" s="119" t="str">
        <f t="shared" si="15"/>
        <v/>
      </c>
    </row>
    <row r="481" spans="1:11" ht="15" customHeight="1">
      <c r="A481" s="119" t="str">
        <f>IF($B481="","",IFERROR(INDEX(상담데이터입력!$BH$3:$BH$502,MATCH($B481,상담데이터입력!$A$3:$A$502,0)),""))</f>
        <v/>
      </c>
      <c r="B481" s="120"/>
      <c r="C481" s="119" t="str">
        <f>IF($B481="","",IFERROR(INDEX(상담데이터입력!$D$3:$D$502,MATCH($B481,상담데이터입력!$A$3:$A$502,0)),""))</f>
        <v/>
      </c>
      <c r="D481" s="119" t="str">
        <f>IF($B481="","",IFERROR(INDEX(상담데이터입력!$S$3:$S$502,MATCH($B481,상담데이터입력!$A$3:$A$502,0)),""))</f>
        <v/>
      </c>
      <c r="E481" s="121"/>
      <c r="F481" s="122"/>
      <c r="G481" s="123"/>
      <c r="H481" s="123"/>
      <c r="I481" s="124"/>
      <c r="J481" s="125" t="str">
        <f t="shared" si="14"/>
        <v/>
      </c>
      <c r="K481" s="119" t="str">
        <f t="shared" si="15"/>
        <v/>
      </c>
    </row>
    <row r="482" spans="1:11" ht="15" customHeight="1">
      <c r="A482" s="119" t="str">
        <f>IF($B482="","",IFERROR(INDEX(상담데이터입력!$BH$3:$BH$502,MATCH($B482,상담데이터입력!$A$3:$A$502,0)),""))</f>
        <v/>
      </c>
      <c r="B482" s="120"/>
      <c r="C482" s="119" t="str">
        <f>IF($B482="","",IFERROR(INDEX(상담데이터입력!$D$3:$D$502,MATCH($B482,상담데이터입력!$A$3:$A$502,0)),""))</f>
        <v/>
      </c>
      <c r="D482" s="119" t="str">
        <f>IF($B482="","",IFERROR(INDEX(상담데이터입력!$S$3:$S$502,MATCH($B482,상담데이터입력!$A$3:$A$502,0)),""))</f>
        <v/>
      </c>
      <c r="E482" s="121"/>
      <c r="F482" s="122"/>
      <c r="G482" s="123"/>
      <c r="H482" s="123"/>
      <c r="I482" s="124"/>
      <c r="J482" s="125" t="str">
        <f t="shared" si="14"/>
        <v/>
      </c>
      <c r="K482" s="119" t="str">
        <f t="shared" si="15"/>
        <v/>
      </c>
    </row>
    <row r="483" spans="1:11" ht="15" customHeight="1">
      <c r="A483" s="119" t="str">
        <f>IF($B483="","",IFERROR(INDEX(상담데이터입력!$BH$3:$BH$502,MATCH($B483,상담데이터입력!$A$3:$A$502,0)),""))</f>
        <v/>
      </c>
      <c r="B483" s="120"/>
      <c r="C483" s="119" t="str">
        <f>IF($B483="","",IFERROR(INDEX(상담데이터입력!$D$3:$D$502,MATCH($B483,상담데이터입력!$A$3:$A$502,0)),""))</f>
        <v/>
      </c>
      <c r="D483" s="119" t="str">
        <f>IF($B483="","",IFERROR(INDEX(상담데이터입력!$S$3:$S$502,MATCH($B483,상담데이터입력!$A$3:$A$502,0)),""))</f>
        <v/>
      </c>
      <c r="E483" s="121"/>
      <c r="F483" s="122"/>
      <c r="G483" s="123"/>
      <c r="H483" s="123"/>
      <c r="I483" s="124"/>
      <c r="J483" s="125" t="str">
        <f t="shared" si="14"/>
        <v/>
      </c>
      <c r="K483" s="119" t="str">
        <f t="shared" si="15"/>
        <v/>
      </c>
    </row>
    <row r="484" spans="1:11" ht="15" customHeight="1">
      <c r="A484" s="119" t="str">
        <f>IF($B484="","",IFERROR(INDEX(상담데이터입력!$BH$3:$BH$502,MATCH($B484,상담데이터입력!$A$3:$A$502,0)),""))</f>
        <v/>
      </c>
      <c r="B484" s="120"/>
      <c r="C484" s="119" t="str">
        <f>IF($B484="","",IFERROR(INDEX(상담데이터입력!$D$3:$D$502,MATCH($B484,상담데이터입력!$A$3:$A$502,0)),""))</f>
        <v/>
      </c>
      <c r="D484" s="119" t="str">
        <f>IF($B484="","",IFERROR(INDEX(상담데이터입력!$S$3:$S$502,MATCH($B484,상담데이터입력!$A$3:$A$502,0)),""))</f>
        <v/>
      </c>
      <c r="E484" s="121"/>
      <c r="F484" s="122"/>
      <c r="G484" s="123"/>
      <c r="H484" s="123"/>
      <c r="I484" s="124"/>
      <c r="J484" s="125" t="str">
        <f t="shared" si="14"/>
        <v/>
      </c>
      <c r="K484" s="119" t="str">
        <f t="shared" si="15"/>
        <v/>
      </c>
    </row>
    <row r="485" spans="1:11" ht="15" customHeight="1">
      <c r="A485" s="119" t="str">
        <f>IF($B485="","",IFERROR(INDEX(상담데이터입력!$BH$3:$BH$502,MATCH($B485,상담데이터입력!$A$3:$A$502,0)),""))</f>
        <v/>
      </c>
      <c r="B485" s="120"/>
      <c r="C485" s="119" t="str">
        <f>IF($B485="","",IFERROR(INDEX(상담데이터입력!$D$3:$D$502,MATCH($B485,상담데이터입력!$A$3:$A$502,0)),""))</f>
        <v/>
      </c>
      <c r="D485" s="119" t="str">
        <f>IF($B485="","",IFERROR(INDEX(상담데이터입력!$S$3:$S$502,MATCH($B485,상담데이터입력!$A$3:$A$502,0)),""))</f>
        <v/>
      </c>
      <c r="E485" s="121"/>
      <c r="F485" s="122"/>
      <c r="G485" s="123"/>
      <c r="H485" s="123"/>
      <c r="I485" s="124"/>
      <c r="J485" s="125" t="str">
        <f t="shared" si="14"/>
        <v/>
      </c>
      <c r="K485" s="119" t="str">
        <f t="shared" si="15"/>
        <v/>
      </c>
    </row>
    <row r="486" spans="1:11" ht="15" customHeight="1">
      <c r="A486" s="119" t="str">
        <f>IF($B486="","",IFERROR(INDEX(상담데이터입력!$BH$3:$BH$502,MATCH($B486,상담데이터입력!$A$3:$A$502,0)),""))</f>
        <v/>
      </c>
      <c r="B486" s="120"/>
      <c r="C486" s="119" t="str">
        <f>IF($B486="","",IFERROR(INDEX(상담데이터입력!$D$3:$D$502,MATCH($B486,상담데이터입력!$A$3:$A$502,0)),""))</f>
        <v/>
      </c>
      <c r="D486" s="119" t="str">
        <f>IF($B486="","",IFERROR(INDEX(상담데이터입력!$S$3:$S$502,MATCH($B486,상담데이터입력!$A$3:$A$502,0)),""))</f>
        <v/>
      </c>
      <c r="E486" s="121"/>
      <c r="F486" s="122"/>
      <c r="G486" s="123"/>
      <c r="H486" s="123"/>
      <c r="I486" s="124"/>
      <c r="J486" s="125" t="str">
        <f t="shared" si="14"/>
        <v/>
      </c>
      <c r="K486" s="119" t="str">
        <f t="shared" si="15"/>
        <v/>
      </c>
    </row>
    <row r="487" spans="1:11" ht="15" customHeight="1">
      <c r="A487" s="119" t="str">
        <f>IF($B487="","",IFERROR(INDEX(상담데이터입력!$BH$3:$BH$502,MATCH($B487,상담데이터입력!$A$3:$A$502,0)),""))</f>
        <v/>
      </c>
      <c r="B487" s="120"/>
      <c r="C487" s="119" t="str">
        <f>IF($B487="","",IFERROR(INDEX(상담데이터입력!$D$3:$D$502,MATCH($B487,상담데이터입력!$A$3:$A$502,0)),""))</f>
        <v/>
      </c>
      <c r="D487" s="119" t="str">
        <f>IF($B487="","",IFERROR(INDEX(상담데이터입력!$S$3:$S$502,MATCH($B487,상담데이터입력!$A$3:$A$502,0)),""))</f>
        <v/>
      </c>
      <c r="E487" s="121"/>
      <c r="F487" s="122"/>
      <c r="G487" s="123"/>
      <c r="H487" s="123"/>
      <c r="I487" s="124"/>
      <c r="J487" s="125" t="str">
        <f t="shared" si="14"/>
        <v/>
      </c>
      <c r="K487" s="119" t="str">
        <f t="shared" si="15"/>
        <v/>
      </c>
    </row>
    <row r="488" spans="1:11" ht="15" customHeight="1">
      <c r="A488" s="119" t="str">
        <f>IF($B488="","",IFERROR(INDEX(상담데이터입력!$BH$3:$BH$502,MATCH($B488,상담데이터입력!$A$3:$A$502,0)),""))</f>
        <v/>
      </c>
      <c r="B488" s="120"/>
      <c r="C488" s="119" t="str">
        <f>IF($B488="","",IFERROR(INDEX(상담데이터입력!$D$3:$D$502,MATCH($B488,상담데이터입력!$A$3:$A$502,0)),""))</f>
        <v/>
      </c>
      <c r="D488" s="119" t="str">
        <f>IF($B488="","",IFERROR(INDEX(상담데이터입력!$S$3:$S$502,MATCH($B488,상담데이터입력!$A$3:$A$502,0)),""))</f>
        <v/>
      </c>
      <c r="E488" s="121"/>
      <c r="F488" s="122"/>
      <c r="G488" s="123"/>
      <c r="H488" s="123"/>
      <c r="I488" s="124"/>
      <c r="J488" s="125" t="str">
        <f t="shared" si="14"/>
        <v/>
      </c>
      <c r="K488" s="119" t="str">
        <f t="shared" si="15"/>
        <v/>
      </c>
    </row>
    <row r="489" spans="1:11" ht="15" customHeight="1">
      <c r="A489" s="119" t="str">
        <f>IF($B489="","",IFERROR(INDEX(상담데이터입력!$BH$3:$BH$502,MATCH($B489,상담데이터입력!$A$3:$A$502,0)),""))</f>
        <v/>
      </c>
      <c r="B489" s="120"/>
      <c r="C489" s="119" t="str">
        <f>IF($B489="","",IFERROR(INDEX(상담데이터입력!$D$3:$D$502,MATCH($B489,상담데이터입력!$A$3:$A$502,0)),""))</f>
        <v/>
      </c>
      <c r="D489" s="119" t="str">
        <f>IF($B489="","",IFERROR(INDEX(상담데이터입력!$S$3:$S$502,MATCH($B489,상담데이터입력!$A$3:$A$502,0)),""))</f>
        <v/>
      </c>
      <c r="E489" s="121"/>
      <c r="F489" s="122"/>
      <c r="G489" s="123"/>
      <c r="H489" s="123"/>
      <c r="I489" s="124"/>
      <c r="J489" s="125" t="str">
        <f t="shared" si="14"/>
        <v/>
      </c>
      <c r="K489" s="119" t="str">
        <f t="shared" si="15"/>
        <v/>
      </c>
    </row>
    <row r="490" spans="1:11" ht="15" customHeight="1">
      <c r="A490" s="119" t="str">
        <f>IF($B490="","",IFERROR(INDEX(상담데이터입력!$BH$3:$BH$502,MATCH($B490,상담데이터입력!$A$3:$A$502,0)),""))</f>
        <v/>
      </c>
      <c r="B490" s="120"/>
      <c r="C490" s="119" t="str">
        <f>IF($B490="","",IFERROR(INDEX(상담데이터입력!$D$3:$D$502,MATCH($B490,상담데이터입력!$A$3:$A$502,0)),""))</f>
        <v/>
      </c>
      <c r="D490" s="119" t="str">
        <f>IF($B490="","",IFERROR(INDEX(상담데이터입력!$S$3:$S$502,MATCH($B490,상담데이터입력!$A$3:$A$502,0)),""))</f>
        <v/>
      </c>
      <c r="E490" s="121"/>
      <c r="F490" s="122"/>
      <c r="G490" s="123"/>
      <c r="H490" s="123"/>
      <c r="I490" s="124"/>
      <c r="J490" s="125" t="str">
        <f t="shared" si="14"/>
        <v/>
      </c>
      <c r="K490" s="119" t="str">
        <f t="shared" si="15"/>
        <v/>
      </c>
    </row>
    <row r="491" spans="1:11" ht="15" customHeight="1">
      <c r="A491" s="119" t="str">
        <f>IF($B491="","",IFERROR(INDEX(상담데이터입력!$BH$3:$BH$502,MATCH($B491,상담데이터입력!$A$3:$A$502,0)),""))</f>
        <v/>
      </c>
      <c r="B491" s="120"/>
      <c r="C491" s="119" t="str">
        <f>IF($B491="","",IFERROR(INDEX(상담데이터입력!$D$3:$D$502,MATCH($B491,상담데이터입력!$A$3:$A$502,0)),""))</f>
        <v/>
      </c>
      <c r="D491" s="119" t="str">
        <f>IF($B491="","",IFERROR(INDEX(상담데이터입력!$S$3:$S$502,MATCH($B491,상담데이터입력!$A$3:$A$502,0)),""))</f>
        <v/>
      </c>
      <c r="E491" s="121"/>
      <c r="F491" s="122"/>
      <c r="G491" s="123"/>
      <c r="H491" s="123"/>
      <c r="I491" s="124"/>
      <c r="J491" s="125" t="str">
        <f t="shared" si="14"/>
        <v/>
      </c>
      <c r="K491" s="119" t="str">
        <f t="shared" si="15"/>
        <v/>
      </c>
    </row>
    <row r="492" spans="1:11" ht="15" customHeight="1">
      <c r="A492" s="119" t="str">
        <f>IF($B492="","",IFERROR(INDEX(상담데이터입력!$BH$3:$BH$502,MATCH($B492,상담데이터입력!$A$3:$A$502,0)),""))</f>
        <v/>
      </c>
      <c r="B492" s="120"/>
      <c r="C492" s="119" t="str">
        <f>IF($B492="","",IFERROR(INDEX(상담데이터입력!$D$3:$D$502,MATCH($B492,상담데이터입력!$A$3:$A$502,0)),""))</f>
        <v/>
      </c>
      <c r="D492" s="119" t="str">
        <f>IF($B492="","",IFERROR(INDEX(상담데이터입력!$S$3:$S$502,MATCH($B492,상담데이터입력!$A$3:$A$502,0)),""))</f>
        <v/>
      </c>
      <c r="E492" s="121"/>
      <c r="F492" s="122"/>
      <c r="G492" s="123"/>
      <c r="H492" s="123"/>
      <c r="I492" s="124"/>
      <c r="J492" s="125" t="str">
        <f t="shared" si="14"/>
        <v/>
      </c>
      <c r="K492" s="119" t="str">
        <f t="shared" si="15"/>
        <v/>
      </c>
    </row>
    <row r="493" spans="1:11" ht="15" customHeight="1">
      <c r="A493" s="119" t="str">
        <f>IF($B493="","",IFERROR(INDEX(상담데이터입력!$BH$3:$BH$502,MATCH($B493,상담데이터입력!$A$3:$A$502,0)),""))</f>
        <v/>
      </c>
      <c r="B493" s="120"/>
      <c r="C493" s="119" t="str">
        <f>IF($B493="","",IFERROR(INDEX(상담데이터입력!$D$3:$D$502,MATCH($B493,상담데이터입력!$A$3:$A$502,0)),""))</f>
        <v/>
      </c>
      <c r="D493" s="119" t="str">
        <f>IF($B493="","",IFERROR(INDEX(상담데이터입력!$S$3:$S$502,MATCH($B493,상담데이터입력!$A$3:$A$502,0)),""))</f>
        <v/>
      </c>
      <c r="E493" s="121"/>
      <c r="F493" s="122"/>
      <c r="G493" s="123"/>
      <c r="H493" s="123"/>
      <c r="I493" s="124"/>
      <c r="J493" s="125" t="str">
        <f t="shared" si="14"/>
        <v/>
      </c>
      <c r="K493" s="119" t="str">
        <f t="shared" si="15"/>
        <v/>
      </c>
    </row>
    <row r="494" spans="1:11" ht="15" customHeight="1">
      <c r="A494" s="119" t="str">
        <f>IF($B494="","",IFERROR(INDEX(상담데이터입력!$BH$3:$BH$502,MATCH($B494,상담데이터입력!$A$3:$A$502,0)),""))</f>
        <v/>
      </c>
      <c r="B494" s="120"/>
      <c r="C494" s="119" t="str">
        <f>IF($B494="","",IFERROR(INDEX(상담데이터입력!$D$3:$D$502,MATCH($B494,상담데이터입력!$A$3:$A$502,0)),""))</f>
        <v/>
      </c>
      <c r="D494" s="119" t="str">
        <f>IF($B494="","",IFERROR(INDEX(상담데이터입력!$S$3:$S$502,MATCH($B494,상담데이터입력!$A$3:$A$502,0)),""))</f>
        <v/>
      </c>
      <c r="E494" s="121"/>
      <c r="F494" s="122"/>
      <c r="G494" s="123"/>
      <c r="H494" s="123"/>
      <c r="I494" s="124"/>
      <c r="J494" s="125" t="str">
        <f t="shared" si="14"/>
        <v/>
      </c>
      <c r="K494" s="119" t="str">
        <f t="shared" si="15"/>
        <v/>
      </c>
    </row>
    <row r="495" spans="1:11" ht="15" customHeight="1">
      <c r="A495" s="119" t="str">
        <f>IF($B495="","",IFERROR(INDEX(상담데이터입력!$BH$3:$BH$502,MATCH($B495,상담데이터입력!$A$3:$A$502,0)),""))</f>
        <v/>
      </c>
      <c r="B495" s="120"/>
      <c r="C495" s="119" t="str">
        <f>IF($B495="","",IFERROR(INDEX(상담데이터입력!$D$3:$D$502,MATCH($B495,상담데이터입력!$A$3:$A$502,0)),""))</f>
        <v/>
      </c>
      <c r="D495" s="119" t="str">
        <f>IF($B495="","",IFERROR(INDEX(상담데이터입력!$S$3:$S$502,MATCH($B495,상담데이터입력!$A$3:$A$502,0)),""))</f>
        <v/>
      </c>
      <c r="E495" s="121"/>
      <c r="F495" s="122"/>
      <c r="G495" s="123"/>
      <c r="H495" s="123"/>
      <c r="I495" s="124"/>
      <c r="J495" s="125" t="str">
        <f t="shared" si="14"/>
        <v/>
      </c>
      <c r="K495" s="119" t="str">
        <f t="shared" si="15"/>
        <v/>
      </c>
    </row>
    <row r="496" spans="1:11" ht="15" customHeight="1">
      <c r="A496" s="119" t="str">
        <f>IF($B496="","",IFERROR(INDEX(상담데이터입력!$BH$3:$BH$502,MATCH($B496,상담데이터입력!$A$3:$A$502,0)),""))</f>
        <v/>
      </c>
      <c r="B496" s="120"/>
      <c r="C496" s="119" t="str">
        <f>IF($B496="","",IFERROR(INDEX(상담데이터입력!$D$3:$D$502,MATCH($B496,상담데이터입력!$A$3:$A$502,0)),""))</f>
        <v/>
      </c>
      <c r="D496" s="119" t="str">
        <f>IF($B496="","",IFERROR(INDEX(상담데이터입력!$S$3:$S$502,MATCH($B496,상담데이터입력!$A$3:$A$502,0)),""))</f>
        <v/>
      </c>
      <c r="E496" s="121"/>
      <c r="F496" s="122"/>
      <c r="G496" s="123"/>
      <c r="H496" s="123"/>
      <c r="I496" s="124"/>
      <c r="J496" s="125" t="str">
        <f t="shared" si="14"/>
        <v/>
      </c>
      <c r="K496" s="119" t="str">
        <f t="shared" si="15"/>
        <v/>
      </c>
    </row>
    <row r="497" spans="1:11" ht="15" customHeight="1">
      <c r="A497" s="119" t="str">
        <f>IF($B497="","",IFERROR(INDEX(상담데이터입력!$BH$3:$BH$502,MATCH($B497,상담데이터입력!$A$3:$A$502,0)),""))</f>
        <v/>
      </c>
      <c r="B497" s="120"/>
      <c r="C497" s="119" t="str">
        <f>IF($B497="","",IFERROR(INDEX(상담데이터입력!$D$3:$D$502,MATCH($B497,상담데이터입력!$A$3:$A$502,0)),""))</f>
        <v/>
      </c>
      <c r="D497" s="119" t="str">
        <f>IF($B497="","",IFERROR(INDEX(상담데이터입력!$S$3:$S$502,MATCH($B497,상담데이터입력!$A$3:$A$502,0)),""))</f>
        <v/>
      </c>
      <c r="E497" s="121"/>
      <c r="F497" s="122"/>
      <c r="G497" s="123"/>
      <c r="H497" s="123"/>
      <c r="I497" s="124"/>
      <c r="J497" s="125" t="str">
        <f t="shared" si="14"/>
        <v/>
      </c>
      <c r="K497" s="119" t="str">
        <f t="shared" si="15"/>
        <v/>
      </c>
    </row>
    <row r="498" spans="1:11" ht="15" customHeight="1">
      <c r="A498" s="119" t="str">
        <f>IF($B498="","",IFERROR(INDEX(상담데이터입력!$BH$3:$BH$502,MATCH($B498,상담데이터입력!$A$3:$A$502,0)),""))</f>
        <v/>
      </c>
      <c r="B498" s="120"/>
      <c r="C498" s="119" t="str">
        <f>IF($B498="","",IFERROR(INDEX(상담데이터입력!$D$3:$D$502,MATCH($B498,상담데이터입력!$A$3:$A$502,0)),""))</f>
        <v/>
      </c>
      <c r="D498" s="119" t="str">
        <f>IF($B498="","",IFERROR(INDEX(상담데이터입력!$S$3:$S$502,MATCH($B498,상담데이터입력!$A$3:$A$502,0)),""))</f>
        <v/>
      </c>
      <c r="E498" s="121"/>
      <c r="F498" s="122"/>
      <c r="G498" s="123"/>
      <c r="H498" s="123"/>
      <c r="I498" s="124"/>
      <c r="J498" s="125" t="str">
        <f t="shared" si="14"/>
        <v/>
      </c>
      <c r="K498" s="119" t="str">
        <f t="shared" si="15"/>
        <v/>
      </c>
    </row>
    <row r="499" spans="1:11" ht="15" customHeight="1">
      <c r="A499" s="119" t="str">
        <f>IF($B499="","",IFERROR(INDEX(상담데이터입력!$BH$3:$BH$502,MATCH($B499,상담데이터입력!$A$3:$A$502,0)),""))</f>
        <v/>
      </c>
      <c r="B499" s="120"/>
      <c r="C499" s="119" t="str">
        <f>IF($B499="","",IFERROR(INDEX(상담데이터입력!$D$3:$D$502,MATCH($B499,상담데이터입력!$A$3:$A$502,0)),""))</f>
        <v/>
      </c>
      <c r="D499" s="119" t="str">
        <f>IF($B499="","",IFERROR(INDEX(상담데이터입력!$S$3:$S$502,MATCH($B499,상담데이터입력!$A$3:$A$502,0)),""))</f>
        <v/>
      </c>
      <c r="E499" s="121"/>
      <c r="F499" s="122"/>
      <c r="G499" s="123"/>
      <c r="H499" s="123"/>
      <c r="I499" s="124"/>
      <c r="J499" s="125" t="str">
        <f t="shared" si="14"/>
        <v/>
      </c>
      <c r="K499" s="119" t="str">
        <f t="shared" si="15"/>
        <v/>
      </c>
    </row>
    <row r="500" spans="1:11" ht="15" customHeight="1">
      <c r="A500" s="119" t="str">
        <f>IF($B500="","",IFERROR(INDEX(상담데이터입력!$BH$3:$BH$502,MATCH($B500,상담데이터입력!$A$3:$A$502,0)),""))</f>
        <v/>
      </c>
      <c r="B500" s="120"/>
      <c r="C500" s="119" t="str">
        <f>IF($B500="","",IFERROR(INDEX(상담데이터입력!$D$3:$D$502,MATCH($B500,상담데이터입력!$A$3:$A$502,0)),""))</f>
        <v/>
      </c>
      <c r="D500" s="119" t="str">
        <f>IF($B500="","",IFERROR(INDEX(상담데이터입력!$S$3:$S$502,MATCH($B500,상담데이터입력!$A$3:$A$502,0)),""))</f>
        <v/>
      </c>
      <c r="E500" s="121"/>
      <c r="F500" s="122"/>
      <c r="G500" s="123"/>
      <c r="H500" s="123"/>
      <c r="I500" s="124"/>
      <c r="J500" s="125" t="str">
        <f t="shared" si="14"/>
        <v/>
      </c>
      <c r="K500" s="119" t="str">
        <f t="shared" si="15"/>
        <v/>
      </c>
    </row>
    <row r="501" spans="1:11" ht="15" customHeight="1">
      <c r="A501" s="119" t="str">
        <f>IF($B501="","",IFERROR(INDEX(상담데이터입력!$BH$3:$BH$502,MATCH($B501,상담데이터입력!$A$3:$A$502,0)),""))</f>
        <v/>
      </c>
      <c r="B501" s="120"/>
      <c r="C501" s="119" t="str">
        <f>IF($B501="","",IFERROR(INDEX(상담데이터입력!$D$3:$D$502,MATCH($B501,상담데이터입력!$A$3:$A$502,0)),""))</f>
        <v/>
      </c>
      <c r="D501" s="119" t="str">
        <f>IF($B501="","",IFERROR(INDEX(상담데이터입력!$S$3:$S$502,MATCH($B501,상담데이터입력!$A$3:$A$502,0)),""))</f>
        <v/>
      </c>
      <c r="E501" s="121"/>
      <c r="F501" s="122"/>
      <c r="G501" s="123"/>
      <c r="H501" s="123"/>
      <c r="I501" s="124"/>
      <c r="J501" s="125" t="str">
        <f t="shared" si="14"/>
        <v/>
      </c>
      <c r="K501" s="119" t="str">
        <f t="shared" si="15"/>
        <v/>
      </c>
    </row>
    <row r="502" spans="1:11" ht="15" customHeight="1">
      <c r="A502" s="119" t="str">
        <f>IF($B502="","",IFERROR(INDEX(상담데이터입력!$BH$3:$BH$502,MATCH($B502,상담데이터입력!$A$3:$A$502,0)),""))</f>
        <v/>
      </c>
      <c r="B502" s="120"/>
      <c r="C502" s="119" t="str">
        <f>IF($B502="","",IFERROR(INDEX(상담데이터입력!$D$3:$D$502,MATCH($B502,상담데이터입력!$A$3:$A$502,0)),""))</f>
        <v/>
      </c>
      <c r="D502" s="119" t="str">
        <f>IF($B502="","",IFERROR(INDEX(상담데이터입력!$S$3:$S$502,MATCH($B502,상담데이터입력!$A$3:$A$502,0)),""))</f>
        <v/>
      </c>
      <c r="E502" s="121"/>
      <c r="F502" s="122"/>
      <c r="G502" s="123"/>
      <c r="H502" s="123"/>
      <c r="I502" s="124"/>
      <c r="J502" s="125" t="str">
        <f t="shared" si="14"/>
        <v/>
      </c>
      <c r="K502" s="119" t="str">
        <f t="shared" si="15"/>
        <v/>
      </c>
    </row>
    <row r="503" spans="1:11" ht="15" customHeight="1">
      <c r="A503" s="119" t="str">
        <f>IF($B503="","",IFERROR(INDEX(상담데이터입력!$BH$3:$BH$502,MATCH($B503,상담데이터입력!$A$3:$A$502,0)),""))</f>
        <v/>
      </c>
      <c r="B503" s="120"/>
      <c r="C503" s="119" t="str">
        <f>IF($B503="","",IFERROR(INDEX(상담데이터입력!$D$3:$D$502,MATCH($B503,상담데이터입력!$A$3:$A$502,0)),""))</f>
        <v/>
      </c>
      <c r="D503" s="119" t="str">
        <f>IF($B503="","",IFERROR(INDEX(상담데이터입력!$S$3:$S$502,MATCH($B503,상담데이터입력!$A$3:$A$502,0)),""))</f>
        <v/>
      </c>
      <c r="E503" s="121"/>
      <c r="F503" s="122"/>
      <c r="G503" s="123"/>
      <c r="H503" s="123"/>
      <c r="I503" s="124"/>
      <c r="J503" s="125" t="str">
        <f t="shared" si="14"/>
        <v/>
      </c>
      <c r="K503" s="119" t="str">
        <f t="shared" si="15"/>
        <v/>
      </c>
    </row>
    <row r="504" spans="1:11" ht="15" customHeight="1">
      <c r="A504" s="119" t="str">
        <f>IF($B504="","",IFERROR(INDEX(상담데이터입력!$BH$3:$BH$502,MATCH($B504,상담데이터입력!$A$3:$A$502,0)),""))</f>
        <v/>
      </c>
      <c r="B504" s="120"/>
      <c r="C504" s="119" t="str">
        <f>IF($B504="","",IFERROR(INDEX(상담데이터입력!$D$3:$D$502,MATCH($B504,상담데이터입력!$A$3:$A$502,0)),""))</f>
        <v/>
      </c>
      <c r="D504" s="119" t="str">
        <f>IF($B504="","",IFERROR(INDEX(상담데이터입력!$S$3:$S$502,MATCH($B504,상담데이터입력!$A$3:$A$502,0)),""))</f>
        <v/>
      </c>
      <c r="E504" s="121"/>
      <c r="F504" s="122"/>
      <c r="G504" s="123"/>
      <c r="H504" s="123"/>
      <c r="I504" s="124"/>
      <c r="J504" s="125" t="str">
        <f t="shared" si="14"/>
        <v/>
      </c>
      <c r="K504" s="119" t="str">
        <f t="shared" si="15"/>
        <v/>
      </c>
    </row>
    <row r="505" spans="1:11" ht="15" customHeight="1">
      <c r="A505" s="119"/>
      <c r="B505" s="126"/>
      <c r="C505" s="119"/>
      <c r="D505" s="119"/>
      <c r="E505" s="121"/>
      <c r="F505" s="122"/>
      <c r="G505" s="123"/>
      <c r="H505" s="123"/>
      <c r="I505" s="124"/>
      <c r="J505" s="125"/>
      <c r="K505" s="119"/>
    </row>
    <row r="506" spans="1:11" ht="15" customHeight="1">
      <c r="A506" s="119"/>
      <c r="B506" s="126"/>
      <c r="C506" s="119"/>
      <c r="D506" s="119"/>
      <c r="E506" s="121"/>
      <c r="F506" s="122"/>
      <c r="G506" s="123"/>
      <c r="H506" s="123"/>
      <c r="I506" s="124"/>
      <c r="J506" s="125"/>
      <c r="K506" s="119"/>
    </row>
    <row r="507" spans="1:11" ht="15" customHeight="1">
      <c r="A507" s="119"/>
      <c r="B507" s="126"/>
      <c r="C507" s="119"/>
      <c r="D507" s="119"/>
      <c r="E507" s="121"/>
      <c r="F507" s="122"/>
      <c r="G507" s="123"/>
      <c r="H507" s="123"/>
      <c r="I507" s="124"/>
      <c r="J507" s="125"/>
      <c r="K507" s="119"/>
    </row>
    <row r="508" spans="1:11" ht="15" customHeight="1">
      <c r="A508" s="119"/>
      <c r="B508" s="126"/>
      <c r="C508" s="119"/>
      <c r="D508" s="119"/>
      <c r="E508" s="121"/>
      <c r="F508" s="122"/>
      <c r="G508" s="123"/>
      <c r="H508" s="123"/>
      <c r="I508" s="124"/>
      <c r="J508" s="125"/>
      <c r="K508" s="119"/>
    </row>
    <row r="509" spans="1:11" ht="15" customHeight="1">
      <c r="A509" s="119"/>
      <c r="B509" s="126"/>
      <c r="C509" s="119"/>
      <c r="D509" s="119"/>
      <c r="E509" s="121"/>
      <c r="F509" s="122"/>
      <c r="G509" s="123"/>
      <c r="H509" s="123"/>
      <c r="I509" s="124"/>
      <c r="J509" s="125"/>
      <c r="K509" s="119"/>
    </row>
    <row r="510" spans="1:11" ht="15" customHeight="1">
      <c r="A510" s="119"/>
      <c r="B510" s="126"/>
      <c r="C510" s="119"/>
      <c r="D510" s="119"/>
      <c r="E510" s="121"/>
      <c r="F510" s="122"/>
      <c r="G510" s="123"/>
      <c r="H510" s="123"/>
      <c r="I510" s="124"/>
      <c r="J510" s="125"/>
      <c r="K510" s="119"/>
    </row>
    <row r="511" spans="1:11" ht="15" customHeight="1">
      <c r="A511" s="119"/>
      <c r="B511" s="126"/>
      <c r="C511" s="119"/>
      <c r="D511" s="119"/>
      <c r="E511" s="121"/>
      <c r="F511" s="122"/>
      <c r="G511" s="123"/>
      <c r="H511" s="123"/>
      <c r="I511" s="124"/>
      <c r="J511" s="125"/>
      <c r="K511" s="119"/>
    </row>
    <row r="512" spans="1:11" ht="15" customHeight="1">
      <c r="A512" s="119"/>
      <c r="B512" s="126"/>
      <c r="C512" s="119"/>
      <c r="D512" s="119"/>
      <c r="E512" s="121"/>
      <c r="F512" s="122"/>
      <c r="G512" s="123"/>
      <c r="H512" s="123"/>
      <c r="I512" s="124"/>
      <c r="J512" s="125"/>
      <c r="K512" s="119"/>
    </row>
    <row r="513" spans="1:11" ht="15" customHeight="1">
      <c r="A513" s="119"/>
      <c r="B513" s="126"/>
      <c r="C513" s="119"/>
      <c r="D513" s="119"/>
      <c r="E513" s="121"/>
      <c r="F513" s="122"/>
      <c r="G513" s="123"/>
      <c r="H513" s="123"/>
      <c r="I513" s="124"/>
      <c r="J513" s="125"/>
      <c r="K513" s="119"/>
    </row>
    <row r="514" spans="1:11" ht="15" customHeight="1">
      <c r="A514" s="119"/>
      <c r="B514" s="126"/>
      <c r="C514" s="119"/>
      <c r="D514" s="119"/>
      <c r="E514" s="121"/>
      <c r="F514" s="122"/>
      <c r="G514" s="123"/>
      <c r="H514" s="123"/>
      <c r="I514" s="124"/>
      <c r="J514" s="125"/>
      <c r="K514" s="119"/>
    </row>
    <row r="515" spans="1:11" ht="15" customHeight="1">
      <c r="A515" s="119"/>
      <c r="B515" s="126"/>
      <c r="C515" s="119"/>
      <c r="D515" s="119"/>
      <c r="E515" s="121"/>
      <c r="F515" s="122"/>
      <c r="G515" s="123"/>
      <c r="H515" s="123"/>
      <c r="I515" s="124"/>
      <c r="J515" s="125"/>
      <c r="K515" s="119"/>
    </row>
    <row r="516" spans="1:11" ht="15" customHeight="1">
      <c r="A516" s="119"/>
      <c r="B516" s="126"/>
      <c r="C516" s="119"/>
      <c r="D516" s="119"/>
      <c r="E516" s="121"/>
      <c r="F516" s="122"/>
      <c r="G516" s="123"/>
      <c r="H516" s="123"/>
      <c r="I516" s="124"/>
      <c r="J516" s="125"/>
      <c r="K516" s="119"/>
    </row>
    <row r="517" spans="1:11" ht="15" customHeight="1">
      <c r="A517" s="119"/>
      <c r="B517" s="126"/>
      <c r="C517" s="119"/>
      <c r="D517" s="119"/>
      <c r="E517" s="121"/>
      <c r="F517" s="122"/>
      <c r="G517" s="123"/>
      <c r="H517" s="123"/>
      <c r="I517" s="124"/>
      <c r="J517" s="125"/>
      <c r="K517" s="119"/>
    </row>
    <row r="518" spans="1:11" ht="15" customHeight="1">
      <c r="A518" s="119"/>
      <c r="B518" s="126"/>
      <c r="C518" s="119"/>
      <c r="D518" s="119"/>
      <c r="E518" s="121"/>
      <c r="F518" s="122"/>
      <c r="G518" s="123"/>
      <c r="H518" s="123"/>
      <c r="I518" s="124"/>
      <c r="J518" s="125"/>
      <c r="K518" s="119"/>
    </row>
    <row r="519" spans="1:11" ht="15" customHeight="1">
      <c r="A519" s="119"/>
      <c r="B519" s="126"/>
      <c r="C519" s="119"/>
      <c r="D519" s="119"/>
      <c r="E519" s="121"/>
      <c r="F519" s="122"/>
      <c r="G519" s="123"/>
      <c r="H519" s="123"/>
      <c r="I519" s="124"/>
      <c r="J519" s="125"/>
      <c r="K519" s="119"/>
    </row>
    <row r="520" spans="1:11" ht="15" customHeight="1">
      <c r="A520" s="119"/>
      <c r="B520" s="126"/>
      <c r="C520" s="119"/>
      <c r="D520" s="119"/>
      <c r="E520" s="121"/>
      <c r="F520" s="122"/>
      <c r="G520" s="123"/>
      <c r="H520" s="123"/>
      <c r="I520" s="124"/>
      <c r="J520" s="125"/>
      <c r="K520" s="119"/>
    </row>
    <row r="521" spans="1:11" ht="15" customHeight="1">
      <c r="A521" s="119"/>
      <c r="B521" s="126"/>
      <c r="C521" s="119"/>
      <c r="D521" s="119"/>
      <c r="E521" s="121"/>
      <c r="F521" s="122"/>
      <c r="G521" s="123"/>
      <c r="H521" s="123"/>
      <c r="I521" s="124"/>
      <c r="J521" s="125"/>
      <c r="K521" s="119"/>
    </row>
    <row r="522" spans="1:11" ht="15" customHeight="1">
      <c r="A522" s="119"/>
      <c r="B522" s="126"/>
      <c r="C522" s="119"/>
      <c r="D522" s="119"/>
      <c r="E522" s="121"/>
      <c r="F522" s="122"/>
      <c r="G522" s="123"/>
      <c r="H522" s="123"/>
      <c r="I522" s="124"/>
      <c r="J522" s="125"/>
      <c r="K522" s="119"/>
    </row>
    <row r="523" spans="1:11" ht="15" customHeight="1">
      <c r="A523" s="119"/>
      <c r="B523" s="126"/>
      <c r="C523" s="119"/>
      <c r="D523" s="119"/>
      <c r="E523" s="121"/>
      <c r="F523" s="122"/>
      <c r="G523" s="123"/>
      <c r="H523" s="123"/>
      <c r="I523" s="124"/>
      <c r="J523" s="125"/>
      <c r="K523" s="119"/>
    </row>
    <row r="524" spans="1:11" ht="15" customHeight="1">
      <c r="A524" s="119"/>
      <c r="B524" s="126"/>
      <c r="C524" s="119"/>
      <c r="D524" s="119"/>
      <c r="E524" s="121"/>
      <c r="F524" s="122"/>
      <c r="G524" s="123"/>
      <c r="H524" s="123"/>
      <c r="I524" s="124"/>
      <c r="J524" s="125"/>
      <c r="K524" s="119"/>
    </row>
    <row r="525" spans="1:11" ht="15" customHeight="1">
      <c r="A525" s="119"/>
      <c r="B525" s="126"/>
      <c r="C525" s="119"/>
      <c r="D525" s="119"/>
      <c r="E525" s="121"/>
      <c r="F525" s="122"/>
      <c r="G525" s="123"/>
      <c r="H525" s="123"/>
      <c r="I525" s="124"/>
      <c r="J525" s="125"/>
      <c r="K525" s="119"/>
    </row>
    <row r="526" spans="1:11" ht="15" customHeight="1">
      <c r="A526" s="119"/>
      <c r="B526" s="126"/>
      <c r="C526" s="119"/>
      <c r="D526" s="119"/>
      <c r="E526" s="121"/>
      <c r="F526" s="122"/>
      <c r="G526" s="123"/>
      <c r="H526" s="123"/>
      <c r="I526" s="124"/>
      <c r="J526" s="125"/>
      <c r="K526" s="119"/>
    </row>
    <row r="527" spans="1:11" ht="15" customHeight="1">
      <c r="A527" s="119"/>
      <c r="B527" s="126"/>
      <c r="C527" s="119"/>
      <c r="D527" s="119"/>
      <c r="E527" s="121"/>
      <c r="F527" s="122"/>
      <c r="G527" s="123"/>
      <c r="H527" s="123"/>
      <c r="I527" s="124"/>
      <c r="J527" s="125"/>
      <c r="K527" s="119"/>
    </row>
    <row r="528" spans="1:11" ht="15" customHeight="1">
      <c r="A528" s="119"/>
      <c r="B528" s="126"/>
      <c r="C528" s="119"/>
      <c r="D528" s="119"/>
      <c r="E528" s="121"/>
      <c r="F528" s="122"/>
      <c r="G528" s="123"/>
      <c r="H528" s="123"/>
      <c r="I528" s="124"/>
      <c r="J528" s="125"/>
      <c r="K528" s="119"/>
    </row>
    <row r="529" spans="1:11" ht="15" customHeight="1">
      <c r="A529" s="119"/>
      <c r="B529" s="126"/>
      <c r="C529" s="119"/>
      <c r="D529" s="119"/>
      <c r="E529" s="121"/>
      <c r="F529" s="122"/>
      <c r="G529" s="123"/>
      <c r="H529" s="123"/>
      <c r="I529" s="124"/>
      <c r="J529" s="125"/>
      <c r="K529" s="119"/>
    </row>
    <row r="530" spans="1:11" ht="15" customHeight="1">
      <c r="A530" s="119"/>
      <c r="B530" s="126"/>
      <c r="C530" s="119"/>
      <c r="D530" s="119"/>
      <c r="E530" s="121"/>
      <c r="F530" s="122"/>
      <c r="G530" s="123"/>
      <c r="H530" s="123"/>
      <c r="I530" s="124"/>
      <c r="J530" s="125"/>
      <c r="K530" s="119"/>
    </row>
    <row r="531" spans="1:11" ht="15" customHeight="1">
      <c r="A531" s="119"/>
      <c r="B531" s="126"/>
      <c r="C531" s="119"/>
      <c r="D531" s="119"/>
      <c r="E531" s="121"/>
      <c r="F531" s="122"/>
      <c r="G531" s="123"/>
      <c r="H531" s="123"/>
      <c r="I531" s="124"/>
      <c r="J531" s="125"/>
      <c r="K531" s="119"/>
    </row>
    <row r="532" spans="1:11" ht="15" customHeight="1">
      <c r="A532" s="119"/>
      <c r="B532" s="126"/>
      <c r="C532" s="119"/>
      <c r="D532" s="119"/>
      <c r="E532" s="121"/>
      <c r="F532" s="122"/>
      <c r="G532" s="123"/>
      <c r="H532" s="123"/>
      <c r="I532" s="124"/>
      <c r="J532" s="125"/>
      <c r="K532" s="119"/>
    </row>
    <row r="533" spans="1:11" ht="15" customHeight="1">
      <c r="A533" s="119"/>
      <c r="B533" s="126"/>
      <c r="C533" s="119"/>
      <c r="D533" s="119"/>
      <c r="E533" s="121"/>
      <c r="F533" s="122"/>
      <c r="G533" s="123"/>
      <c r="H533" s="123"/>
      <c r="I533" s="124"/>
      <c r="J533" s="125"/>
      <c r="K533" s="119"/>
    </row>
    <row r="534" spans="1:11" ht="15" customHeight="1">
      <c r="A534" s="119"/>
      <c r="B534" s="126"/>
      <c r="C534" s="119"/>
      <c r="D534" s="119"/>
      <c r="E534" s="121"/>
      <c r="F534" s="122"/>
      <c r="G534" s="123"/>
      <c r="H534" s="123"/>
      <c r="I534" s="124"/>
      <c r="J534" s="125"/>
      <c r="K534" s="119"/>
    </row>
    <row r="535" spans="1:11" ht="15" customHeight="1">
      <c r="A535" s="119"/>
      <c r="B535" s="126"/>
      <c r="C535" s="119"/>
      <c r="D535" s="119"/>
      <c r="E535" s="121"/>
      <c r="F535" s="122"/>
      <c r="G535" s="123"/>
      <c r="H535" s="123"/>
      <c r="I535" s="124"/>
      <c r="J535" s="125"/>
      <c r="K535" s="119"/>
    </row>
    <row r="536" spans="1:11" ht="15" customHeight="1">
      <c r="A536" s="119"/>
      <c r="B536" s="126"/>
      <c r="C536" s="119"/>
      <c r="D536" s="119"/>
      <c r="E536" s="121"/>
      <c r="F536" s="122"/>
      <c r="G536" s="123"/>
      <c r="H536" s="123"/>
      <c r="I536" s="124"/>
      <c r="J536" s="125"/>
      <c r="K536" s="119"/>
    </row>
    <row r="537" spans="1:11" ht="15" customHeight="1">
      <c r="A537" s="119"/>
      <c r="B537" s="126"/>
      <c r="C537" s="119"/>
      <c r="D537" s="119"/>
      <c r="E537" s="121"/>
      <c r="F537" s="122"/>
      <c r="G537" s="123"/>
      <c r="H537" s="123"/>
      <c r="I537" s="124"/>
      <c r="J537" s="125"/>
      <c r="K537" s="119"/>
    </row>
    <row r="538" spans="1:11" ht="15" customHeight="1">
      <c r="A538" s="119"/>
      <c r="B538" s="126"/>
      <c r="C538" s="119"/>
      <c r="D538" s="119"/>
      <c r="E538" s="121"/>
      <c r="F538" s="122"/>
      <c r="G538" s="123"/>
      <c r="H538" s="123"/>
      <c r="I538" s="124"/>
      <c r="J538" s="125"/>
      <c r="K538" s="119"/>
    </row>
    <row r="539" spans="1:11" ht="15" customHeight="1">
      <c r="A539" s="119"/>
      <c r="B539" s="126"/>
      <c r="C539" s="119"/>
      <c r="D539" s="119"/>
      <c r="E539" s="121"/>
      <c r="F539" s="122"/>
      <c r="G539" s="123"/>
      <c r="H539" s="123"/>
      <c r="I539" s="124"/>
      <c r="J539" s="125"/>
      <c r="K539" s="119"/>
    </row>
    <row r="540" spans="1:11" ht="15" customHeight="1">
      <c r="A540" s="119"/>
      <c r="B540" s="126"/>
      <c r="C540" s="119"/>
      <c r="D540" s="119"/>
      <c r="E540" s="121"/>
      <c r="F540" s="122"/>
      <c r="G540" s="123"/>
      <c r="H540" s="123"/>
      <c r="I540" s="124"/>
      <c r="J540" s="125"/>
      <c r="K540" s="119"/>
    </row>
    <row r="541" spans="1:11" ht="15" customHeight="1">
      <c r="A541" s="119"/>
      <c r="B541" s="126"/>
      <c r="C541" s="119"/>
      <c r="D541" s="119"/>
      <c r="E541" s="121"/>
      <c r="F541" s="122"/>
      <c r="G541" s="123"/>
      <c r="H541" s="123"/>
      <c r="I541" s="124"/>
      <c r="J541" s="125"/>
      <c r="K541" s="119"/>
    </row>
    <row r="542" spans="1:11" ht="15" customHeight="1">
      <c r="A542" s="119"/>
      <c r="B542" s="126"/>
      <c r="C542" s="119"/>
      <c r="D542" s="119"/>
      <c r="E542" s="121"/>
      <c r="F542" s="122"/>
      <c r="G542" s="123"/>
      <c r="H542" s="123"/>
      <c r="I542" s="124"/>
      <c r="J542" s="125"/>
      <c r="K542" s="119"/>
    </row>
    <row r="543" spans="1:11" ht="15" customHeight="1">
      <c r="A543" s="119"/>
      <c r="B543" s="126"/>
      <c r="C543" s="119"/>
      <c r="D543" s="119"/>
      <c r="E543" s="121"/>
      <c r="F543" s="122"/>
      <c r="G543" s="123"/>
      <c r="H543" s="123"/>
      <c r="I543" s="124"/>
      <c r="J543" s="125"/>
      <c r="K543" s="119"/>
    </row>
    <row r="544" spans="1:11" ht="15" customHeight="1">
      <c r="A544" s="119"/>
      <c r="B544" s="126"/>
      <c r="C544" s="119"/>
      <c r="D544" s="119"/>
      <c r="E544" s="121"/>
      <c r="F544" s="122"/>
      <c r="G544" s="123"/>
      <c r="H544" s="123"/>
      <c r="I544" s="124"/>
      <c r="J544" s="125"/>
      <c r="K544" s="119"/>
    </row>
    <row r="545" spans="1:11" ht="15" customHeight="1">
      <c r="A545" s="119"/>
      <c r="B545" s="126"/>
      <c r="C545" s="119"/>
      <c r="D545" s="119"/>
      <c r="E545" s="121"/>
      <c r="F545" s="122"/>
      <c r="G545" s="123"/>
      <c r="H545" s="123"/>
      <c r="I545" s="124"/>
      <c r="J545" s="125"/>
      <c r="K545" s="119"/>
    </row>
    <row r="546" spans="1:11" ht="15" customHeight="1">
      <c r="A546" s="119"/>
      <c r="B546" s="126"/>
      <c r="C546" s="119"/>
      <c r="D546" s="119"/>
      <c r="E546" s="121"/>
      <c r="F546" s="122"/>
      <c r="G546" s="123"/>
      <c r="H546" s="123"/>
      <c r="I546" s="124"/>
      <c r="J546" s="125"/>
      <c r="K546" s="119"/>
    </row>
    <row r="547" spans="1:11" ht="15" customHeight="1">
      <c r="A547" s="119"/>
      <c r="B547" s="126"/>
      <c r="C547" s="119"/>
      <c r="D547" s="119"/>
      <c r="E547" s="121"/>
      <c r="F547" s="122"/>
      <c r="G547" s="123"/>
      <c r="H547" s="123"/>
      <c r="I547" s="124"/>
      <c r="J547" s="125"/>
      <c r="K547" s="119"/>
    </row>
    <row r="548" spans="1:11" ht="15" customHeight="1">
      <c r="A548" s="119"/>
      <c r="B548" s="126"/>
      <c r="C548" s="119"/>
      <c r="D548" s="119"/>
      <c r="E548" s="121"/>
      <c r="F548" s="122"/>
      <c r="G548" s="123"/>
      <c r="H548" s="123"/>
      <c r="I548" s="124"/>
      <c r="J548" s="125"/>
      <c r="K548" s="119"/>
    </row>
    <row r="549" spans="1:11" ht="15" customHeight="1">
      <c r="A549" s="119"/>
      <c r="B549" s="126"/>
      <c r="C549" s="119"/>
      <c r="D549" s="119"/>
      <c r="E549" s="121"/>
      <c r="F549" s="122"/>
      <c r="G549" s="123"/>
      <c r="H549" s="123"/>
      <c r="I549" s="124"/>
      <c r="J549" s="125"/>
      <c r="K549" s="119"/>
    </row>
    <row r="550" spans="1:11" ht="15" customHeight="1">
      <c r="A550" s="119"/>
      <c r="B550" s="126"/>
      <c r="C550" s="119"/>
      <c r="D550" s="119"/>
      <c r="E550" s="121"/>
      <c r="F550" s="122"/>
      <c r="G550" s="123"/>
      <c r="H550" s="123"/>
      <c r="I550" s="124"/>
      <c r="J550" s="125"/>
      <c r="K550" s="119"/>
    </row>
    <row r="551" spans="1:11" ht="15" customHeight="1">
      <c r="A551" s="119"/>
      <c r="B551" s="126"/>
      <c r="C551" s="119"/>
      <c r="D551" s="119"/>
      <c r="E551" s="121"/>
      <c r="F551" s="122"/>
      <c r="G551" s="123"/>
      <c r="H551" s="123"/>
      <c r="I551" s="124"/>
      <c r="J551" s="125"/>
      <c r="K551" s="119"/>
    </row>
    <row r="552" spans="1:11" ht="15" customHeight="1">
      <c r="A552" s="119"/>
      <c r="B552" s="126"/>
      <c r="C552" s="119"/>
      <c r="D552" s="119"/>
      <c r="E552" s="121"/>
      <c r="F552" s="122"/>
      <c r="G552" s="123"/>
      <c r="H552" s="123"/>
      <c r="I552" s="124"/>
      <c r="J552" s="125"/>
      <c r="K552" s="119"/>
    </row>
    <row r="553" spans="1:11" ht="15" customHeight="1">
      <c r="A553" s="119"/>
      <c r="B553" s="126"/>
      <c r="C553" s="119"/>
      <c r="D553" s="119"/>
      <c r="E553" s="121"/>
      <c r="F553" s="122"/>
      <c r="G553" s="123"/>
      <c r="H553" s="123"/>
      <c r="I553" s="124"/>
      <c r="J553" s="125"/>
      <c r="K553" s="119"/>
    </row>
    <row r="554" spans="1:11" ht="15" customHeight="1">
      <c r="A554" s="119"/>
      <c r="B554" s="126"/>
      <c r="C554" s="119"/>
      <c r="D554" s="119"/>
      <c r="E554" s="121"/>
      <c r="F554" s="122"/>
      <c r="G554" s="123"/>
      <c r="H554" s="123"/>
      <c r="I554" s="124"/>
      <c r="J554" s="125"/>
      <c r="K554" s="119"/>
    </row>
    <row r="555" spans="1:11" ht="15" customHeight="1">
      <c r="A555" s="119"/>
      <c r="B555" s="126"/>
      <c r="C555" s="119"/>
      <c r="D555" s="119"/>
      <c r="E555" s="121"/>
      <c r="F555" s="122"/>
      <c r="G555" s="123"/>
      <c r="H555" s="123"/>
      <c r="I555" s="124"/>
      <c r="J555" s="125"/>
      <c r="K555" s="119"/>
    </row>
    <row r="556" spans="1:11" ht="15" customHeight="1">
      <c r="A556" s="119"/>
      <c r="B556" s="126"/>
      <c r="C556" s="119"/>
      <c r="D556" s="119"/>
      <c r="E556" s="121"/>
      <c r="F556" s="122"/>
      <c r="G556" s="123"/>
      <c r="H556" s="123"/>
      <c r="I556" s="124"/>
      <c r="J556" s="125"/>
      <c r="K556" s="119"/>
    </row>
    <row r="557" spans="1:11" ht="15" customHeight="1">
      <c r="A557" s="119"/>
      <c r="B557" s="126"/>
      <c r="C557" s="119"/>
      <c r="D557" s="119"/>
      <c r="E557" s="121"/>
      <c r="F557" s="122"/>
      <c r="G557" s="123"/>
      <c r="H557" s="123"/>
      <c r="I557" s="124"/>
      <c r="J557" s="125"/>
      <c r="K557" s="119"/>
    </row>
    <row r="558" spans="1:11" ht="15" customHeight="1">
      <c r="A558" s="119"/>
      <c r="B558" s="126"/>
      <c r="C558" s="119"/>
      <c r="D558" s="119"/>
      <c r="E558" s="121"/>
      <c r="F558" s="122"/>
      <c r="G558" s="123"/>
      <c r="H558" s="123"/>
      <c r="I558" s="124"/>
      <c r="J558" s="125"/>
      <c r="K558" s="119"/>
    </row>
    <row r="559" spans="1:11" ht="15" customHeight="1">
      <c r="A559" s="119"/>
      <c r="B559" s="126"/>
      <c r="C559" s="119"/>
      <c r="D559" s="119"/>
      <c r="E559" s="121"/>
      <c r="F559" s="122"/>
      <c r="G559" s="123"/>
      <c r="H559" s="123"/>
      <c r="I559" s="124"/>
      <c r="J559" s="125"/>
      <c r="K559" s="119"/>
    </row>
    <row r="560" spans="1:11" ht="15" customHeight="1">
      <c r="A560" s="119"/>
      <c r="B560" s="126"/>
      <c r="C560" s="119"/>
      <c r="D560" s="119"/>
      <c r="E560" s="121"/>
      <c r="F560" s="122"/>
      <c r="G560" s="123"/>
      <c r="H560" s="123"/>
      <c r="I560" s="124"/>
      <c r="J560" s="125"/>
      <c r="K560" s="119"/>
    </row>
    <row r="561" spans="1:11" ht="15" customHeight="1">
      <c r="A561" s="119"/>
      <c r="B561" s="126"/>
      <c r="C561" s="119"/>
      <c r="D561" s="119"/>
      <c r="E561" s="121"/>
      <c r="F561" s="122"/>
      <c r="G561" s="123"/>
      <c r="H561" s="123"/>
      <c r="I561" s="124"/>
      <c r="J561" s="125"/>
      <c r="K561" s="119"/>
    </row>
    <row r="562" spans="1:11" ht="15" customHeight="1">
      <c r="A562" s="119"/>
      <c r="B562" s="126"/>
      <c r="C562" s="119"/>
      <c r="D562" s="119"/>
      <c r="E562" s="121"/>
      <c r="F562" s="122"/>
      <c r="G562" s="123"/>
      <c r="H562" s="123"/>
      <c r="I562" s="124"/>
      <c r="J562" s="125"/>
      <c r="K562" s="119"/>
    </row>
    <row r="563" spans="1:11" ht="15" customHeight="1">
      <c r="A563" s="119"/>
      <c r="B563" s="126"/>
      <c r="C563" s="119"/>
      <c r="D563" s="119"/>
      <c r="E563" s="121"/>
      <c r="F563" s="122"/>
      <c r="G563" s="123"/>
      <c r="H563" s="123"/>
      <c r="I563" s="124"/>
      <c r="J563" s="125"/>
      <c r="K563" s="119"/>
    </row>
    <row r="564" spans="1:11" ht="15" customHeight="1">
      <c r="A564" s="119"/>
      <c r="B564" s="126"/>
      <c r="C564" s="119"/>
      <c r="D564" s="119"/>
      <c r="E564" s="121"/>
      <c r="F564" s="122"/>
      <c r="G564" s="123"/>
      <c r="H564" s="123"/>
      <c r="I564" s="124"/>
      <c r="J564" s="125"/>
      <c r="K564" s="119"/>
    </row>
    <row r="565" spans="1:11" ht="15" customHeight="1">
      <c r="A565" s="119"/>
      <c r="B565" s="126"/>
      <c r="C565" s="119"/>
      <c r="D565" s="119"/>
      <c r="E565" s="121"/>
      <c r="F565" s="122"/>
      <c r="G565" s="123"/>
      <c r="H565" s="123"/>
      <c r="I565" s="124"/>
      <c r="J565" s="125"/>
      <c r="K565" s="119"/>
    </row>
    <row r="566" spans="1:11" ht="15" customHeight="1">
      <c r="A566" s="119"/>
      <c r="B566" s="126"/>
      <c r="C566" s="119"/>
      <c r="D566" s="119"/>
      <c r="E566" s="121"/>
      <c r="F566" s="122"/>
      <c r="G566" s="123"/>
      <c r="H566" s="123"/>
      <c r="I566" s="124"/>
      <c r="J566" s="125"/>
      <c r="K566" s="119"/>
    </row>
    <row r="567" spans="1:11" ht="15" customHeight="1">
      <c r="A567" s="119"/>
      <c r="B567" s="126"/>
      <c r="C567" s="119"/>
      <c r="D567" s="119"/>
      <c r="E567" s="121"/>
      <c r="F567" s="122"/>
      <c r="G567" s="123"/>
      <c r="H567" s="123"/>
      <c r="I567" s="124"/>
      <c r="J567" s="125"/>
      <c r="K567" s="119"/>
    </row>
    <row r="568" spans="1:11" ht="15" customHeight="1">
      <c r="A568" s="119"/>
      <c r="B568" s="126"/>
      <c r="C568" s="119"/>
      <c r="D568" s="119"/>
      <c r="E568" s="121"/>
      <c r="F568" s="122"/>
      <c r="G568" s="123"/>
      <c r="H568" s="123"/>
      <c r="I568" s="124"/>
      <c r="J568" s="125"/>
      <c r="K568" s="119"/>
    </row>
    <row r="569" spans="1:11" ht="15" customHeight="1">
      <c r="A569" s="119"/>
      <c r="B569" s="126"/>
      <c r="C569" s="119"/>
      <c r="D569" s="119"/>
      <c r="E569" s="121"/>
      <c r="F569" s="122"/>
      <c r="G569" s="123"/>
      <c r="H569" s="123"/>
      <c r="I569" s="124"/>
      <c r="J569" s="125"/>
      <c r="K569" s="119"/>
    </row>
    <row r="570" spans="1:11" ht="15" customHeight="1">
      <c r="A570" s="119"/>
      <c r="B570" s="126"/>
      <c r="C570" s="119"/>
      <c r="D570" s="119"/>
      <c r="E570" s="121"/>
      <c r="F570" s="122"/>
      <c r="G570" s="123"/>
      <c r="H570" s="123"/>
      <c r="I570" s="124"/>
      <c r="J570" s="125"/>
      <c r="K570" s="119"/>
    </row>
    <row r="571" spans="1:11" ht="15" customHeight="1">
      <c r="A571" s="119"/>
      <c r="B571" s="126"/>
      <c r="C571" s="119"/>
      <c r="D571" s="119"/>
      <c r="E571" s="121"/>
      <c r="F571" s="122"/>
      <c r="G571" s="123"/>
      <c r="H571" s="123"/>
      <c r="I571" s="124"/>
      <c r="J571" s="125"/>
      <c r="K571" s="119"/>
    </row>
    <row r="572" spans="1:11" ht="15" customHeight="1">
      <c r="A572" s="119"/>
      <c r="B572" s="126"/>
      <c r="C572" s="119"/>
      <c r="D572" s="119"/>
      <c r="E572" s="121"/>
      <c r="F572" s="122"/>
      <c r="G572" s="123"/>
      <c r="H572" s="123"/>
      <c r="I572" s="124"/>
      <c r="J572" s="125"/>
      <c r="K572" s="119"/>
    </row>
    <row r="573" spans="1:11" ht="15" customHeight="1">
      <c r="A573" s="119"/>
      <c r="B573" s="126"/>
      <c r="C573" s="119"/>
      <c r="D573" s="119"/>
      <c r="E573" s="121"/>
      <c r="F573" s="122"/>
      <c r="G573" s="123"/>
      <c r="H573" s="123"/>
      <c r="I573" s="124"/>
      <c r="J573" s="125"/>
      <c r="K573" s="119"/>
    </row>
    <row r="574" spans="1:11" ht="15" customHeight="1">
      <c r="A574" s="119"/>
      <c r="B574" s="126"/>
      <c r="C574" s="119"/>
      <c r="D574" s="119"/>
      <c r="E574" s="121"/>
      <c r="F574" s="122"/>
      <c r="G574" s="123"/>
      <c r="H574" s="123"/>
      <c r="I574" s="124"/>
      <c r="J574" s="125"/>
      <c r="K574" s="119"/>
    </row>
    <row r="575" spans="1:11" ht="15" customHeight="1">
      <c r="A575" s="119"/>
      <c r="B575" s="126"/>
      <c r="C575" s="119"/>
      <c r="D575" s="119"/>
      <c r="E575" s="121"/>
      <c r="F575" s="122"/>
      <c r="G575" s="123"/>
      <c r="H575" s="123"/>
      <c r="I575" s="124"/>
      <c r="J575" s="125"/>
      <c r="K575" s="119"/>
    </row>
    <row r="576" spans="1:11" ht="15" customHeight="1">
      <c r="A576" s="119"/>
      <c r="B576" s="126"/>
      <c r="C576" s="119"/>
      <c r="D576" s="119"/>
      <c r="E576" s="121"/>
      <c r="F576" s="122"/>
      <c r="G576" s="123"/>
      <c r="H576" s="123"/>
      <c r="I576" s="124"/>
      <c r="J576" s="125"/>
      <c r="K576" s="119"/>
    </row>
    <row r="577" spans="1:11" ht="15" customHeight="1">
      <c r="A577" s="119"/>
      <c r="B577" s="126"/>
      <c r="C577" s="119"/>
      <c r="D577" s="119"/>
      <c r="E577" s="121"/>
      <c r="F577" s="122"/>
      <c r="G577" s="123"/>
      <c r="H577" s="123"/>
      <c r="I577" s="124"/>
      <c r="J577" s="125"/>
      <c r="K577" s="119"/>
    </row>
    <row r="578" spans="1:11" ht="15" customHeight="1">
      <c r="A578" s="119"/>
      <c r="B578" s="126"/>
      <c r="C578" s="119"/>
      <c r="D578" s="119"/>
      <c r="E578" s="121"/>
      <c r="F578" s="122"/>
      <c r="G578" s="123"/>
      <c r="H578" s="123"/>
      <c r="I578" s="124"/>
      <c r="J578" s="125"/>
      <c r="K578" s="119"/>
    </row>
    <row r="579" spans="1:11" ht="15" customHeight="1">
      <c r="A579" s="119"/>
      <c r="B579" s="126"/>
      <c r="C579" s="119"/>
      <c r="D579" s="119"/>
      <c r="E579" s="121"/>
      <c r="F579" s="122"/>
      <c r="G579" s="123"/>
      <c r="H579" s="123"/>
      <c r="I579" s="124"/>
      <c r="J579" s="125"/>
      <c r="K579" s="119"/>
    </row>
    <row r="580" spans="1:11" ht="15" customHeight="1">
      <c r="A580" s="119"/>
      <c r="B580" s="126"/>
      <c r="C580" s="119"/>
      <c r="D580" s="119"/>
      <c r="E580" s="121"/>
      <c r="F580" s="122"/>
      <c r="G580" s="123"/>
      <c r="H580" s="123"/>
      <c r="I580" s="124"/>
      <c r="J580" s="125"/>
      <c r="K580" s="119"/>
    </row>
    <row r="581" spans="1:11" ht="15" customHeight="1">
      <c r="A581" s="119"/>
      <c r="B581" s="126"/>
      <c r="C581" s="119"/>
      <c r="D581" s="119"/>
      <c r="E581" s="121"/>
      <c r="F581" s="122"/>
      <c r="G581" s="123"/>
      <c r="H581" s="123"/>
      <c r="I581" s="124"/>
      <c r="J581" s="125"/>
      <c r="K581" s="119"/>
    </row>
    <row r="582" spans="1:11" ht="15" customHeight="1">
      <c r="A582" s="119"/>
      <c r="B582" s="126"/>
      <c r="C582" s="119"/>
      <c r="D582" s="119"/>
      <c r="E582" s="121"/>
      <c r="F582" s="122"/>
      <c r="G582" s="123"/>
      <c r="H582" s="123"/>
      <c r="I582" s="124"/>
      <c r="J582" s="125"/>
      <c r="K582" s="119"/>
    </row>
    <row r="583" spans="1:11" ht="15" customHeight="1">
      <c r="A583" s="119"/>
      <c r="B583" s="126"/>
      <c r="C583" s="119"/>
      <c r="D583" s="119"/>
      <c r="E583" s="121"/>
      <c r="F583" s="122"/>
      <c r="G583" s="123"/>
      <c r="H583" s="123"/>
      <c r="I583" s="124"/>
      <c r="J583" s="125"/>
      <c r="K583" s="119"/>
    </row>
    <row r="584" spans="1:11" ht="15" customHeight="1">
      <c r="A584" s="119"/>
      <c r="B584" s="126"/>
      <c r="C584" s="119"/>
      <c r="D584" s="119"/>
      <c r="E584" s="121"/>
      <c r="F584" s="122"/>
      <c r="G584" s="123"/>
      <c r="H584" s="123"/>
      <c r="I584" s="124"/>
      <c r="J584" s="125"/>
      <c r="K584" s="119"/>
    </row>
    <row r="585" spans="1:11" ht="15" customHeight="1">
      <c r="A585" s="119"/>
      <c r="B585" s="126"/>
      <c r="C585" s="119"/>
      <c r="D585" s="119"/>
      <c r="E585" s="121"/>
      <c r="F585" s="122"/>
      <c r="G585" s="123"/>
      <c r="H585" s="123"/>
      <c r="I585" s="124"/>
      <c r="J585" s="125"/>
      <c r="K585" s="119"/>
    </row>
    <row r="586" spans="1:11" ht="15" customHeight="1">
      <c r="A586" s="119"/>
      <c r="B586" s="126"/>
      <c r="C586" s="119"/>
      <c r="D586" s="119"/>
      <c r="E586" s="121"/>
      <c r="F586" s="122"/>
      <c r="G586" s="123"/>
      <c r="H586" s="123"/>
      <c r="I586" s="124"/>
      <c r="J586" s="125"/>
      <c r="K586" s="119"/>
    </row>
    <row r="587" spans="1:11" ht="15" customHeight="1">
      <c r="A587" s="119"/>
      <c r="B587" s="126"/>
      <c r="C587" s="119"/>
      <c r="D587" s="119"/>
      <c r="E587" s="121"/>
      <c r="F587" s="122"/>
      <c r="G587" s="123"/>
      <c r="H587" s="123"/>
      <c r="I587" s="124"/>
      <c r="J587" s="125"/>
      <c r="K587" s="119"/>
    </row>
    <row r="588" spans="1:11" ht="15" customHeight="1">
      <c r="A588" s="119"/>
      <c r="B588" s="126"/>
      <c r="C588" s="119"/>
      <c r="D588" s="119"/>
      <c r="E588" s="121"/>
      <c r="F588" s="122"/>
      <c r="G588" s="123"/>
      <c r="H588" s="123"/>
      <c r="I588" s="124"/>
      <c r="J588" s="125"/>
      <c r="K588" s="119"/>
    </row>
    <row r="589" spans="1:11" ht="15" customHeight="1">
      <c r="A589" s="119"/>
      <c r="B589" s="126"/>
      <c r="C589" s="119"/>
      <c r="D589" s="119"/>
      <c r="E589" s="121"/>
      <c r="F589" s="122"/>
      <c r="G589" s="123"/>
      <c r="H589" s="123"/>
      <c r="I589" s="124"/>
      <c r="J589" s="125"/>
      <c r="K589" s="119"/>
    </row>
    <row r="590" spans="1:11" ht="15" customHeight="1">
      <c r="A590" s="119"/>
      <c r="B590" s="126"/>
      <c r="C590" s="119"/>
      <c r="D590" s="119"/>
      <c r="E590" s="121"/>
      <c r="F590" s="122"/>
      <c r="G590" s="123"/>
      <c r="H590" s="123"/>
      <c r="I590" s="124"/>
      <c r="J590" s="125"/>
      <c r="K590" s="119"/>
    </row>
    <row r="591" spans="1:11" ht="15" customHeight="1">
      <c r="A591" s="119"/>
      <c r="B591" s="126"/>
      <c r="C591" s="119"/>
      <c r="D591" s="119"/>
      <c r="E591" s="121"/>
      <c r="F591" s="122"/>
      <c r="G591" s="123"/>
      <c r="H591" s="123"/>
      <c r="I591" s="124"/>
      <c r="J591" s="125"/>
      <c r="K591" s="119"/>
    </row>
    <row r="592" spans="1:11" ht="15" customHeight="1">
      <c r="A592" s="119"/>
      <c r="B592" s="126"/>
      <c r="C592" s="119"/>
      <c r="D592" s="119"/>
      <c r="E592" s="121"/>
      <c r="F592" s="122"/>
      <c r="G592" s="123"/>
      <c r="H592" s="123"/>
      <c r="I592" s="124"/>
      <c r="J592" s="125"/>
      <c r="K592" s="119"/>
    </row>
    <row r="593" spans="1:11" ht="15" customHeight="1">
      <c r="A593" s="119"/>
      <c r="B593" s="126"/>
      <c r="C593" s="119"/>
      <c r="D593" s="119"/>
      <c r="E593" s="121"/>
      <c r="F593" s="122"/>
      <c r="G593" s="123"/>
      <c r="H593" s="123"/>
      <c r="I593" s="124"/>
      <c r="J593" s="125"/>
      <c r="K593" s="119"/>
    </row>
    <row r="594" spans="1:11" ht="15" customHeight="1">
      <c r="A594" s="119"/>
      <c r="B594" s="126"/>
      <c r="C594" s="119"/>
      <c r="D594" s="119"/>
      <c r="E594" s="121"/>
      <c r="F594" s="122"/>
      <c r="G594" s="123"/>
      <c r="H594" s="123"/>
      <c r="I594" s="124"/>
      <c r="J594" s="125"/>
      <c r="K594" s="119"/>
    </row>
    <row r="595" spans="1:11" ht="15" customHeight="1">
      <c r="A595" s="119"/>
      <c r="B595" s="126"/>
      <c r="C595" s="119"/>
      <c r="D595" s="119"/>
      <c r="E595" s="121"/>
      <c r="F595" s="122"/>
      <c r="G595" s="123"/>
      <c r="H595" s="123"/>
      <c r="I595" s="124"/>
      <c r="J595" s="125"/>
      <c r="K595" s="119"/>
    </row>
    <row r="596" spans="1:11" ht="15" customHeight="1">
      <c r="A596" s="119"/>
      <c r="B596" s="126"/>
      <c r="C596" s="119"/>
      <c r="D596" s="119"/>
      <c r="E596" s="121"/>
      <c r="F596" s="122"/>
      <c r="G596" s="123"/>
      <c r="H596" s="123"/>
      <c r="I596" s="124"/>
      <c r="J596" s="125"/>
      <c r="K596" s="119"/>
    </row>
    <row r="597" spans="1:11" ht="15" customHeight="1">
      <c r="A597" s="119"/>
      <c r="B597" s="126"/>
      <c r="C597" s="119"/>
      <c r="D597" s="119"/>
      <c r="E597" s="121"/>
      <c r="F597" s="122"/>
      <c r="G597" s="123"/>
      <c r="H597" s="123"/>
      <c r="I597" s="124"/>
      <c r="J597" s="125"/>
      <c r="K597" s="119"/>
    </row>
    <row r="598" spans="1:11" ht="15" customHeight="1">
      <c r="A598" s="119"/>
      <c r="B598" s="126"/>
      <c r="C598" s="119"/>
      <c r="D598" s="119"/>
      <c r="E598" s="121"/>
      <c r="F598" s="122"/>
      <c r="G598" s="123"/>
      <c r="H598" s="123"/>
      <c r="I598" s="124"/>
      <c r="J598" s="125"/>
      <c r="K598" s="119"/>
    </row>
    <row r="599" spans="1:11" ht="15" customHeight="1">
      <c r="A599" s="119"/>
      <c r="B599" s="126"/>
      <c r="C599" s="119"/>
      <c r="D599" s="119"/>
      <c r="E599" s="121"/>
      <c r="F599" s="122"/>
      <c r="G599" s="123"/>
      <c r="H599" s="123"/>
      <c r="I599" s="124"/>
      <c r="J599" s="125"/>
      <c r="K599" s="119"/>
    </row>
    <row r="600" spans="1:11" ht="15" customHeight="1">
      <c r="A600" s="119"/>
      <c r="B600" s="126"/>
      <c r="C600" s="119"/>
      <c r="D600" s="119"/>
      <c r="E600" s="121"/>
      <c r="F600" s="122"/>
      <c r="G600" s="123"/>
      <c r="H600" s="123"/>
      <c r="I600" s="124"/>
      <c r="J600" s="125"/>
      <c r="K600" s="119"/>
    </row>
    <row r="601" spans="1:11" ht="15" customHeight="1">
      <c r="A601" s="119"/>
      <c r="B601" s="126"/>
      <c r="C601" s="119"/>
      <c r="D601" s="119"/>
      <c r="E601" s="121"/>
      <c r="F601" s="122"/>
      <c r="G601" s="123"/>
      <c r="H601" s="123"/>
      <c r="I601" s="124"/>
      <c r="J601" s="125"/>
      <c r="K601" s="119"/>
    </row>
    <row r="602" spans="1:11" ht="15" customHeight="1">
      <c r="A602" s="119"/>
      <c r="B602" s="126"/>
      <c r="C602" s="119"/>
      <c r="D602" s="119"/>
      <c r="E602" s="121"/>
      <c r="F602" s="122"/>
      <c r="G602" s="123"/>
      <c r="H602" s="123"/>
      <c r="I602" s="124"/>
      <c r="J602" s="125"/>
      <c r="K602" s="119"/>
    </row>
    <row r="603" spans="1:11" ht="15" customHeight="1">
      <c r="A603" s="119"/>
      <c r="B603" s="126"/>
      <c r="C603" s="119"/>
      <c r="D603" s="119"/>
      <c r="E603" s="121"/>
      <c r="F603" s="122"/>
      <c r="G603" s="123"/>
      <c r="H603" s="123"/>
      <c r="I603" s="124"/>
      <c r="J603" s="125"/>
      <c r="K603" s="119"/>
    </row>
    <row r="604" spans="1:11" ht="15" customHeight="1">
      <c r="A604" s="119"/>
      <c r="B604" s="126"/>
      <c r="C604" s="119"/>
      <c r="D604" s="119"/>
      <c r="E604" s="121"/>
      <c r="F604" s="122"/>
      <c r="G604" s="123"/>
      <c r="H604" s="123"/>
      <c r="I604" s="124"/>
      <c r="J604" s="125"/>
      <c r="K604" s="119"/>
    </row>
    <row r="605" spans="1:11" ht="15" customHeight="1">
      <c r="A605" s="119"/>
      <c r="B605" s="126"/>
      <c r="C605" s="119"/>
      <c r="D605" s="119"/>
      <c r="E605" s="121"/>
      <c r="F605" s="122"/>
      <c r="G605" s="123"/>
      <c r="H605" s="123"/>
      <c r="I605" s="124"/>
      <c r="J605" s="125"/>
      <c r="K605" s="119"/>
    </row>
    <row r="606" spans="1:11" ht="15" customHeight="1">
      <c r="A606" s="119"/>
      <c r="B606" s="126"/>
      <c r="C606" s="119"/>
      <c r="D606" s="119"/>
      <c r="E606" s="121"/>
      <c r="F606" s="122"/>
      <c r="G606" s="123"/>
      <c r="H606" s="123"/>
      <c r="I606" s="124"/>
      <c r="J606" s="125"/>
      <c r="K606" s="119"/>
    </row>
    <row r="607" spans="1:11" ht="15" customHeight="1">
      <c r="A607" s="119"/>
      <c r="B607" s="126"/>
      <c r="C607" s="119"/>
      <c r="D607" s="119"/>
      <c r="E607" s="121"/>
      <c r="F607" s="122"/>
      <c r="G607" s="123"/>
      <c r="H607" s="123"/>
      <c r="I607" s="124"/>
      <c r="J607" s="125"/>
      <c r="K607" s="119"/>
    </row>
    <row r="608" spans="1:11" ht="15" customHeight="1">
      <c r="A608" s="119"/>
      <c r="B608" s="126"/>
      <c r="C608" s="119"/>
      <c r="D608" s="119"/>
      <c r="E608" s="121"/>
      <c r="F608" s="122"/>
      <c r="G608" s="123"/>
      <c r="H608" s="123"/>
      <c r="I608" s="124"/>
      <c r="J608" s="125"/>
      <c r="K608" s="119"/>
    </row>
    <row r="609" spans="1:11" ht="15" customHeight="1">
      <c r="A609" s="119"/>
      <c r="B609" s="126"/>
      <c r="C609" s="119"/>
      <c r="D609" s="119"/>
      <c r="E609" s="121"/>
      <c r="F609" s="122"/>
      <c r="G609" s="123"/>
      <c r="H609" s="123"/>
      <c r="I609" s="124"/>
      <c r="J609" s="125"/>
      <c r="K609" s="119"/>
    </row>
    <row r="610" spans="1:11" ht="15" customHeight="1">
      <c r="A610" s="119"/>
      <c r="B610" s="126"/>
      <c r="C610" s="119"/>
      <c r="D610" s="119"/>
      <c r="E610" s="121"/>
      <c r="F610" s="122"/>
      <c r="G610" s="123"/>
      <c r="H610" s="123"/>
      <c r="I610" s="124"/>
      <c r="J610" s="125"/>
      <c r="K610" s="119"/>
    </row>
    <row r="611" spans="1:11" ht="15" customHeight="1">
      <c r="A611" s="119"/>
      <c r="B611" s="126"/>
      <c r="C611" s="119"/>
      <c r="D611" s="119"/>
      <c r="E611" s="121"/>
      <c r="F611" s="122"/>
      <c r="G611" s="123"/>
      <c r="H611" s="123"/>
      <c r="I611" s="124"/>
      <c r="J611" s="125"/>
      <c r="K611" s="119"/>
    </row>
    <row r="612" spans="1:11" ht="15" customHeight="1">
      <c r="A612" s="119"/>
      <c r="B612" s="126"/>
      <c r="C612" s="119"/>
      <c r="D612" s="119"/>
      <c r="E612" s="121"/>
      <c r="F612" s="122"/>
      <c r="G612" s="123"/>
      <c r="H612" s="123"/>
      <c r="I612" s="124"/>
      <c r="J612" s="125"/>
      <c r="K612" s="119"/>
    </row>
    <row r="613" spans="1:11" ht="15" customHeight="1">
      <c r="A613" s="119"/>
      <c r="B613" s="126"/>
      <c r="C613" s="119"/>
      <c r="D613" s="119"/>
      <c r="E613" s="121"/>
      <c r="F613" s="122"/>
      <c r="G613" s="123"/>
      <c r="H613" s="123"/>
      <c r="I613" s="124"/>
      <c r="J613" s="125"/>
      <c r="K613" s="119"/>
    </row>
    <row r="614" spans="1:11" ht="15" customHeight="1">
      <c r="A614" s="119"/>
      <c r="B614" s="126"/>
      <c r="C614" s="119"/>
      <c r="D614" s="119"/>
      <c r="E614" s="121"/>
      <c r="F614" s="122"/>
      <c r="G614" s="123"/>
      <c r="H614" s="123"/>
      <c r="I614" s="124"/>
      <c r="J614" s="125"/>
      <c r="K614" s="119"/>
    </row>
    <row r="615" spans="1:11" ht="15" customHeight="1">
      <c r="A615" s="119"/>
      <c r="B615" s="126"/>
      <c r="C615" s="119"/>
      <c r="D615" s="119"/>
      <c r="E615" s="121"/>
      <c r="F615" s="122"/>
      <c r="G615" s="123"/>
      <c r="H615" s="123"/>
      <c r="I615" s="124"/>
      <c r="J615" s="125"/>
      <c r="K615" s="119"/>
    </row>
    <row r="616" spans="1:11" ht="15" customHeight="1">
      <c r="A616" s="119"/>
      <c r="B616" s="126"/>
      <c r="C616" s="119"/>
      <c r="D616" s="119"/>
      <c r="E616" s="121"/>
      <c r="F616" s="122"/>
      <c r="G616" s="123"/>
      <c r="H616" s="123"/>
      <c r="I616" s="124"/>
      <c r="J616" s="125"/>
      <c r="K616" s="119"/>
    </row>
    <row r="617" spans="1:11" ht="15" customHeight="1">
      <c r="A617" s="119"/>
      <c r="B617" s="126"/>
      <c r="C617" s="119"/>
      <c r="D617" s="119"/>
      <c r="E617" s="121"/>
      <c r="F617" s="122"/>
      <c r="G617" s="123"/>
      <c r="H617" s="123"/>
      <c r="I617" s="124"/>
      <c r="J617" s="125"/>
      <c r="K617" s="119"/>
    </row>
    <row r="618" spans="1:11" ht="15" customHeight="1">
      <c r="A618" s="119"/>
      <c r="B618" s="126"/>
      <c r="C618" s="119"/>
      <c r="D618" s="119"/>
      <c r="E618" s="121"/>
      <c r="F618" s="122"/>
      <c r="G618" s="123"/>
      <c r="H618" s="123"/>
      <c r="I618" s="124"/>
      <c r="J618" s="125"/>
      <c r="K618" s="119"/>
    </row>
    <row r="619" spans="1:11" ht="15" customHeight="1">
      <c r="A619" s="119"/>
      <c r="B619" s="126"/>
      <c r="C619" s="119"/>
      <c r="D619" s="119"/>
      <c r="E619" s="121"/>
      <c r="F619" s="122"/>
      <c r="G619" s="123"/>
      <c r="H619" s="123"/>
      <c r="I619" s="124"/>
      <c r="J619" s="125"/>
      <c r="K619" s="119"/>
    </row>
    <row r="620" spans="1:11" ht="15" customHeight="1">
      <c r="A620" s="119"/>
      <c r="B620" s="126"/>
      <c r="C620" s="119"/>
      <c r="D620" s="119"/>
      <c r="E620" s="121"/>
      <c r="F620" s="122"/>
      <c r="G620" s="123"/>
      <c r="H620" s="123"/>
      <c r="I620" s="124"/>
      <c r="J620" s="125"/>
      <c r="K620" s="119"/>
    </row>
    <row r="621" spans="1:11" ht="15" customHeight="1">
      <c r="A621" s="119"/>
      <c r="B621" s="126"/>
      <c r="C621" s="119"/>
      <c r="D621" s="119"/>
      <c r="E621" s="121"/>
      <c r="F621" s="122"/>
      <c r="G621" s="123"/>
      <c r="H621" s="123"/>
      <c r="I621" s="124"/>
      <c r="J621" s="125"/>
      <c r="K621" s="119"/>
    </row>
    <row r="622" spans="1:11" ht="15" customHeight="1">
      <c r="A622" s="119"/>
      <c r="B622" s="126"/>
      <c r="C622" s="119"/>
      <c r="D622" s="119"/>
      <c r="E622" s="121"/>
      <c r="F622" s="122"/>
      <c r="G622" s="123"/>
      <c r="H622" s="123"/>
      <c r="I622" s="124"/>
      <c r="J622" s="125"/>
      <c r="K622" s="119"/>
    </row>
    <row r="623" spans="1:11" ht="15" customHeight="1">
      <c r="A623" s="119"/>
      <c r="B623" s="126"/>
      <c r="C623" s="119"/>
      <c r="D623" s="119"/>
      <c r="E623" s="121"/>
      <c r="F623" s="122"/>
      <c r="G623" s="123"/>
      <c r="H623" s="123"/>
      <c r="I623" s="124"/>
      <c r="J623" s="125"/>
      <c r="K623" s="119"/>
    </row>
    <row r="624" spans="1:11" ht="15" customHeight="1">
      <c r="A624" s="119"/>
      <c r="B624" s="126"/>
      <c r="C624" s="119"/>
      <c r="D624" s="119"/>
      <c r="E624" s="121"/>
      <c r="F624" s="122"/>
      <c r="G624" s="123"/>
      <c r="H624" s="123"/>
      <c r="I624" s="124"/>
      <c r="J624" s="125"/>
      <c r="K624" s="119"/>
    </row>
    <row r="625" spans="1:11" ht="15" customHeight="1">
      <c r="A625" s="119"/>
      <c r="B625" s="126"/>
      <c r="C625" s="119"/>
      <c r="D625" s="119"/>
      <c r="E625" s="121"/>
      <c r="F625" s="122"/>
      <c r="G625" s="123"/>
      <c r="H625" s="123"/>
      <c r="I625" s="124"/>
      <c r="J625" s="125"/>
      <c r="K625" s="119"/>
    </row>
    <row r="626" spans="1:11" ht="15" customHeight="1">
      <c r="A626" s="119"/>
      <c r="B626" s="126"/>
      <c r="C626" s="119"/>
      <c r="D626" s="119"/>
      <c r="E626" s="121"/>
      <c r="F626" s="122"/>
      <c r="G626" s="123"/>
      <c r="H626" s="123"/>
      <c r="I626" s="124"/>
      <c r="J626" s="125"/>
      <c r="K626" s="119"/>
    </row>
    <row r="627" spans="1:11" ht="15" customHeight="1">
      <c r="A627" s="119"/>
      <c r="B627" s="126"/>
      <c r="C627" s="119"/>
      <c r="D627" s="119"/>
      <c r="E627" s="121"/>
      <c r="F627" s="122"/>
      <c r="G627" s="123"/>
      <c r="H627" s="123"/>
      <c r="I627" s="124"/>
      <c r="J627" s="125"/>
      <c r="K627" s="119"/>
    </row>
    <row r="628" spans="1:11" ht="15" customHeight="1">
      <c r="A628" s="119"/>
      <c r="B628" s="126"/>
      <c r="C628" s="119"/>
      <c r="D628" s="119"/>
      <c r="E628" s="121"/>
      <c r="F628" s="122"/>
      <c r="G628" s="123"/>
      <c r="H628" s="123"/>
      <c r="I628" s="124"/>
      <c r="J628" s="125"/>
      <c r="K628" s="119"/>
    </row>
    <row r="629" spans="1:11" ht="15" customHeight="1">
      <c r="A629" s="119"/>
      <c r="B629" s="126"/>
      <c r="C629" s="119"/>
      <c r="D629" s="119"/>
      <c r="E629" s="121"/>
      <c r="F629" s="122"/>
      <c r="G629" s="123"/>
      <c r="H629" s="123"/>
      <c r="I629" s="124"/>
      <c r="J629" s="125"/>
      <c r="K629" s="119"/>
    </row>
    <row r="630" spans="1:11" ht="15" customHeight="1">
      <c r="A630" s="119"/>
      <c r="B630" s="126"/>
      <c r="C630" s="119"/>
      <c r="D630" s="119"/>
      <c r="E630" s="121"/>
      <c r="F630" s="122"/>
      <c r="G630" s="123"/>
      <c r="H630" s="123"/>
      <c r="I630" s="124"/>
      <c r="J630" s="125"/>
      <c r="K630" s="119"/>
    </row>
    <row r="631" spans="1:11" ht="15" customHeight="1">
      <c r="A631" s="119"/>
      <c r="B631" s="126"/>
      <c r="C631" s="119"/>
      <c r="D631" s="119"/>
      <c r="E631" s="121"/>
      <c r="F631" s="122"/>
      <c r="G631" s="123"/>
      <c r="H631" s="123"/>
      <c r="I631" s="124"/>
      <c r="J631" s="125"/>
      <c r="K631" s="119"/>
    </row>
    <row r="632" spans="1:11" ht="15" customHeight="1">
      <c r="A632" s="119"/>
      <c r="B632" s="126"/>
      <c r="C632" s="119"/>
      <c r="D632" s="119"/>
      <c r="E632" s="121"/>
      <c r="F632" s="122"/>
      <c r="G632" s="123"/>
      <c r="H632" s="123"/>
      <c r="I632" s="124"/>
      <c r="J632" s="125"/>
      <c r="K632" s="119"/>
    </row>
    <row r="633" spans="1:11" ht="15" customHeight="1">
      <c r="A633" s="119"/>
      <c r="B633" s="126"/>
      <c r="C633" s="119"/>
      <c r="D633" s="119"/>
      <c r="E633" s="121"/>
      <c r="F633" s="122"/>
      <c r="G633" s="123"/>
      <c r="H633" s="123"/>
      <c r="I633" s="124"/>
      <c r="J633" s="125"/>
      <c r="K633" s="119"/>
    </row>
    <row r="634" spans="1:11" ht="15" customHeight="1">
      <c r="A634" s="119"/>
      <c r="B634" s="126"/>
      <c r="C634" s="119"/>
      <c r="D634" s="119"/>
      <c r="E634" s="121"/>
      <c r="F634" s="122"/>
      <c r="G634" s="123"/>
      <c r="H634" s="123"/>
      <c r="I634" s="124"/>
      <c r="J634" s="125"/>
      <c r="K634" s="119"/>
    </row>
    <row r="635" spans="1:11" ht="15" customHeight="1">
      <c r="A635" s="119"/>
      <c r="B635" s="126"/>
      <c r="C635" s="119"/>
      <c r="D635" s="119"/>
      <c r="E635" s="121"/>
      <c r="F635" s="122"/>
      <c r="G635" s="123"/>
      <c r="H635" s="123"/>
      <c r="I635" s="124"/>
      <c r="J635" s="125"/>
      <c r="K635" s="119"/>
    </row>
    <row r="636" spans="1:11" ht="15" customHeight="1">
      <c r="A636" s="119"/>
      <c r="B636" s="126"/>
      <c r="C636" s="119"/>
      <c r="D636" s="119"/>
      <c r="E636" s="121"/>
      <c r="F636" s="122"/>
      <c r="G636" s="123"/>
      <c r="H636" s="123"/>
      <c r="I636" s="124"/>
      <c r="J636" s="125"/>
      <c r="K636" s="119"/>
    </row>
    <row r="637" spans="1:11" ht="15" customHeight="1">
      <c r="A637" s="119"/>
      <c r="B637" s="126"/>
      <c r="C637" s="119"/>
      <c r="D637" s="119"/>
      <c r="E637" s="121"/>
      <c r="F637" s="122"/>
      <c r="G637" s="123"/>
      <c r="H637" s="123"/>
      <c r="I637" s="124"/>
      <c r="J637" s="125"/>
      <c r="K637" s="119"/>
    </row>
    <row r="638" spans="1:11" ht="15" customHeight="1">
      <c r="A638" s="119"/>
      <c r="B638" s="126"/>
      <c r="C638" s="119"/>
      <c r="D638" s="119"/>
      <c r="E638" s="121"/>
      <c r="F638" s="122"/>
      <c r="G638" s="123"/>
      <c r="H638" s="123"/>
      <c r="I638" s="124"/>
      <c r="J638" s="125"/>
      <c r="K638" s="119"/>
    </row>
    <row r="639" spans="1:11" ht="15" customHeight="1">
      <c r="A639" s="119"/>
      <c r="B639" s="126"/>
      <c r="C639" s="119"/>
      <c r="D639" s="119"/>
      <c r="E639" s="121"/>
      <c r="F639" s="122"/>
      <c r="G639" s="123"/>
      <c r="H639" s="123"/>
      <c r="I639" s="124"/>
      <c r="J639" s="125"/>
      <c r="K639" s="119"/>
    </row>
    <row r="640" spans="1:11" ht="15" customHeight="1">
      <c r="A640" s="119"/>
      <c r="B640" s="126"/>
      <c r="C640" s="119"/>
      <c r="D640" s="119"/>
      <c r="E640" s="121"/>
      <c r="F640" s="122"/>
      <c r="G640" s="123"/>
      <c r="H640" s="123"/>
      <c r="I640" s="124"/>
      <c r="J640" s="125"/>
      <c r="K640" s="119"/>
    </row>
    <row r="641" spans="1:11" ht="15" customHeight="1">
      <c r="A641" s="119"/>
      <c r="B641" s="126"/>
      <c r="C641" s="119"/>
      <c r="D641" s="119"/>
      <c r="E641" s="121"/>
      <c r="F641" s="122"/>
      <c r="G641" s="123"/>
      <c r="H641" s="123"/>
      <c r="I641" s="124"/>
      <c r="J641" s="125"/>
      <c r="K641" s="119"/>
    </row>
    <row r="642" spans="1:11" ht="15" customHeight="1">
      <c r="A642" s="119"/>
      <c r="B642" s="126"/>
      <c r="C642" s="119"/>
      <c r="D642" s="119"/>
      <c r="E642" s="121"/>
      <c r="F642" s="122"/>
      <c r="G642" s="123"/>
      <c r="H642" s="123"/>
      <c r="I642" s="124"/>
      <c r="J642" s="125"/>
      <c r="K642" s="119"/>
    </row>
    <row r="643" spans="1:11" ht="15" customHeight="1">
      <c r="A643" s="119"/>
      <c r="B643" s="126"/>
      <c r="C643" s="119"/>
      <c r="D643" s="119"/>
      <c r="E643" s="121"/>
      <c r="F643" s="122"/>
      <c r="G643" s="123"/>
      <c r="H643" s="123"/>
      <c r="I643" s="124"/>
      <c r="J643" s="125"/>
      <c r="K643" s="119"/>
    </row>
    <row r="644" spans="1:11" ht="15" customHeight="1">
      <c r="A644" s="119"/>
      <c r="B644" s="126"/>
      <c r="C644" s="119"/>
      <c r="D644" s="119"/>
      <c r="E644" s="121"/>
      <c r="F644" s="122"/>
      <c r="G644" s="123"/>
      <c r="H644" s="123"/>
      <c r="I644" s="124"/>
      <c r="J644" s="125"/>
      <c r="K644" s="119"/>
    </row>
    <row r="645" spans="1:11" ht="15" customHeight="1">
      <c r="A645" s="119"/>
      <c r="B645" s="126"/>
      <c r="C645" s="119"/>
      <c r="D645" s="119"/>
      <c r="E645" s="121"/>
      <c r="F645" s="122"/>
      <c r="G645" s="123"/>
      <c r="H645" s="123"/>
      <c r="I645" s="124"/>
      <c r="J645" s="125"/>
      <c r="K645" s="119"/>
    </row>
    <row r="646" spans="1:11" ht="15" customHeight="1">
      <c r="A646" s="119"/>
      <c r="B646" s="126"/>
      <c r="C646" s="119"/>
      <c r="D646" s="119"/>
      <c r="E646" s="121"/>
      <c r="F646" s="122"/>
      <c r="G646" s="123"/>
      <c r="H646" s="123"/>
      <c r="I646" s="124"/>
      <c r="J646" s="125"/>
      <c r="K646" s="119"/>
    </row>
    <row r="647" spans="1:11" ht="15" customHeight="1">
      <c r="A647" s="119"/>
      <c r="B647" s="126"/>
      <c r="C647" s="119"/>
      <c r="D647" s="119"/>
      <c r="E647" s="121"/>
      <c r="F647" s="122"/>
      <c r="G647" s="123"/>
      <c r="H647" s="123"/>
      <c r="I647" s="124"/>
      <c r="J647" s="125"/>
      <c r="K647" s="119"/>
    </row>
    <row r="648" spans="1:11" ht="15" customHeight="1">
      <c r="A648" s="119"/>
      <c r="B648" s="126"/>
      <c r="C648" s="119"/>
      <c r="D648" s="119"/>
      <c r="E648" s="121"/>
      <c r="F648" s="122"/>
      <c r="G648" s="123"/>
      <c r="H648" s="123"/>
      <c r="I648" s="124"/>
      <c r="J648" s="125"/>
      <c r="K648" s="119"/>
    </row>
    <row r="649" spans="1:11" ht="15" customHeight="1">
      <c r="A649" s="119"/>
      <c r="B649" s="126"/>
      <c r="C649" s="119"/>
      <c r="D649" s="119"/>
      <c r="E649" s="121"/>
      <c r="F649" s="122"/>
      <c r="G649" s="123"/>
      <c r="H649" s="123"/>
      <c r="I649" s="124"/>
      <c r="J649" s="125"/>
      <c r="K649" s="119"/>
    </row>
    <row r="650" spans="1:11" ht="15" customHeight="1">
      <c r="A650" s="119"/>
      <c r="B650" s="126"/>
      <c r="C650" s="119"/>
      <c r="D650" s="119"/>
      <c r="E650" s="121"/>
      <c r="F650" s="122"/>
      <c r="G650" s="123"/>
      <c r="H650" s="123"/>
      <c r="I650" s="124"/>
      <c r="J650" s="125"/>
      <c r="K650" s="119"/>
    </row>
    <row r="651" spans="1:11" ht="15" customHeight="1">
      <c r="A651" s="119"/>
      <c r="B651" s="126"/>
      <c r="C651" s="119"/>
      <c r="D651" s="119"/>
      <c r="E651" s="121"/>
      <c r="F651" s="122"/>
      <c r="G651" s="123"/>
      <c r="H651" s="123"/>
      <c r="I651" s="124"/>
      <c r="J651" s="125"/>
      <c r="K651" s="119"/>
    </row>
    <row r="652" spans="1:11" ht="15" customHeight="1">
      <c r="A652" s="119"/>
      <c r="B652" s="126"/>
      <c r="C652" s="119"/>
      <c r="D652" s="119"/>
      <c r="E652" s="121"/>
      <c r="F652" s="122"/>
      <c r="G652" s="123"/>
      <c r="H652" s="123"/>
      <c r="I652" s="124"/>
      <c r="J652" s="125"/>
      <c r="K652" s="119"/>
    </row>
    <row r="653" spans="1:11" ht="15" customHeight="1">
      <c r="A653" s="119"/>
      <c r="B653" s="126"/>
      <c r="C653" s="119"/>
      <c r="D653" s="119"/>
      <c r="E653" s="121"/>
      <c r="F653" s="122"/>
      <c r="G653" s="123"/>
      <c r="H653" s="123"/>
      <c r="I653" s="124"/>
      <c r="J653" s="125"/>
      <c r="K653" s="119"/>
    </row>
    <row r="654" spans="1:11" ht="15" customHeight="1">
      <c r="A654" s="119"/>
      <c r="B654" s="126"/>
      <c r="C654" s="119"/>
      <c r="D654" s="119"/>
      <c r="E654" s="121"/>
      <c r="F654" s="122"/>
      <c r="G654" s="123"/>
      <c r="H654" s="123"/>
      <c r="I654" s="124"/>
      <c r="J654" s="125"/>
      <c r="K654" s="119"/>
    </row>
    <row r="655" spans="1:11" ht="15" customHeight="1">
      <c r="A655" s="119"/>
      <c r="B655" s="126"/>
      <c r="C655" s="119"/>
      <c r="D655" s="119"/>
      <c r="E655" s="121"/>
      <c r="F655" s="122"/>
      <c r="G655" s="123"/>
      <c r="H655" s="123"/>
      <c r="I655" s="124"/>
      <c r="J655" s="125"/>
      <c r="K655" s="119"/>
    </row>
    <row r="656" spans="1:11" ht="15" customHeight="1">
      <c r="A656" s="119"/>
      <c r="B656" s="126"/>
      <c r="C656" s="119"/>
      <c r="D656" s="119"/>
      <c r="E656" s="121"/>
      <c r="F656" s="122"/>
      <c r="G656" s="123"/>
      <c r="H656" s="123"/>
      <c r="I656" s="124"/>
      <c r="J656" s="125"/>
      <c r="K656" s="119"/>
    </row>
    <row r="657" spans="1:11" ht="15" customHeight="1">
      <c r="A657" s="119"/>
      <c r="B657" s="126"/>
      <c r="C657" s="119"/>
      <c r="D657" s="119"/>
      <c r="E657" s="121"/>
      <c r="F657" s="122"/>
      <c r="G657" s="123"/>
      <c r="H657" s="123"/>
      <c r="I657" s="124"/>
      <c r="J657" s="125"/>
      <c r="K657" s="119"/>
    </row>
    <row r="658" spans="1:11" ht="15" customHeight="1">
      <c r="A658" s="119"/>
      <c r="B658" s="126"/>
      <c r="C658" s="119"/>
      <c r="D658" s="119"/>
      <c r="E658" s="121"/>
      <c r="F658" s="122"/>
      <c r="G658" s="123"/>
      <c r="H658" s="123"/>
      <c r="I658" s="124"/>
      <c r="J658" s="125"/>
      <c r="K658" s="119"/>
    </row>
    <row r="659" spans="1:11" ht="15" customHeight="1">
      <c r="A659" s="119"/>
      <c r="B659" s="126"/>
      <c r="C659" s="119"/>
      <c r="D659" s="119"/>
      <c r="E659" s="121"/>
      <c r="F659" s="122"/>
      <c r="G659" s="123"/>
      <c r="H659" s="123"/>
      <c r="I659" s="124"/>
      <c r="J659" s="125"/>
      <c r="K659" s="119"/>
    </row>
    <row r="660" spans="1:11" ht="15" customHeight="1">
      <c r="A660" s="119"/>
      <c r="B660" s="126"/>
      <c r="C660" s="119"/>
      <c r="D660" s="119"/>
      <c r="E660" s="121"/>
      <c r="F660" s="122"/>
      <c r="G660" s="123"/>
      <c r="H660" s="123"/>
      <c r="I660" s="124"/>
      <c r="J660" s="125"/>
      <c r="K660" s="119"/>
    </row>
    <row r="661" spans="1:11" ht="15" customHeight="1">
      <c r="A661" s="119"/>
      <c r="B661" s="126"/>
      <c r="C661" s="119"/>
      <c r="D661" s="119"/>
      <c r="E661" s="121"/>
      <c r="F661" s="122"/>
      <c r="G661" s="123"/>
      <c r="H661" s="123"/>
      <c r="I661" s="124"/>
      <c r="J661" s="125"/>
      <c r="K661" s="119"/>
    </row>
    <row r="662" spans="1:11" ht="15" customHeight="1">
      <c r="A662" s="119"/>
      <c r="B662" s="126"/>
      <c r="C662" s="119"/>
      <c r="D662" s="119"/>
      <c r="E662" s="121"/>
      <c r="F662" s="122"/>
      <c r="G662" s="123"/>
      <c r="H662" s="123"/>
      <c r="I662" s="124"/>
      <c r="J662" s="125"/>
      <c r="K662" s="119"/>
    </row>
    <row r="663" spans="1:11" ht="15" customHeight="1">
      <c r="A663" s="119"/>
      <c r="B663" s="126"/>
      <c r="C663" s="119"/>
      <c r="D663" s="119"/>
      <c r="E663" s="121"/>
      <c r="F663" s="122"/>
      <c r="G663" s="123"/>
      <c r="H663" s="123"/>
      <c r="I663" s="124"/>
      <c r="J663" s="125"/>
      <c r="K663" s="119"/>
    </row>
    <row r="664" spans="1:11" ht="15" customHeight="1">
      <c r="A664" s="119"/>
      <c r="B664" s="126"/>
      <c r="C664" s="119"/>
      <c r="D664" s="119"/>
      <c r="E664" s="121"/>
      <c r="F664" s="122"/>
      <c r="G664" s="123"/>
      <c r="H664" s="123"/>
      <c r="I664" s="124"/>
      <c r="J664" s="125"/>
      <c r="K664" s="119"/>
    </row>
    <row r="665" spans="1:11" ht="15" customHeight="1">
      <c r="A665" s="119"/>
      <c r="B665" s="126"/>
      <c r="C665" s="119"/>
      <c r="D665" s="119"/>
      <c r="E665" s="121"/>
      <c r="F665" s="122"/>
      <c r="G665" s="123"/>
      <c r="H665" s="123"/>
      <c r="I665" s="124"/>
      <c r="J665" s="125"/>
      <c r="K665" s="119"/>
    </row>
    <row r="666" spans="1:11" ht="15" customHeight="1">
      <c r="A666" s="119"/>
      <c r="B666" s="126"/>
      <c r="C666" s="119"/>
      <c r="D666" s="119"/>
      <c r="E666" s="121"/>
      <c r="F666" s="122"/>
      <c r="G666" s="123"/>
      <c r="H666" s="123"/>
      <c r="I666" s="124"/>
      <c r="J666" s="125"/>
      <c r="K666" s="119"/>
    </row>
    <row r="667" spans="1:11" ht="15" customHeight="1">
      <c r="A667" s="119"/>
      <c r="B667" s="126"/>
      <c r="C667" s="119"/>
      <c r="D667" s="119"/>
      <c r="E667" s="121"/>
      <c r="F667" s="122"/>
      <c r="G667" s="123"/>
      <c r="H667" s="123"/>
      <c r="I667" s="124"/>
      <c r="J667" s="125"/>
      <c r="K667" s="119"/>
    </row>
    <row r="668" spans="1:11" ht="15" customHeight="1">
      <c r="A668" s="119"/>
      <c r="B668" s="126"/>
      <c r="C668" s="119"/>
      <c r="D668" s="119"/>
      <c r="E668" s="121"/>
      <c r="F668" s="122"/>
      <c r="G668" s="123"/>
      <c r="H668" s="123"/>
      <c r="I668" s="124"/>
      <c r="J668" s="125"/>
      <c r="K668" s="119"/>
    </row>
    <row r="669" spans="1:11" ht="15" customHeight="1">
      <c r="A669" s="119"/>
      <c r="B669" s="126"/>
      <c r="C669" s="119"/>
      <c r="D669" s="119"/>
      <c r="E669" s="121"/>
      <c r="F669" s="122"/>
      <c r="G669" s="123"/>
      <c r="H669" s="123"/>
      <c r="I669" s="124"/>
      <c r="J669" s="125"/>
      <c r="K669" s="119"/>
    </row>
    <row r="670" spans="1:11" ht="15" customHeight="1">
      <c r="A670" s="119"/>
      <c r="B670" s="126"/>
      <c r="C670" s="119"/>
      <c r="D670" s="119"/>
      <c r="E670" s="121"/>
      <c r="F670" s="122"/>
      <c r="G670" s="123"/>
      <c r="H670" s="123"/>
      <c r="I670" s="124"/>
      <c r="J670" s="125"/>
      <c r="K670" s="119"/>
    </row>
    <row r="671" spans="1:11" ht="15" customHeight="1">
      <c r="A671" s="119"/>
      <c r="B671" s="126"/>
      <c r="C671" s="119"/>
      <c r="D671" s="119"/>
      <c r="E671" s="121"/>
      <c r="F671" s="122"/>
      <c r="G671" s="123"/>
      <c r="H671" s="123"/>
      <c r="I671" s="124"/>
      <c r="J671" s="125"/>
      <c r="K671" s="119"/>
    </row>
    <row r="672" spans="1:11" ht="15" customHeight="1">
      <c r="A672" s="119"/>
      <c r="B672" s="126"/>
      <c r="C672" s="119"/>
      <c r="D672" s="119"/>
      <c r="E672" s="121"/>
      <c r="F672" s="122"/>
      <c r="G672" s="123"/>
      <c r="H672" s="123"/>
      <c r="I672" s="124"/>
      <c r="J672" s="125"/>
      <c r="K672" s="119"/>
    </row>
    <row r="673" spans="1:11" ht="15" customHeight="1">
      <c r="A673" s="119"/>
      <c r="B673" s="126"/>
      <c r="C673" s="119"/>
      <c r="D673" s="119"/>
      <c r="E673" s="121"/>
      <c r="F673" s="122"/>
      <c r="G673" s="123"/>
      <c r="H673" s="123"/>
      <c r="I673" s="124"/>
      <c r="J673" s="125"/>
      <c r="K673" s="119"/>
    </row>
    <row r="674" spans="1:11" ht="15" customHeight="1">
      <c r="A674" s="119"/>
      <c r="B674" s="126"/>
      <c r="C674" s="119"/>
      <c r="D674" s="119"/>
      <c r="E674" s="121"/>
      <c r="F674" s="122"/>
      <c r="G674" s="123"/>
      <c r="H674" s="123"/>
      <c r="I674" s="124"/>
      <c r="J674" s="125"/>
      <c r="K674" s="119"/>
    </row>
    <row r="675" spans="1:11" ht="15" customHeight="1">
      <c r="A675" s="119"/>
      <c r="B675" s="126"/>
      <c r="C675" s="119"/>
      <c r="D675" s="119"/>
      <c r="E675" s="121"/>
      <c r="F675" s="122"/>
      <c r="G675" s="123"/>
      <c r="H675" s="123"/>
      <c r="I675" s="124"/>
      <c r="J675" s="125"/>
      <c r="K675" s="119"/>
    </row>
    <row r="676" spans="1:11" ht="15" customHeight="1">
      <c r="A676" s="119"/>
      <c r="B676" s="126"/>
      <c r="C676" s="119"/>
      <c r="D676" s="119"/>
      <c r="E676" s="121"/>
      <c r="F676" s="122"/>
      <c r="G676" s="123"/>
      <c r="H676" s="123"/>
      <c r="I676" s="124"/>
      <c r="J676" s="125"/>
      <c r="K676" s="119"/>
    </row>
    <row r="677" spans="1:11" ht="15" customHeight="1">
      <c r="A677" s="119"/>
      <c r="B677" s="126"/>
      <c r="C677" s="119"/>
      <c r="D677" s="119"/>
      <c r="E677" s="121"/>
      <c r="F677" s="122"/>
      <c r="G677" s="123"/>
      <c r="H677" s="123"/>
      <c r="I677" s="124"/>
      <c r="J677" s="125"/>
      <c r="K677" s="119"/>
    </row>
    <row r="678" spans="1:11" ht="15" customHeight="1">
      <c r="A678" s="119"/>
      <c r="B678" s="126"/>
      <c r="C678" s="119"/>
      <c r="D678" s="119"/>
      <c r="E678" s="121"/>
      <c r="F678" s="122"/>
      <c r="G678" s="123"/>
      <c r="H678" s="123"/>
      <c r="I678" s="124"/>
      <c r="J678" s="125"/>
      <c r="K678" s="119"/>
    </row>
    <row r="679" spans="1:11" ht="15" customHeight="1">
      <c r="A679" s="119"/>
      <c r="B679" s="126"/>
      <c r="C679" s="119"/>
      <c r="D679" s="119"/>
      <c r="E679" s="121"/>
      <c r="F679" s="122"/>
      <c r="G679" s="123"/>
      <c r="H679" s="123"/>
      <c r="I679" s="124"/>
      <c r="J679" s="125"/>
      <c r="K679" s="119"/>
    </row>
    <row r="680" spans="1:11" ht="15" customHeight="1">
      <c r="A680" s="119"/>
      <c r="B680" s="126"/>
      <c r="C680" s="119"/>
      <c r="D680" s="119"/>
      <c r="E680" s="121"/>
      <c r="F680" s="122"/>
      <c r="G680" s="123"/>
      <c r="H680" s="123"/>
      <c r="I680" s="124"/>
      <c r="J680" s="125"/>
      <c r="K680" s="119"/>
    </row>
    <row r="681" spans="1:11" ht="15" customHeight="1">
      <c r="A681" s="119"/>
      <c r="B681" s="126"/>
      <c r="C681" s="119"/>
      <c r="D681" s="119"/>
      <c r="E681" s="121"/>
      <c r="F681" s="122"/>
      <c r="G681" s="123"/>
      <c r="H681" s="123"/>
      <c r="I681" s="124"/>
      <c r="J681" s="125"/>
      <c r="K681" s="119"/>
    </row>
    <row r="682" spans="1:11" ht="15" customHeight="1">
      <c r="A682" s="119"/>
      <c r="B682" s="126"/>
      <c r="C682" s="119"/>
      <c r="D682" s="119"/>
      <c r="E682" s="121"/>
      <c r="F682" s="122"/>
      <c r="G682" s="123"/>
      <c r="H682" s="123"/>
      <c r="I682" s="124"/>
      <c r="J682" s="125"/>
      <c r="K682" s="119"/>
    </row>
    <row r="683" spans="1:11" ht="15" customHeight="1">
      <c r="A683" s="119"/>
      <c r="B683" s="126"/>
      <c r="C683" s="119"/>
      <c r="D683" s="119"/>
      <c r="E683" s="121"/>
      <c r="F683" s="122"/>
      <c r="G683" s="123"/>
      <c r="H683" s="123"/>
      <c r="I683" s="124"/>
      <c r="J683" s="125"/>
      <c r="K683" s="119"/>
    </row>
    <row r="684" spans="1:11" ht="15" customHeight="1">
      <c r="A684" s="119"/>
      <c r="B684" s="126"/>
      <c r="C684" s="119"/>
      <c r="D684" s="119"/>
      <c r="E684" s="121"/>
      <c r="F684" s="122"/>
      <c r="G684" s="123"/>
      <c r="H684" s="123"/>
      <c r="I684" s="124"/>
      <c r="J684" s="125"/>
      <c r="K684" s="119"/>
    </row>
    <row r="685" spans="1:11" ht="15" customHeight="1">
      <c r="A685" s="119"/>
      <c r="B685" s="126"/>
      <c r="C685" s="119"/>
      <c r="D685" s="119"/>
      <c r="E685" s="121"/>
      <c r="F685" s="122"/>
      <c r="G685" s="123"/>
      <c r="H685" s="123"/>
      <c r="I685" s="124"/>
      <c r="J685" s="125"/>
      <c r="K685" s="119"/>
    </row>
    <row r="686" spans="1:11" ht="15" customHeight="1">
      <c r="A686" s="119"/>
      <c r="B686" s="126"/>
      <c r="C686" s="119"/>
      <c r="D686" s="119"/>
      <c r="E686" s="121"/>
      <c r="F686" s="122"/>
      <c r="G686" s="123"/>
      <c r="H686" s="123"/>
      <c r="I686" s="124"/>
      <c r="J686" s="125"/>
      <c r="K686" s="119"/>
    </row>
    <row r="687" spans="1:11" ht="15" customHeight="1">
      <c r="A687" s="119"/>
      <c r="B687" s="126"/>
      <c r="C687" s="119"/>
      <c r="D687" s="119"/>
      <c r="E687" s="121"/>
      <c r="F687" s="122"/>
      <c r="G687" s="123"/>
      <c r="H687" s="123"/>
      <c r="I687" s="124"/>
      <c r="J687" s="125"/>
      <c r="K687" s="119"/>
    </row>
    <row r="688" spans="1:11" ht="15" customHeight="1">
      <c r="A688" s="119"/>
      <c r="B688" s="126"/>
      <c r="C688" s="119"/>
      <c r="D688" s="119"/>
      <c r="E688" s="121"/>
      <c r="F688" s="122"/>
      <c r="G688" s="123"/>
      <c r="H688" s="123"/>
      <c r="I688" s="124"/>
      <c r="J688" s="125"/>
      <c r="K688" s="119"/>
    </row>
    <row r="689" spans="1:11" ht="15" customHeight="1">
      <c r="A689" s="119"/>
      <c r="B689" s="126"/>
      <c r="C689" s="119"/>
      <c r="D689" s="119"/>
      <c r="E689" s="121"/>
      <c r="F689" s="122"/>
      <c r="G689" s="123"/>
      <c r="H689" s="123"/>
      <c r="I689" s="124"/>
      <c r="J689" s="125"/>
      <c r="K689" s="119"/>
    </row>
    <row r="690" spans="1:11" ht="15" customHeight="1">
      <c r="A690" s="119"/>
      <c r="B690" s="126"/>
      <c r="C690" s="119"/>
      <c r="D690" s="119"/>
      <c r="E690" s="121"/>
      <c r="F690" s="122"/>
      <c r="G690" s="123"/>
      <c r="H690" s="123"/>
      <c r="I690" s="124"/>
      <c r="J690" s="125"/>
      <c r="K690" s="119"/>
    </row>
    <row r="691" spans="1:11" ht="15" customHeight="1">
      <c r="A691" s="119"/>
      <c r="B691" s="126"/>
      <c r="C691" s="119"/>
      <c r="D691" s="119"/>
      <c r="E691" s="121"/>
      <c r="F691" s="122"/>
      <c r="G691" s="123"/>
      <c r="H691" s="123"/>
      <c r="I691" s="124"/>
      <c r="J691" s="125"/>
      <c r="K691" s="119"/>
    </row>
    <row r="692" spans="1:11" ht="15" customHeight="1">
      <c r="A692" s="119"/>
      <c r="B692" s="126"/>
      <c r="C692" s="119"/>
      <c r="D692" s="119"/>
      <c r="E692" s="121"/>
      <c r="F692" s="122"/>
      <c r="G692" s="123"/>
      <c r="H692" s="123"/>
      <c r="I692" s="124"/>
      <c r="J692" s="125"/>
      <c r="K692" s="119"/>
    </row>
    <row r="693" spans="1:11" ht="15" customHeight="1">
      <c r="A693" s="119"/>
      <c r="B693" s="126"/>
      <c r="C693" s="119"/>
      <c r="D693" s="119"/>
      <c r="E693" s="121"/>
      <c r="F693" s="122"/>
      <c r="G693" s="123"/>
      <c r="H693" s="123"/>
      <c r="I693" s="124"/>
      <c r="J693" s="125"/>
      <c r="K693" s="119"/>
    </row>
    <row r="694" spans="1:11" ht="15" customHeight="1">
      <c r="A694" s="119"/>
      <c r="B694" s="126"/>
      <c r="C694" s="119"/>
      <c r="D694" s="119"/>
      <c r="E694" s="121"/>
      <c r="F694" s="122"/>
      <c r="G694" s="123"/>
      <c r="H694" s="123"/>
      <c r="I694" s="124"/>
      <c r="J694" s="125"/>
      <c r="K694" s="119"/>
    </row>
    <row r="695" spans="1:11" ht="15" customHeight="1">
      <c r="A695" s="119"/>
      <c r="B695" s="126"/>
      <c r="C695" s="119"/>
      <c r="D695" s="119"/>
      <c r="E695" s="121"/>
      <c r="F695" s="122"/>
      <c r="G695" s="123"/>
      <c r="H695" s="123"/>
      <c r="I695" s="124"/>
      <c r="J695" s="125"/>
      <c r="K695" s="119"/>
    </row>
    <row r="696" spans="1:11" ht="15" customHeight="1">
      <c r="A696" s="119"/>
      <c r="B696" s="126"/>
      <c r="C696" s="119"/>
      <c r="D696" s="119"/>
      <c r="E696" s="121"/>
      <c r="F696" s="122"/>
      <c r="G696" s="123"/>
      <c r="H696" s="123"/>
      <c r="I696" s="124"/>
      <c r="J696" s="125"/>
      <c r="K696" s="119"/>
    </row>
    <row r="697" spans="1:11" ht="15" customHeight="1">
      <c r="A697" s="119"/>
      <c r="B697" s="126"/>
      <c r="C697" s="119"/>
      <c r="D697" s="119"/>
      <c r="E697" s="121"/>
      <c r="F697" s="122"/>
      <c r="G697" s="123"/>
      <c r="H697" s="123"/>
      <c r="I697" s="124"/>
      <c r="J697" s="125"/>
      <c r="K697" s="119"/>
    </row>
    <row r="698" spans="1:11" ht="15" customHeight="1">
      <c r="A698" s="119"/>
      <c r="B698" s="126"/>
      <c r="C698" s="119"/>
      <c r="D698" s="119"/>
      <c r="E698" s="121"/>
      <c r="F698" s="122"/>
      <c r="G698" s="123"/>
      <c r="H698" s="123"/>
      <c r="I698" s="124"/>
      <c r="J698" s="125"/>
      <c r="K698" s="119"/>
    </row>
    <row r="699" spans="1:11" ht="15" customHeight="1">
      <c r="A699" s="119"/>
      <c r="B699" s="126"/>
      <c r="C699" s="119"/>
      <c r="D699" s="119"/>
      <c r="E699" s="121"/>
      <c r="F699" s="122"/>
      <c r="G699" s="123"/>
      <c r="H699" s="123"/>
      <c r="I699" s="124"/>
      <c r="J699" s="125"/>
      <c r="K699" s="119"/>
    </row>
    <row r="700" spans="1:11" ht="15" customHeight="1">
      <c r="A700" s="119"/>
      <c r="B700" s="126"/>
      <c r="C700" s="119"/>
      <c r="D700" s="119"/>
      <c r="E700" s="121"/>
      <c r="F700" s="122"/>
      <c r="G700" s="123"/>
      <c r="H700" s="123"/>
      <c r="I700" s="124"/>
      <c r="J700" s="125"/>
      <c r="K700" s="119"/>
    </row>
    <row r="701" spans="1:11" ht="15" customHeight="1">
      <c r="A701" s="119"/>
      <c r="B701" s="126"/>
      <c r="C701" s="119"/>
      <c r="D701" s="119"/>
      <c r="E701" s="121"/>
      <c r="F701" s="122"/>
      <c r="G701" s="123"/>
      <c r="H701" s="123"/>
      <c r="I701" s="124"/>
      <c r="J701" s="125"/>
      <c r="K701" s="119"/>
    </row>
    <row r="702" spans="1:11" ht="15" customHeight="1">
      <c r="A702" s="119"/>
      <c r="B702" s="126"/>
      <c r="C702" s="119"/>
      <c r="D702" s="119"/>
      <c r="E702" s="121"/>
      <c r="F702" s="122"/>
      <c r="G702" s="123"/>
      <c r="H702" s="123"/>
      <c r="I702" s="124"/>
      <c r="J702" s="125"/>
      <c r="K702" s="119"/>
    </row>
    <row r="703" spans="1:11" ht="15" customHeight="1">
      <c r="A703" s="119"/>
      <c r="B703" s="126"/>
      <c r="C703" s="119"/>
      <c r="D703" s="119"/>
      <c r="E703" s="121"/>
      <c r="F703" s="122"/>
      <c r="G703" s="123"/>
      <c r="H703" s="123"/>
      <c r="I703" s="124"/>
      <c r="J703" s="125"/>
      <c r="K703" s="119"/>
    </row>
    <row r="704" spans="1:11" ht="15" customHeight="1">
      <c r="A704" s="119"/>
      <c r="B704" s="126"/>
      <c r="C704" s="119"/>
      <c r="D704" s="119"/>
      <c r="E704" s="121"/>
      <c r="F704" s="122"/>
      <c r="G704" s="123"/>
      <c r="H704" s="123"/>
      <c r="I704" s="124"/>
      <c r="J704" s="125"/>
      <c r="K704" s="119"/>
    </row>
    <row r="705" spans="1:11" ht="15" customHeight="1">
      <c r="A705" s="119"/>
      <c r="B705" s="126"/>
      <c r="C705" s="119"/>
      <c r="D705" s="119"/>
      <c r="E705" s="121"/>
      <c r="F705" s="122"/>
      <c r="G705" s="123"/>
      <c r="H705" s="123"/>
      <c r="I705" s="124"/>
      <c r="J705" s="125"/>
      <c r="K705" s="119"/>
    </row>
    <row r="706" spans="1:11" ht="15" customHeight="1">
      <c r="A706" s="119"/>
      <c r="B706" s="126"/>
      <c r="C706" s="119"/>
      <c r="D706" s="119"/>
      <c r="E706" s="121"/>
      <c r="F706" s="122"/>
      <c r="G706" s="123"/>
      <c r="H706" s="123"/>
      <c r="I706" s="124"/>
      <c r="J706" s="125"/>
      <c r="K706" s="119"/>
    </row>
    <row r="707" spans="1:11" ht="15" customHeight="1">
      <c r="A707" s="119"/>
      <c r="B707" s="126"/>
      <c r="C707" s="119"/>
      <c r="D707" s="119"/>
      <c r="E707" s="121"/>
      <c r="F707" s="122"/>
      <c r="G707" s="123"/>
      <c r="H707" s="123"/>
      <c r="I707" s="124"/>
      <c r="J707" s="125"/>
      <c r="K707" s="119"/>
    </row>
    <row r="708" spans="1:11" ht="15" customHeight="1">
      <c r="A708" s="119"/>
      <c r="B708" s="126"/>
      <c r="C708" s="119"/>
      <c r="D708" s="119"/>
      <c r="E708" s="121"/>
      <c r="F708" s="122"/>
      <c r="G708" s="123"/>
      <c r="H708" s="123"/>
      <c r="I708" s="124"/>
      <c r="J708" s="125"/>
      <c r="K708" s="119"/>
    </row>
    <row r="709" spans="1:11" ht="15" customHeight="1">
      <c r="A709" s="119"/>
      <c r="B709" s="126"/>
      <c r="C709" s="119"/>
      <c r="D709" s="119"/>
      <c r="E709" s="121"/>
      <c r="F709" s="122"/>
      <c r="G709" s="123"/>
      <c r="H709" s="123"/>
      <c r="I709" s="124"/>
      <c r="J709" s="125"/>
      <c r="K709" s="119"/>
    </row>
    <row r="710" spans="1:11" ht="15" customHeight="1">
      <c r="A710" s="119"/>
      <c r="B710" s="126"/>
      <c r="C710" s="119"/>
      <c r="D710" s="119"/>
      <c r="E710" s="121"/>
      <c r="F710" s="122"/>
      <c r="G710" s="123"/>
      <c r="H710" s="123"/>
      <c r="I710" s="124"/>
      <c r="J710" s="125"/>
      <c r="K710" s="119"/>
    </row>
    <row r="711" spans="1:11" ht="15" customHeight="1">
      <c r="A711" s="119"/>
      <c r="B711" s="126"/>
      <c r="C711" s="119"/>
      <c r="D711" s="119"/>
      <c r="E711" s="121"/>
      <c r="F711" s="122"/>
      <c r="G711" s="123"/>
      <c r="H711" s="123"/>
      <c r="I711" s="124"/>
      <c r="J711" s="125"/>
      <c r="K711" s="119"/>
    </row>
    <row r="712" spans="1:11" ht="15" customHeight="1">
      <c r="A712" s="119"/>
      <c r="B712" s="126"/>
      <c r="C712" s="119"/>
      <c r="D712" s="119"/>
      <c r="E712" s="121"/>
      <c r="F712" s="122"/>
      <c r="G712" s="123"/>
      <c r="H712" s="123"/>
      <c r="I712" s="124"/>
      <c r="J712" s="125"/>
      <c r="K712" s="119"/>
    </row>
    <row r="713" spans="1:11" ht="15" customHeight="1">
      <c r="A713" s="119"/>
      <c r="B713" s="126"/>
      <c r="C713" s="119"/>
      <c r="D713" s="119"/>
      <c r="E713" s="121"/>
      <c r="F713" s="122"/>
      <c r="G713" s="123"/>
      <c r="H713" s="123"/>
      <c r="I713" s="124"/>
      <c r="J713" s="125"/>
      <c r="K713" s="119"/>
    </row>
    <row r="714" spans="1:11" ht="15" customHeight="1">
      <c r="A714" s="119"/>
      <c r="B714" s="126"/>
      <c r="C714" s="119"/>
      <c r="D714" s="119"/>
      <c r="E714" s="121"/>
      <c r="F714" s="122"/>
      <c r="G714" s="123"/>
      <c r="H714" s="123"/>
      <c r="I714" s="124"/>
      <c r="J714" s="125"/>
      <c r="K714" s="119"/>
    </row>
    <row r="715" spans="1:11" ht="15" customHeight="1">
      <c r="A715" s="119"/>
      <c r="B715" s="126"/>
      <c r="C715" s="119"/>
      <c r="D715" s="119"/>
      <c r="E715" s="121"/>
      <c r="F715" s="122"/>
      <c r="G715" s="123"/>
      <c r="H715" s="123"/>
      <c r="I715" s="124"/>
      <c r="J715" s="125"/>
      <c r="K715" s="119"/>
    </row>
    <row r="716" spans="1:11" ht="15" customHeight="1">
      <c r="A716" s="119"/>
      <c r="B716" s="126"/>
      <c r="C716" s="119"/>
      <c r="D716" s="119"/>
      <c r="E716" s="121"/>
      <c r="F716" s="122"/>
      <c r="G716" s="123"/>
      <c r="H716" s="123"/>
      <c r="I716" s="124"/>
      <c r="J716" s="125"/>
      <c r="K716" s="119"/>
    </row>
    <row r="717" spans="1:11" ht="15" customHeight="1">
      <c r="A717" s="119"/>
      <c r="B717" s="126"/>
      <c r="C717" s="119"/>
      <c r="D717" s="119"/>
      <c r="E717" s="121"/>
      <c r="F717" s="122"/>
      <c r="G717" s="123"/>
      <c r="H717" s="123"/>
      <c r="I717" s="124"/>
      <c r="J717" s="125"/>
      <c r="K717" s="119"/>
    </row>
    <row r="718" spans="1:11" ht="15" customHeight="1">
      <c r="A718" s="119"/>
      <c r="B718" s="126"/>
      <c r="C718" s="119"/>
      <c r="D718" s="119"/>
      <c r="E718" s="121"/>
      <c r="F718" s="122"/>
      <c r="G718" s="123"/>
      <c r="H718" s="123"/>
      <c r="I718" s="124"/>
      <c r="J718" s="125"/>
      <c r="K718" s="119"/>
    </row>
    <row r="719" spans="1:11" ht="15" customHeight="1">
      <c r="A719" s="119"/>
      <c r="B719" s="126"/>
      <c r="C719" s="119"/>
      <c r="D719" s="119"/>
      <c r="E719" s="121"/>
      <c r="F719" s="122"/>
      <c r="G719" s="123"/>
      <c r="H719" s="123"/>
      <c r="I719" s="124"/>
      <c r="J719" s="125"/>
      <c r="K719" s="119"/>
    </row>
    <row r="720" spans="1:11" ht="15" customHeight="1">
      <c r="A720" s="119"/>
      <c r="B720" s="126"/>
      <c r="C720" s="119"/>
      <c r="D720" s="119"/>
      <c r="E720" s="121"/>
      <c r="F720" s="122"/>
      <c r="G720" s="123"/>
      <c r="H720" s="123"/>
      <c r="I720" s="124"/>
      <c r="J720" s="125"/>
      <c r="K720" s="119"/>
    </row>
    <row r="721" spans="1:11" ht="15" customHeight="1">
      <c r="A721" s="119"/>
      <c r="B721" s="126"/>
      <c r="C721" s="119"/>
      <c r="D721" s="119"/>
      <c r="E721" s="121"/>
      <c r="F721" s="122"/>
      <c r="G721" s="123"/>
      <c r="H721" s="123"/>
      <c r="I721" s="124"/>
      <c r="J721" s="125"/>
      <c r="K721" s="119"/>
    </row>
    <row r="722" spans="1:11" ht="15" customHeight="1">
      <c r="A722" s="119"/>
      <c r="B722" s="126"/>
      <c r="C722" s="119"/>
      <c r="D722" s="119"/>
      <c r="E722" s="121"/>
      <c r="F722" s="122"/>
      <c r="G722" s="123"/>
      <c r="H722" s="123"/>
      <c r="I722" s="124"/>
      <c r="J722" s="125"/>
      <c r="K722" s="119"/>
    </row>
    <row r="723" spans="1:11" ht="15" customHeight="1">
      <c r="A723" s="119"/>
      <c r="B723" s="126"/>
      <c r="C723" s="119"/>
      <c r="D723" s="119"/>
      <c r="E723" s="121"/>
      <c r="F723" s="122"/>
      <c r="G723" s="123"/>
      <c r="H723" s="123"/>
      <c r="I723" s="124"/>
      <c r="J723" s="125"/>
      <c r="K723" s="119"/>
    </row>
    <row r="724" spans="1:11" ht="15" customHeight="1">
      <c r="A724" s="119"/>
      <c r="B724" s="126"/>
      <c r="C724" s="119"/>
      <c r="D724" s="119"/>
      <c r="E724" s="121"/>
      <c r="F724" s="122"/>
      <c r="G724" s="123"/>
      <c r="H724" s="123"/>
      <c r="I724" s="124"/>
      <c r="J724" s="125"/>
      <c r="K724" s="119"/>
    </row>
    <row r="725" spans="1:11" ht="15" customHeight="1">
      <c r="A725" s="119"/>
      <c r="B725" s="126"/>
      <c r="C725" s="119"/>
      <c r="D725" s="119"/>
      <c r="E725" s="121"/>
      <c r="F725" s="122"/>
      <c r="G725" s="123"/>
      <c r="H725" s="123"/>
      <c r="I725" s="124"/>
      <c r="J725" s="125"/>
      <c r="K725" s="119"/>
    </row>
    <row r="726" spans="1:11" ht="15" customHeight="1">
      <c r="A726" s="119"/>
      <c r="B726" s="126"/>
      <c r="C726" s="119"/>
      <c r="D726" s="119"/>
      <c r="E726" s="121"/>
      <c r="F726" s="122"/>
      <c r="G726" s="123"/>
      <c r="H726" s="123"/>
      <c r="I726" s="124"/>
      <c r="J726" s="125"/>
      <c r="K726" s="119"/>
    </row>
    <row r="727" spans="1:11" ht="15" customHeight="1">
      <c r="A727" s="119"/>
      <c r="B727" s="126"/>
      <c r="C727" s="119"/>
      <c r="D727" s="119"/>
      <c r="E727" s="121"/>
      <c r="F727" s="122"/>
      <c r="G727" s="123"/>
      <c r="H727" s="123"/>
      <c r="I727" s="124"/>
      <c r="J727" s="125"/>
      <c r="K727" s="119"/>
    </row>
    <row r="728" spans="1:11" ht="15" customHeight="1">
      <c r="A728" s="119"/>
      <c r="B728" s="126"/>
      <c r="C728" s="119"/>
      <c r="D728" s="119"/>
      <c r="E728" s="121"/>
      <c r="F728" s="122"/>
      <c r="G728" s="123"/>
      <c r="H728" s="123"/>
      <c r="I728" s="124"/>
      <c r="J728" s="125"/>
      <c r="K728" s="119"/>
    </row>
    <row r="729" spans="1:11" ht="15" customHeight="1">
      <c r="A729" s="119"/>
      <c r="B729" s="126"/>
      <c r="C729" s="119"/>
      <c r="D729" s="119"/>
      <c r="E729" s="121"/>
      <c r="F729" s="122"/>
      <c r="G729" s="123"/>
      <c r="H729" s="123"/>
      <c r="I729" s="124"/>
      <c r="J729" s="125"/>
      <c r="K729" s="119"/>
    </row>
    <row r="730" spans="1:11" ht="15" customHeight="1">
      <c r="A730" s="119"/>
      <c r="B730" s="126"/>
      <c r="C730" s="119"/>
      <c r="D730" s="119"/>
      <c r="E730" s="121"/>
      <c r="F730" s="122"/>
      <c r="G730" s="123"/>
      <c r="H730" s="123"/>
      <c r="I730" s="124"/>
      <c r="J730" s="125"/>
      <c r="K730" s="119"/>
    </row>
    <row r="731" spans="1:11" ht="15" customHeight="1">
      <c r="A731" s="119"/>
      <c r="B731" s="126"/>
      <c r="C731" s="119"/>
      <c r="D731" s="119"/>
      <c r="E731" s="121"/>
      <c r="F731" s="122"/>
      <c r="G731" s="123"/>
      <c r="H731" s="123"/>
      <c r="I731" s="124"/>
      <c r="J731" s="125"/>
      <c r="K731" s="119"/>
    </row>
    <row r="732" spans="1:11" ht="15" customHeight="1">
      <c r="A732" s="119"/>
      <c r="B732" s="126"/>
      <c r="C732" s="119"/>
      <c r="D732" s="119"/>
      <c r="E732" s="121"/>
      <c r="F732" s="122"/>
      <c r="G732" s="123"/>
      <c r="H732" s="123"/>
      <c r="I732" s="124"/>
      <c r="J732" s="125"/>
      <c r="K732" s="119"/>
    </row>
    <row r="733" spans="1:11" ht="15" customHeight="1">
      <c r="A733" s="119"/>
      <c r="B733" s="126"/>
      <c r="C733" s="119"/>
      <c r="D733" s="119"/>
      <c r="E733" s="121"/>
      <c r="F733" s="122"/>
      <c r="G733" s="123"/>
      <c r="H733" s="123"/>
      <c r="I733" s="124"/>
      <c r="J733" s="125"/>
      <c r="K733" s="119"/>
    </row>
    <row r="734" spans="1:11" ht="15" customHeight="1">
      <c r="A734" s="119"/>
      <c r="B734" s="126"/>
      <c r="C734" s="119"/>
      <c r="D734" s="119"/>
      <c r="E734" s="121"/>
      <c r="F734" s="122"/>
      <c r="G734" s="123"/>
      <c r="H734" s="123"/>
      <c r="I734" s="124"/>
      <c r="J734" s="125"/>
      <c r="K734" s="119"/>
    </row>
    <row r="735" spans="1:11" ht="15" customHeight="1">
      <c r="A735" s="119"/>
      <c r="B735" s="126"/>
      <c r="C735" s="119"/>
      <c r="D735" s="119"/>
      <c r="E735" s="121"/>
      <c r="F735" s="122"/>
      <c r="G735" s="123"/>
      <c r="H735" s="123"/>
      <c r="I735" s="124"/>
      <c r="J735" s="125"/>
      <c r="K735" s="119"/>
    </row>
    <row r="736" spans="1:11" ht="15" customHeight="1">
      <c r="A736" s="119"/>
      <c r="B736" s="126"/>
      <c r="C736" s="119"/>
      <c r="D736" s="119"/>
      <c r="E736" s="121"/>
      <c r="F736" s="122"/>
      <c r="G736" s="123"/>
      <c r="H736" s="123"/>
      <c r="I736" s="124"/>
      <c r="J736" s="125"/>
      <c r="K736" s="119"/>
    </row>
    <row r="737" spans="1:11" ht="15" customHeight="1">
      <c r="A737" s="119"/>
      <c r="B737" s="126"/>
      <c r="C737" s="119"/>
      <c r="D737" s="119"/>
      <c r="E737" s="121"/>
      <c r="F737" s="122"/>
      <c r="G737" s="123"/>
      <c r="H737" s="123"/>
      <c r="I737" s="124"/>
      <c r="J737" s="125"/>
      <c r="K737" s="119"/>
    </row>
    <row r="738" spans="1:11" ht="15" customHeight="1">
      <c r="A738" s="119"/>
      <c r="B738" s="126"/>
      <c r="C738" s="119"/>
      <c r="D738" s="119"/>
      <c r="E738" s="121"/>
      <c r="F738" s="122"/>
      <c r="G738" s="123"/>
      <c r="H738" s="123"/>
      <c r="I738" s="124"/>
      <c r="J738" s="125"/>
      <c r="K738" s="119"/>
    </row>
    <row r="739" spans="1:11" ht="15" customHeight="1">
      <c r="A739" s="119"/>
      <c r="B739" s="126"/>
      <c r="C739" s="119"/>
      <c r="D739" s="119"/>
      <c r="E739" s="121"/>
      <c r="F739" s="122"/>
      <c r="G739" s="123"/>
      <c r="H739" s="123"/>
      <c r="I739" s="124"/>
      <c r="J739" s="125"/>
      <c r="K739" s="119"/>
    </row>
    <row r="740" spans="1:11" ht="15" customHeight="1">
      <c r="A740" s="119"/>
      <c r="B740" s="126"/>
      <c r="C740" s="119"/>
      <c r="D740" s="119"/>
      <c r="E740" s="121"/>
      <c r="F740" s="122"/>
      <c r="G740" s="123"/>
      <c r="H740" s="123"/>
      <c r="I740" s="124"/>
      <c r="J740" s="125"/>
      <c r="K740" s="119"/>
    </row>
    <row r="741" spans="1:11" ht="15" customHeight="1">
      <c r="A741" s="119"/>
      <c r="B741" s="126"/>
      <c r="C741" s="119"/>
      <c r="D741" s="119"/>
      <c r="E741" s="121"/>
      <c r="F741" s="122"/>
      <c r="G741" s="123"/>
      <c r="H741" s="123"/>
      <c r="I741" s="124"/>
      <c r="J741" s="125"/>
      <c r="K741" s="119"/>
    </row>
    <row r="742" spans="1:11" ht="15" customHeight="1">
      <c r="A742" s="119"/>
      <c r="B742" s="126"/>
      <c r="C742" s="119"/>
      <c r="D742" s="119"/>
      <c r="E742" s="121"/>
      <c r="F742" s="122"/>
      <c r="G742" s="123"/>
      <c r="H742" s="123"/>
      <c r="I742" s="124"/>
      <c r="J742" s="125"/>
      <c r="K742" s="119"/>
    </row>
    <row r="743" spans="1:11" ht="15" customHeight="1">
      <c r="A743" s="119"/>
      <c r="B743" s="126"/>
      <c r="C743" s="119"/>
      <c r="D743" s="119"/>
      <c r="E743" s="121"/>
      <c r="F743" s="122"/>
      <c r="G743" s="123"/>
      <c r="H743" s="123"/>
      <c r="I743" s="124"/>
      <c r="J743" s="125"/>
      <c r="K743" s="119"/>
    </row>
    <row r="744" spans="1:11" ht="15" customHeight="1">
      <c r="A744" s="119"/>
      <c r="B744" s="126"/>
      <c r="C744" s="119"/>
      <c r="D744" s="119"/>
      <c r="E744" s="121"/>
      <c r="F744" s="122"/>
      <c r="G744" s="123"/>
      <c r="H744" s="123"/>
      <c r="I744" s="124"/>
      <c r="J744" s="125"/>
      <c r="K744" s="119"/>
    </row>
    <row r="745" spans="1:11" ht="15" customHeight="1">
      <c r="A745" s="119"/>
      <c r="B745" s="126"/>
      <c r="C745" s="119"/>
      <c r="D745" s="119"/>
      <c r="E745" s="121"/>
      <c r="F745" s="122"/>
      <c r="G745" s="123"/>
      <c r="H745" s="123"/>
      <c r="I745" s="124"/>
      <c r="J745" s="125"/>
      <c r="K745" s="119"/>
    </row>
    <row r="746" spans="1:11" ht="15" customHeight="1">
      <c r="A746" s="119"/>
      <c r="B746" s="126"/>
      <c r="C746" s="119"/>
      <c r="D746" s="119"/>
      <c r="E746" s="121"/>
      <c r="F746" s="122"/>
      <c r="G746" s="123"/>
      <c r="H746" s="123"/>
      <c r="I746" s="124"/>
      <c r="J746" s="125"/>
      <c r="K746" s="119"/>
    </row>
    <row r="747" spans="1:11" ht="15" customHeight="1">
      <c r="A747" s="119"/>
      <c r="B747" s="126"/>
      <c r="C747" s="119"/>
      <c r="D747" s="119"/>
      <c r="E747" s="121"/>
      <c r="F747" s="122"/>
      <c r="G747" s="123"/>
      <c r="H747" s="123"/>
      <c r="I747" s="124"/>
      <c r="J747" s="125"/>
      <c r="K747" s="119"/>
    </row>
    <row r="748" spans="1:11" ht="15" customHeight="1">
      <c r="A748" s="119"/>
      <c r="B748" s="126"/>
      <c r="C748" s="119"/>
      <c r="D748" s="119"/>
      <c r="E748" s="121"/>
      <c r="F748" s="122"/>
      <c r="G748" s="123"/>
      <c r="H748" s="123"/>
      <c r="I748" s="124"/>
      <c r="J748" s="125"/>
      <c r="K748" s="119"/>
    </row>
    <row r="749" spans="1:11" ht="15" customHeight="1">
      <c r="A749" s="119"/>
      <c r="B749" s="126"/>
      <c r="C749" s="119"/>
      <c r="D749" s="119"/>
      <c r="E749" s="121"/>
      <c r="F749" s="122"/>
      <c r="G749" s="123"/>
      <c r="H749" s="123"/>
      <c r="I749" s="124"/>
      <c r="J749" s="125"/>
      <c r="K749" s="119"/>
    </row>
    <row r="750" spans="1:11" ht="15" customHeight="1">
      <c r="A750" s="119"/>
      <c r="B750" s="126"/>
      <c r="C750" s="119"/>
      <c r="D750" s="119"/>
      <c r="E750" s="121"/>
      <c r="F750" s="122"/>
      <c r="G750" s="123"/>
      <c r="H750" s="123"/>
      <c r="I750" s="124"/>
      <c r="J750" s="125"/>
      <c r="K750" s="119"/>
    </row>
    <row r="751" spans="1:11" ht="15" customHeight="1">
      <c r="A751" s="119"/>
      <c r="B751" s="126"/>
      <c r="C751" s="119"/>
      <c r="D751" s="119"/>
      <c r="E751" s="121"/>
      <c r="F751" s="122"/>
      <c r="G751" s="123"/>
      <c r="H751" s="123"/>
      <c r="I751" s="124"/>
      <c r="J751" s="125"/>
      <c r="K751" s="119"/>
    </row>
    <row r="752" spans="1:11" ht="15" customHeight="1">
      <c r="A752" s="119"/>
      <c r="B752" s="126"/>
      <c r="C752" s="119"/>
      <c r="D752" s="119"/>
      <c r="E752" s="121"/>
      <c r="F752" s="122"/>
      <c r="G752" s="123"/>
      <c r="H752" s="123"/>
      <c r="I752" s="124"/>
      <c r="J752" s="125"/>
      <c r="K752" s="119"/>
    </row>
    <row r="753" spans="1:11" ht="15" customHeight="1">
      <c r="A753" s="119"/>
      <c r="B753" s="126"/>
      <c r="C753" s="119"/>
      <c r="D753" s="119"/>
      <c r="E753" s="121"/>
      <c r="F753" s="122"/>
      <c r="G753" s="123"/>
      <c r="H753" s="123"/>
      <c r="I753" s="124"/>
      <c r="J753" s="125"/>
      <c r="K753" s="119"/>
    </row>
    <row r="754" spans="1:11" ht="15" customHeight="1">
      <c r="A754" s="119"/>
      <c r="B754" s="126"/>
      <c r="C754" s="119"/>
      <c r="D754" s="119"/>
      <c r="E754" s="121"/>
      <c r="F754" s="122"/>
      <c r="G754" s="123"/>
      <c r="H754" s="123"/>
      <c r="I754" s="124"/>
      <c r="J754" s="125"/>
      <c r="K754" s="119"/>
    </row>
    <row r="755" spans="1:11" ht="15" customHeight="1">
      <c r="A755" s="119"/>
      <c r="B755" s="126"/>
      <c r="C755" s="119"/>
      <c r="D755" s="119"/>
      <c r="E755" s="121"/>
      <c r="F755" s="122"/>
      <c r="G755" s="123"/>
      <c r="H755" s="123"/>
      <c r="I755" s="124"/>
      <c r="J755" s="125"/>
      <c r="K755" s="119"/>
    </row>
    <row r="756" spans="1:11" ht="15" customHeight="1">
      <c r="A756" s="119"/>
      <c r="B756" s="126"/>
      <c r="C756" s="119"/>
      <c r="D756" s="119"/>
      <c r="E756" s="121"/>
      <c r="F756" s="122"/>
      <c r="G756" s="123"/>
      <c r="H756" s="123"/>
      <c r="I756" s="124"/>
      <c r="J756" s="125"/>
      <c r="K756" s="119"/>
    </row>
    <row r="757" spans="1:11" ht="15" customHeight="1">
      <c r="A757" s="119"/>
      <c r="B757" s="126"/>
      <c r="C757" s="119"/>
      <c r="D757" s="119"/>
      <c r="E757" s="121"/>
      <c r="F757" s="122"/>
      <c r="G757" s="123"/>
      <c r="H757" s="123"/>
      <c r="I757" s="124"/>
      <c r="J757" s="125"/>
      <c r="K757" s="119"/>
    </row>
    <row r="758" spans="1:11" ht="15" customHeight="1">
      <c r="A758" s="119"/>
      <c r="B758" s="126"/>
      <c r="C758" s="119"/>
      <c r="D758" s="119"/>
      <c r="E758" s="121"/>
      <c r="F758" s="122"/>
      <c r="G758" s="123"/>
      <c r="H758" s="123"/>
      <c r="I758" s="124"/>
      <c r="J758" s="125"/>
      <c r="K758" s="119"/>
    </row>
    <row r="759" spans="1:11" ht="15" customHeight="1">
      <c r="A759" s="119"/>
      <c r="B759" s="126"/>
      <c r="C759" s="119"/>
      <c r="D759" s="119"/>
      <c r="E759" s="121"/>
      <c r="F759" s="122"/>
      <c r="G759" s="123"/>
      <c r="H759" s="123"/>
      <c r="I759" s="124"/>
      <c r="J759" s="125"/>
      <c r="K759" s="119"/>
    </row>
    <row r="760" spans="1:11" ht="15" customHeight="1">
      <c r="A760" s="119"/>
      <c r="B760" s="126"/>
      <c r="C760" s="119"/>
      <c r="D760" s="119"/>
      <c r="E760" s="121"/>
      <c r="F760" s="122"/>
      <c r="G760" s="123"/>
      <c r="H760" s="123"/>
      <c r="I760" s="124"/>
      <c r="J760" s="125"/>
      <c r="K760" s="119"/>
    </row>
    <row r="761" spans="1:11" ht="15" customHeight="1">
      <c r="A761" s="119"/>
      <c r="B761" s="126"/>
      <c r="C761" s="119"/>
      <c r="D761" s="119"/>
      <c r="E761" s="121"/>
      <c r="F761" s="122"/>
      <c r="G761" s="123"/>
      <c r="H761" s="123"/>
      <c r="I761" s="124"/>
      <c r="J761" s="125"/>
      <c r="K761" s="119"/>
    </row>
    <row r="762" spans="1:11" ht="15" customHeight="1">
      <c r="A762" s="119"/>
      <c r="B762" s="126"/>
      <c r="C762" s="119"/>
      <c r="D762" s="119"/>
      <c r="E762" s="121"/>
      <c r="F762" s="122"/>
      <c r="G762" s="123"/>
      <c r="H762" s="123"/>
      <c r="I762" s="124"/>
      <c r="J762" s="125"/>
      <c r="K762" s="119"/>
    </row>
    <row r="763" spans="1:11" ht="15" customHeight="1">
      <c r="A763" s="119"/>
      <c r="B763" s="126"/>
      <c r="C763" s="119"/>
      <c r="D763" s="119"/>
      <c r="E763" s="121"/>
      <c r="F763" s="122"/>
      <c r="G763" s="123"/>
      <c r="H763" s="123"/>
      <c r="I763" s="124"/>
      <c r="J763" s="125"/>
      <c r="K763" s="119"/>
    </row>
    <row r="764" spans="1:11" ht="15" customHeight="1">
      <c r="A764" s="119"/>
      <c r="B764" s="126"/>
      <c r="C764" s="119"/>
      <c r="D764" s="119"/>
      <c r="E764" s="121"/>
      <c r="F764" s="122"/>
      <c r="G764" s="123"/>
      <c r="H764" s="123"/>
      <c r="I764" s="124"/>
      <c r="J764" s="125"/>
      <c r="K764" s="119"/>
    </row>
    <row r="765" spans="1:11" ht="15" customHeight="1">
      <c r="A765" s="119"/>
      <c r="B765" s="126"/>
      <c r="C765" s="119"/>
      <c r="D765" s="119"/>
      <c r="E765" s="121"/>
      <c r="F765" s="122"/>
      <c r="G765" s="123"/>
      <c r="H765" s="123"/>
      <c r="I765" s="124"/>
      <c r="J765" s="125"/>
      <c r="K765" s="119"/>
    </row>
    <row r="766" spans="1:11" ht="15" customHeight="1">
      <c r="A766" s="119"/>
      <c r="B766" s="126"/>
      <c r="C766" s="119"/>
      <c r="D766" s="119"/>
      <c r="E766" s="121"/>
      <c r="F766" s="122"/>
      <c r="G766" s="123"/>
      <c r="H766" s="123"/>
      <c r="I766" s="124"/>
      <c r="J766" s="125"/>
      <c r="K766" s="119"/>
    </row>
    <row r="767" spans="1:11" ht="15" customHeight="1">
      <c r="A767" s="119"/>
      <c r="B767" s="126"/>
      <c r="C767" s="119"/>
      <c r="D767" s="119"/>
      <c r="E767" s="121"/>
      <c r="F767" s="122"/>
      <c r="G767" s="123"/>
      <c r="H767" s="123"/>
      <c r="I767" s="124"/>
      <c r="J767" s="125"/>
      <c r="K767" s="119"/>
    </row>
    <row r="768" spans="1:11" ht="15" customHeight="1">
      <c r="A768" s="119"/>
      <c r="B768" s="126"/>
      <c r="C768" s="119"/>
      <c r="D768" s="119"/>
      <c r="E768" s="121"/>
      <c r="F768" s="122"/>
      <c r="G768" s="123"/>
      <c r="H768" s="123"/>
      <c r="I768" s="124"/>
      <c r="J768" s="125"/>
      <c r="K768" s="119"/>
    </row>
    <row r="769" spans="1:11" ht="15" customHeight="1">
      <c r="A769" s="119"/>
      <c r="B769" s="126"/>
      <c r="C769" s="119"/>
      <c r="D769" s="119"/>
      <c r="E769" s="121"/>
      <c r="F769" s="122"/>
      <c r="G769" s="123"/>
      <c r="H769" s="123"/>
      <c r="I769" s="124"/>
      <c r="J769" s="125"/>
      <c r="K769" s="119"/>
    </row>
    <row r="770" spans="1:11" ht="15" customHeight="1">
      <c r="A770" s="119"/>
      <c r="B770" s="126"/>
      <c r="C770" s="119"/>
      <c r="D770" s="119"/>
      <c r="E770" s="121"/>
      <c r="F770" s="122"/>
      <c r="G770" s="123"/>
      <c r="H770" s="123"/>
      <c r="I770" s="124"/>
      <c r="J770" s="125"/>
      <c r="K770" s="119"/>
    </row>
    <row r="771" spans="1:11" ht="15" customHeight="1">
      <c r="A771" s="119"/>
      <c r="B771" s="126"/>
      <c r="C771" s="119"/>
      <c r="D771" s="119"/>
      <c r="E771" s="121"/>
      <c r="F771" s="122"/>
      <c r="G771" s="123"/>
      <c r="H771" s="123"/>
      <c r="I771" s="124"/>
      <c r="J771" s="125"/>
      <c r="K771" s="119"/>
    </row>
    <row r="772" spans="1:11" ht="15" customHeight="1">
      <c r="A772" s="119"/>
      <c r="B772" s="126"/>
      <c r="C772" s="119"/>
      <c r="D772" s="119"/>
      <c r="E772" s="121"/>
      <c r="F772" s="122"/>
      <c r="G772" s="123"/>
      <c r="H772" s="123"/>
      <c r="I772" s="124"/>
      <c r="J772" s="125"/>
      <c r="K772" s="119"/>
    </row>
    <row r="773" spans="1:11" ht="15" customHeight="1">
      <c r="A773" s="119"/>
      <c r="B773" s="126"/>
      <c r="C773" s="119"/>
      <c r="D773" s="119"/>
      <c r="E773" s="121"/>
      <c r="F773" s="122"/>
      <c r="G773" s="123"/>
      <c r="H773" s="123"/>
      <c r="I773" s="124"/>
      <c r="J773" s="125"/>
      <c r="K773" s="119"/>
    </row>
    <row r="774" spans="1:11" ht="15" customHeight="1">
      <c r="A774" s="119"/>
      <c r="B774" s="126"/>
      <c r="C774" s="119"/>
      <c r="D774" s="119"/>
      <c r="E774" s="121"/>
      <c r="F774" s="122"/>
      <c r="G774" s="123"/>
      <c r="H774" s="123"/>
      <c r="I774" s="124"/>
      <c r="J774" s="125"/>
      <c r="K774" s="119"/>
    </row>
    <row r="775" spans="1:11" ht="15" customHeight="1">
      <c r="A775" s="119"/>
      <c r="B775" s="126"/>
      <c r="C775" s="119"/>
      <c r="D775" s="119"/>
      <c r="E775" s="121"/>
      <c r="F775" s="122"/>
      <c r="G775" s="123"/>
      <c r="H775" s="123"/>
      <c r="I775" s="124"/>
      <c r="J775" s="125"/>
      <c r="K775" s="119"/>
    </row>
    <row r="776" spans="1:11" ht="15" customHeight="1">
      <c r="A776" s="119"/>
      <c r="B776" s="126"/>
      <c r="C776" s="119"/>
      <c r="D776" s="119"/>
      <c r="E776" s="121"/>
      <c r="F776" s="122"/>
      <c r="G776" s="123"/>
      <c r="H776" s="123"/>
      <c r="I776" s="124"/>
      <c r="J776" s="125"/>
      <c r="K776" s="119"/>
    </row>
    <row r="777" spans="1:11" ht="15" customHeight="1">
      <c r="A777" s="119"/>
      <c r="B777" s="126"/>
      <c r="C777" s="119"/>
      <c r="D777" s="119"/>
      <c r="E777" s="121"/>
      <c r="F777" s="122"/>
      <c r="G777" s="123"/>
      <c r="H777" s="123"/>
      <c r="I777" s="124"/>
      <c r="J777" s="125"/>
      <c r="K777" s="119"/>
    </row>
    <row r="778" spans="1:11" ht="15" customHeight="1">
      <c r="A778" s="119"/>
      <c r="B778" s="126"/>
      <c r="C778" s="119"/>
      <c r="D778" s="119"/>
      <c r="E778" s="121"/>
      <c r="F778" s="122"/>
      <c r="G778" s="123"/>
      <c r="H778" s="123"/>
      <c r="I778" s="124"/>
      <c r="J778" s="125"/>
      <c r="K778" s="119"/>
    </row>
    <row r="779" spans="1:11" ht="15" customHeight="1">
      <c r="A779" s="119"/>
      <c r="B779" s="126"/>
      <c r="C779" s="119"/>
      <c r="D779" s="119"/>
      <c r="E779" s="121"/>
      <c r="F779" s="122"/>
      <c r="G779" s="123"/>
      <c r="H779" s="123"/>
      <c r="I779" s="124"/>
      <c r="J779" s="125"/>
      <c r="K779" s="119"/>
    </row>
    <row r="780" spans="1:11" ht="15" customHeight="1">
      <c r="A780" s="119"/>
      <c r="B780" s="126"/>
      <c r="C780" s="119"/>
      <c r="D780" s="119"/>
      <c r="E780" s="121"/>
      <c r="F780" s="122"/>
      <c r="G780" s="123"/>
      <c r="H780" s="123"/>
      <c r="I780" s="124"/>
      <c r="J780" s="125"/>
      <c r="K780" s="119"/>
    </row>
    <row r="781" spans="1:11" ht="15" customHeight="1">
      <c r="A781" s="119"/>
      <c r="B781" s="126"/>
      <c r="C781" s="119"/>
      <c r="D781" s="119"/>
      <c r="E781" s="121"/>
      <c r="F781" s="122"/>
      <c r="G781" s="123"/>
      <c r="H781" s="123"/>
      <c r="I781" s="124"/>
      <c r="J781" s="125"/>
      <c r="K781" s="119"/>
    </row>
    <row r="782" spans="1:11" ht="15" customHeight="1">
      <c r="A782" s="119"/>
      <c r="B782" s="126"/>
      <c r="C782" s="119"/>
      <c r="D782" s="119"/>
      <c r="E782" s="121"/>
      <c r="F782" s="122"/>
      <c r="G782" s="123"/>
      <c r="H782" s="123"/>
      <c r="I782" s="124"/>
      <c r="J782" s="125"/>
      <c r="K782" s="119"/>
    </row>
    <row r="783" spans="1:11" ht="15" customHeight="1">
      <c r="A783" s="119"/>
      <c r="B783" s="126"/>
      <c r="C783" s="119"/>
      <c r="D783" s="119"/>
      <c r="E783" s="121"/>
      <c r="F783" s="122"/>
      <c r="G783" s="123"/>
      <c r="H783" s="123"/>
      <c r="I783" s="124"/>
      <c r="J783" s="125"/>
      <c r="K783" s="119"/>
    </row>
    <row r="784" spans="1:11" ht="15" customHeight="1">
      <c r="A784" s="119"/>
      <c r="B784" s="126"/>
      <c r="C784" s="119"/>
      <c r="D784" s="119"/>
      <c r="E784" s="121"/>
      <c r="F784" s="122"/>
      <c r="G784" s="123"/>
      <c r="H784" s="123"/>
      <c r="I784" s="124"/>
      <c r="J784" s="125"/>
      <c r="K784" s="119"/>
    </row>
    <row r="785" spans="1:11" ht="15" customHeight="1">
      <c r="A785" s="119"/>
      <c r="B785" s="126"/>
      <c r="C785" s="119"/>
      <c r="D785" s="119"/>
      <c r="E785" s="121"/>
      <c r="F785" s="122"/>
      <c r="G785" s="123"/>
      <c r="H785" s="123"/>
      <c r="I785" s="124"/>
      <c r="J785" s="125"/>
      <c r="K785" s="119"/>
    </row>
    <row r="786" spans="1:11" ht="15" customHeight="1">
      <c r="A786" s="119"/>
      <c r="B786" s="126"/>
      <c r="C786" s="119"/>
      <c r="D786" s="119"/>
      <c r="E786" s="121"/>
      <c r="F786" s="122"/>
      <c r="G786" s="123"/>
      <c r="H786" s="123"/>
      <c r="I786" s="124"/>
      <c r="J786" s="125"/>
      <c r="K786" s="119"/>
    </row>
    <row r="787" spans="1:11" ht="15" customHeight="1">
      <c r="A787" s="119"/>
      <c r="B787" s="126"/>
      <c r="C787" s="119"/>
      <c r="D787" s="119"/>
      <c r="E787" s="121"/>
      <c r="F787" s="122"/>
      <c r="G787" s="123"/>
      <c r="H787" s="123"/>
      <c r="I787" s="124"/>
      <c r="J787" s="125"/>
      <c r="K787" s="119"/>
    </row>
    <row r="788" spans="1:11" ht="15" customHeight="1">
      <c r="A788" s="119"/>
      <c r="B788" s="126"/>
      <c r="C788" s="119"/>
      <c r="D788" s="119"/>
      <c r="E788" s="121"/>
      <c r="F788" s="122"/>
      <c r="G788" s="123"/>
      <c r="H788" s="123"/>
      <c r="I788" s="124"/>
      <c r="J788" s="125"/>
      <c r="K788" s="119"/>
    </row>
    <row r="789" spans="1:11" ht="15" customHeight="1">
      <c r="A789" s="119"/>
      <c r="B789" s="126"/>
      <c r="C789" s="119"/>
      <c r="D789" s="119"/>
      <c r="E789" s="121"/>
      <c r="F789" s="122"/>
      <c r="G789" s="123"/>
      <c r="H789" s="123"/>
      <c r="I789" s="124"/>
      <c r="J789" s="125"/>
      <c r="K789" s="119"/>
    </row>
    <row r="790" spans="1:11" ht="15" customHeight="1">
      <c r="A790" s="119"/>
      <c r="B790" s="126"/>
      <c r="C790" s="119"/>
      <c r="D790" s="119"/>
      <c r="E790" s="121"/>
      <c r="F790" s="122"/>
      <c r="G790" s="123"/>
      <c r="H790" s="123"/>
      <c r="I790" s="124"/>
      <c r="J790" s="125"/>
      <c r="K790" s="119"/>
    </row>
    <row r="791" spans="1:11" ht="15" customHeight="1">
      <c r="A791" s="119"/>
      <c r="B791" s="126"/>
      <c r="C791" s="119"/>
      <c r="D791" s="119"/>
      <c r="E791" s="121"/>
      <c r="F791" s="122"/>
      <c r="G791" s="123"/>
      <c r="H791" s="123"/>
      <c r="I791" s="124"/>
      <c r="J791" s="125"/>
      <c r="K791" s="119"/>
    </row>
    <row r="792" spans="1:11" ht="15" customHeight="1">
      <c r="A792" s="119"/>
      <c r="B792" s="126"/>
      <c r="C792" s="119"/>
      <c r="D792" s="119"/>
      <c r="E792" s="121"/>
      <c r="F792" s="122"/>
      <c r="G792" s="123"/>
      <c r="H792" s="123"/>
      <c r="I792" s="124"/>
      <c r="J792" s="125"/>
      <c r="K792" s="119"/>
    </row>
    <row r="793" spans="1:11" ht="15" customHeight="1">
      <c r="A793" s="119"/>
      <c r="B793" s="126"/>
      <c r="C793" s="119"/>
      <c r="D793" s="119"/>
      <c r="E793" s="121"/>
      <c r="F793" s="122"/>
      <c r="G793" s="123"/>
      <c r="H793" s="123"/>
      <c r="I793" s="124"/>
      <c r="J793" s="125"/>
      <c r="K793" s="119"/>
    </row>
    <row r="794" spans="1:11" ht="15" customHeight="1">
      <c r="A794" s="119"/>
      <c r="B794" s="126"/>
      <c r="C794" s="119"/>
      <c r="D794" s="119"/>
      <c r="E794" s="121"/>
      <c r="F794" s="122"/>
      <c r="G794" s="123"/>
      <c r="H794" s="123"/>
      <c r="I794" s="124"/>
      <c r="J794" s="125"/>
      <c r="K794" s="119"/>
    </row>
    <row r="795" spans="1:11" ht="15" customHeight="1">
      <c r="A795" s="119"/>
      <c r="B795" s="126"/>
      <c r="C795" s="119"/>
      <c r="D795" s="119"/>
      <c r="E795" s="121"/>
      <c r="F795" s="122"/>
      <c r="G795" s="123"/>
      <c r="H795" s="123"/>
      <c r="I795" s="124"/>
      <c r="J795" s="125"/>
      <c r="K795" s="119"/>
    </row>
    <row r="796" spans="1:11" ht="15" customHeight="1">
      <c r="A796" s="119"/>
      <c r="B796" s="126"/>
      <c r="C796" s="119"/>
      <c r="D796" s="119"/>
      <c r="E796" s="121"/>
      <c r="F796" s="122"/>
      <c r="G796" s="123"/>
      <c r="H796" s="123"/>
      <c r="I796" s="124"/>
      <c r="J796" s="125"/>
      <c r="K796" s="119"/>
    </row>
    <row r="797" spans="1:11" ht="15" customHeight="1">
      <c r="A797" s="119"/>
      <c r="B797" s="126"/>
      <c r="C797" s="119"/>
      <c r="D797" s="119"/>
      <c r="E797" s="121"/>
      <c r="F797" s="122"/>
      <c r="G797" s="123"/>
      <c r="H797" s="123"/>
      <c r="I797" s="124"/>
      <c r="J797" s="125"/>
      <c r="K797" s="119"/>
    </row>
    <row r="798" spans="1:11" ht="15" customHeight="1">
      <c r="A798" s="119"/>
      <c r="B798" s="126"/>
      <c r="C798" s="119"/>
      <c r="D798" s="119"/>
      <c r="E798" s="121"/>
      <c r="F798" s="122"/>
      <c r="G798" s="123"/>
      <c r="H798" s="123"/>
      <c r="I798" s="124"/>
      <c r="J798" s="125"/>
      <c r="K798" s="119"/>
    </row>
    <row r="799" spans="1:11" ht="15" customHeight="1">
      <c r="A799" s="119"/>
      <c r="B799" s="126"/>
      <c r="C799" s="119"/>
      <c r="D799" s="119"/>
      <c r="E799" s="121"/>
      <c r="F799" s="122"/>
      <c r="G799" s="123"/>
      <c r="H799" s="123"/>
      <c r="I799" s="124"/>
      <c r="J799" s="125"/>
      <c r="K799" s="119"/>
    </row>
    <row r="800" spans="1:11" ht="15" customHeight="1">
      <c r="A800" s="119"/>
      <c r="B800" s="126"/>
      <c r="C800" s="119"/>
      <c r="D800" s="119"/>
      <c r="E800" s="121"/>
      <c r="F800" s="122"/>
      <c r="G800" s="123"/>
      <c r="H800" s="123"/>
      <c r="I800" s="124"/>
      <c r="J800" s="125"/>
      <c r="K800" s="119"/>
    </row>
    <row r="801" spans="1:11" ht="15" customHeight="1">
      <c r="A801" s="119"/>
      <c r="B801" s="126"/>
      <c r="C801" s="119"/>
      <c r="D801" s="119"/>
      <c r="E801" s="121"/>
      <c r="F801" s="122"/>
      <c r="G801" s="123"/>
      <c r="H801" s="123"/>
      <c r="I801" s="124"/>
      <c r="J801" s="125"/>
      <c r="K801" s="119"/>
    </row>
    <row r="802" spans="1:11" ht="15" customHeight="1">
      <c r="A802" s="119"/>
      <c r="B802" s="126"/>
      <c r="C802" s="119"/>
      <c r="D802" s="119"/>
      <c r="E802" s="121"/>
      <c r="F802" s="122"/>
      <c r="G802" s="123"/>
      <c r="H802" s="123"/>
      <c r="I802" s="124"/>
      <c r="J802" s="125"/>
      <c r="K802" s="119"/>
    </row>
    <row r="803" spans="1:11" ht="15" customHeight="1">
      <c r="A803" s="119"/>
      <c r="B803" s="126"/>
      <c r="C803" s="119"/>
      <c r="D803" s="119"/>
      <c r="E803" s="121"/>
      <c r="F803" s="122"/>
      <c r="G803" s="123"/>
      <c r="H803" s="123"/>
      <c r="I803" s="124"/>
      <c r="J803" s="125"/>
      <c r="K803" s="119"/>
    </row>
    <row r="804" spans="1:11" ht="15" customHeight="1">
      <c r="A804" s="119"/>
      <c r="B804" s="126"/>
      <c r="C804" s="119"/>
      <c r="D804" s="119"/>
      <c r="E804" s="121"/>
      <c r="F804" s="122"/>
      <c r="G804" s="123"/>
      <c r="H804" s="123"/>
      <c r="I804" s="124"/>
      <c r="J804" s="125"/>
      <c r="K804" s="119"/>
    </row>
    <row r="805" spans="1:11" ht="15" customHeight="1">
      <c r="A805" s="119"/>
      <c r="B805" s="126"/>
      <c r="C805" s="119"/>
      <c r="D805" s="119"/>
      <c r="E805" s="121"/>
      <c r="F805" s="122"/>
      <c r="G805" s="123"/>
      <c r="H805" s="123"/>
      <c r="I805" s="124"/>
      <c r="J805" s="125"/>
      <c r="K805" s="119"/>
    </row>
    <row r="806" spans="1:11" ht="15" customHeight="1">
      <c r="A806" s="119"/>
      <c r="B806" s="126"/>
      <c r="C806" s="119"/>
      <c r="D806" s="119"/>
      <c r="E806" s="121"/>
      <c r="F806" s="122"/>
      <c r="G806" s="123"/>
      <c r="H806" s="123"/>
      <c r="I806" s="124"/>
      <c r="J806" s="125"/>
      <c r="K806" s="119"/>
    </row>
    <row r="807" spans="1:11" ht="15" customHeight="1">
      <c r="A807" s="119"/>
      <c r="B807" s="126"/>
      <c r="C807" s="119"/>
      <c r="D807" s="119"/>
      <c r="E807" s="121"/>
      <c r="F807" s="122"/>
      <c r="G807" s="123"/>
      <c r="H807" s="123"/>
      <c r="I807" s="124"/>
      <c r="J807" s="125"/>
      <c r="K807" s="119"/>
    </row>
    <row r="808" spans="1:11" ht="15" customHeight="1">
      <c r="A808" s="119"/>
      <c r="B808" s="126"/>
      <c r="C808" s="119"/>
      <c r="D808" s="119"/>
      <c r="E808" s="121"/>
      <c r="F808" s="122"/>
      <c r="G808" s="123"/>
      <c r="H808" s="123"/>
      <c r="I808" s="124"/>
      <c r="J808" s="125"/>
      <c r="K808" s="119"/>
    </row>
    <row r="809" spans="1:11" ht="15" customHeight="1">
      <c r="A809" s="119"/>
      <c r="B809" s="126"/>
      <c r="C809" s="119"/>
      <c r="D809" s="119"/>
      <c r="E809" s="121"/>
      <c r="F809" s="122"/>
      <c r="G809" s="123"/>
      <c r="H809" s="123"/>
      <c r="I809" s="124"/>
      <c r="J809" s="125"/>
      <c r="K809" s="119"/>
    </row>
    <row r="810" spans="1:11" ht="15" customHeight="1">
      <c r="A810" s="119"/>
      <c r="B810" s="126"/>
      <c r="C810" s="119"/>
      <c r="D810" s="119"/>
      <c r="E810" s="121"/>
      <c r="F810" s="122"/>
      <c r="G810" s="123"/>
      <c r="H810" s="123"/>
      <c r="I810" s="124"/>
      <c r="J810" s="125"/>
      <c r="K810" s="119"/>
    </row>
    <row r="811" spans="1:11" ht="15" customHeight="1">
      <c r="A811" s="119"/>
      <c r="B811" s="126"/>
      <c r="C811" s="119"/>
      <c r="D811" s="119"/>
      <c r="E811" s="121"/>
      <c r="F811" s="122"/>
      <c r="G811" s="123"/>
      <c r="H811" s="123"/>
      <c r="I811" s="124"/>
      <c r="J811" s="125"/>
      <c r="K811" s="119"/>
    </row>
    <row r="812" spans="1:11" ht="15" customHeight="1">
      <c r="A812" s="119"/>
      <c r="B812" s="126"/>
      <c r="C812" s="119"/>
      <c r="D812" s="119"/>
      <c r="E812" s="121"/>
      <c r="F812" s="122"/>
      <c r="G812" s="123"/>
      <c r="H812" s="123"/>
      <c r="I812" s="124"/>
      <c r="J812" s="125"/>
      <c r="K812" s="119"/>
    </row>
    <row r="813" spans="1:11" ht="15" customHeight="1">
      <c r="A813" s="119"/>
      <c r="B813" s="126"/>
      <c r="C813" s="119"/>
      <c r="D813" s="119"/>
      <c r="E813" s="121"/>
      <c r="F813" s="122"/>
      <c r="G813" s="123"/>
      <c r="H813" s="123"/>
      <c r="I813" s="124"/>
      <c r="J813" s="125"/>
      <c r="K813" s="119"/>
    </row>
    <row r="814" spans="1:11" ht="15" customHeight="1">
      <c r="A814" s="119"/>
      <c r="B814" s="126"/>
      <c r="C814" s="119"/>
      <c r="D814" s="119"/>
      <c r="E814" s="121"/>
      <c r="F814" s="122"/>
      <c r="G814" s="123"/>
      <c r="H814" s="123"/>
      <c r="I814" s="124"/>
      <c r="J814" s="125"/>
      <c r="K814" s="119"/>
    </row>
    <row r="815" spans="1:11" ht="15" customHeight="1">
      <c r="A815" s="119"/>
      <c r="B815" s="126"/>
      <c r="C815" s="119"/>
      <c r="D815" s="119"/>
      <c r="E815" s="121"/>
      <c r="F815" s="122"/>
      <c r="G815" s="123"/>
      <c r="H815" s="123"/>
      <c r="I815" s="124"/>
      <c r="J815" s="125"/>
      <c r="K815" s="119"/>
    </row>
    <row r="816" spans="1:11" ht="15" customHeight="1">
      <c r="A816" s="119"/>
      <c r="B816" s="126"/>
      <c r="C816" s="119"/>
      <c r="D816" s="119"/>
      <c r="E816" s="121"/>
      <c r="F816" s="122"/>
      <c r="G816" s="123"/>
      <c r="H816" s="123"/>
      <c r="I816" s="124"/>
      <c r="J816" s="125"/>
      <c r="K816" s="119"/>
    </row>
    <row r="817" spans="1:11" ht="15" customHeight="1">
      <c r="A817" s="119"/>
      <c r="B817" s="126"/>
      <c r="C817" s="119"/>
      <c r="D817" s="119"/>
      <c r="E817" s="121"/>
      <c r="F817" s="122"/>
      <c r="G817" s="123"/>
      <c r="H817" s="123"/>
      <c r="I817" s="124"/>
      <c r="J817" s="125"/>
      <c r="K817" s="119"/>
    </row>
    <row r="818" spans="1:11" ht="15" customHeight="1">
      <c r="A818" s="119"/>
      <c r="B818" s="126"/>
      <c r="C818" s="119"/>
      <c r="D818" s="119"/>
      <c r="E818" s="121"/>
      <c r="F818" s="122"/>
      <c r="G818" s="123"/>
      <c r="H818" s="123"/>
      <c r="I818" s="124"/>
      <c r="J818" s="125"/>
      <c r="K818" s="119"/>
    </row>
    <row r="819" spans="1:11" ht="15" customHeight="1">
      <c r="A819" s="119"/>
      <c r="B819" s="126"/>
      <c r="C819" s="119"/>
      <c r="D819" s="119"/>
      <c r="E819" s="121"/>
      <c r="F819" s="122"/>
      <c r="G819" s="123"/>
      <c r="H819" s="123"/>
      <c r="I819" s="124"/>
      <c r="J819" s="125"/>
      <c r="K819" s="119"/>
    </row>
    <row r="820" spans="1:11" ht="15" customHeight="1">
      <c r="A820" s="119"/>
      <c r="B820" s="126"/>
      <c r="C820" s="119"/>
      <c r="D820" s="119"/>
      <c r="E820" s="121"/>
      <c r="F820" s="122"/>
      <c r="G820" s="123"/>
      <c r="H820" s="123"/>
      <c r="I820" s="124"/>
      <c r="J820" s="125"/>
      <c r="K820" s="119"/>
    </row>
    <row r="821" spans="1:11" ht="15" customHeight="1">
      <c r="A821" s="119"/>
      <c r="B821" s="126"/>
      <c r="C821" s="119"/>
      <c r="D821" s="119"/>
      <c r="E821" s="121"/>
      <c r="F821" s="122"/>
      <c r="G821" s="123"/>
      <c r="H821" s="123"/>
      <c r="I821" s="124"/>
      <c r="J821" s="125"/>
      <c r="K821" s="119"/>
    </row>
    <row r="822" spans="1:11" ht="15" customHeight="1">
      <c r="A822" s="119"/>
      <c r="B822" s="126"/>
      <c r="C822" s="119"/>
      <c r="D822" s="119"/>
      <c r="E822" s="121"/>
      <c r="F822" s="122"/>
      <c r="G822" s="123"/>
      <c r="H822" s="123"/>
      <c r="I822" s="124"/>
      <c r="J822" s="125"/>
      <c r="K822" s="119"/>
    </row>
    <row r="823" spans="1:11" ht="15" customHeight="1">
      <c r="A823" s="119"/>
      <c r="B823" s="126"/>
      <c r="C823" s="119"/>
      <c r="D823" s="119"/>
      <c r="E823" s="121"/>
      <c r="F823" s="122"/>
      <c r="G823" s="123"/>
      <c r="H823" s="123"/>
      <c r="I823" s="124"/>
      <c r="J823" s="125"/>
      <c r="K823" s="119"/>
    </row>
    <row r="824" spans="1:11" ht="15" customHeight="1">
      <c r="A824" s="119"/>
      <c r="B824" s="126"/>
      <c r="C824" s="119"/>
      <c r="D824" s="119"/>
      <c r="E824" s="121"/>
      <c r="F824" s="122"/>
      <c r="G824" s="123"/>
      <c r="H824" s="123"/>
      <c r="I824" s="124"/>
      <c r="J824" s="125"/>
      <c r="K824" s="119"/>
    </row>
    <row r="825" spans="1:11" ht="15" customHeight="1">
      <c r="A825" s="119"/>
      <c r="B825" s="126"/>
      <c r="C825" s="119"/>
      <c r="D825" s="119"/>
      <c r="E825" s="121"/>
      <c r="F825" s="122"/>
      <c r="G825" s="123"/>
      <c r="H825" s="123"/>
      <c r="I825" s="124"/>
      <c r="J825" s="125"/>
      <c r="K825" s="119"/>
    </row>
    <row r="826" spans="1:11" ht="15" customHeight="1">
      <c r="A826" s="119"/>
      <c r="B826" s="126"/>
      <c r="C826" s="119"/>
      <c r="D826" s="119"/>
      <c r="E826" s="121"/>
      <c r="F826" s="122"/>
      <c r="G826" s="123"/>
      <c r="H826" s="123"/>
      <c r="I826" s="124"/>
      <c r="J826" s="125"/>
      <c r="K826" s="119"/>
    </row>
    <row r="827" spans="1:11" ht="15" customHeight="1">
      <c r="A827" s="119"/>
      <c r="B827" s="126"/>
      <c r="C827" s="119"/>
      <c r="D827" s="119"/>
      <c r="E827" s="121"/>
      <c r="F827" s="122"/>
      <c r="G827" s="123"/>
      <c r="H827" s="123"/>
      <c r="I827" s="124"/>
      <c r="J827" s="125"/>
      <c r="K827" s="119"/>
    </row>
    <row r="828" spans="1:11" ht="15" customHeight="1">
      <c r="A828" s="119"/>
      <c r="B828" s="126"/>
      <c r="C828" s="119"/>
      <c r="D828" s="119"/>
      <c r="E828" s="121"/>
      <c r="F828" s="122"/>
      <c r="G828" s="123"/>
      <c r="H828" s="123"/>
      <c r="I828" s="124"/>
      <c r="J828" s="125"/>
      <c r="K828" s="119"/>
    </row>
    <row r="829" spans="1:11" ht="15" customHeight="1">
      <c r="A829" s="119"/>
      <c r="B829" s="126"/>
      <c r="C829" s="119"/>
      <c r="D829" s="119"/>
      <c r="E829" s="121"/>
      <c r="F829" s="122"/>
      <c r="G829" s="123"/>
      <c r="H829" s="123"/>
      <c r="I829" s="124"/>
      <c r="J829" s="125"/>
      <c r="K829" s="119"/>
    </row>
    <row r="830" spans="1:11" ht="15" customHeight="1">
      <c r="A830" s="119"/>
      <c r="B830" s="126"/>
      <c r="C830" s="119"/>
      <c r="D830" s="119"/>
      <c r="E830" s="121"/>
      <c r="F830" s="122"/>
      <c r="G830" s="123"/>
      <c r="H830" s="123"/>
      <c r="I830" s="124"/>
      <c r="J830" s="125"/>
      <c r="K830" s="119"/>
    </row>
    <row r="831" spans="1:11" ht="15" customHeight="1">
      <c r="A831" s="119"/>
      <c r="B831" s="126"/>
      <c r="C831" s="119"/>
      <c r="D831" s="119"/>
      <c r="E831" s="121"/>
      <c r="F831" s="122"/>
      <c r="G831" s="123"/>
      <c r="H831" s="123"/>
      <c r="I831" s="124"/>
      <c r="J831" s="125"/>
      <c r="K831" s="119"/>
    </row>
    <row r="832" spans="1:11" ht="15" customHeight="1">
      <c r="A832" s="119"/>
      <c r="B832" s="126"/>
      <c r="C832" s="119"/>
      <c r="D832" s="119"/>
      <c r="E832" s="121"/>
      <c r="F832" s="122"/>
      <c r="G832" s="123"/>
      <c r="H832" s="123"/>
      <c r="I832" s="124"/>
      <c r="J832" s="125"/>
      <c r="K832" s="119"/>
    </row>
    <row r="833" spans="1:11" ht="15" customHeight="1">
      <c r="A833" s="119"/>
      <c r="B833" s="126"/>
      <c r="C833" s="119"/>
      <c r="D833" s="119"/>
      <c r="E833" s="121"/>
      <c r="F833" s="122"/>
      <c r="G833" s="123"/>
      <c r="H833" s="123"/>
      <c r="I833" s="124"/>
      <c r="J833" s="125"/>
      <c r="K833" s="119"/>
    </row>
    <row r="834" spans="1:11" ht="15" customHeight="1">
      <c r="A834" s="119"/>
      <c r="B834" s="126"/>
      <c r="C834" s="119"/>
      <c r="D834" s="119"/>
      <c r="E834" s="121"/>
      <c r="F834" s="122"/>
      <c r="G834" s="123"/>
      <c r="H834" s="123"/>
      <c r="I834" s="124"/>
      <c r="J834" s="125"/>
      <c r="K834" s="119"/>
    </row>
    <row r="835" spans="1:11" ht="15" customHeight="1">
      <c r="A835" s="119"/>
      <c r="B835" s="126"/>
      <c r="C835" s="119"/>
      <c r="D835" s="119"/>
      <c r="E835" s="121"/>
      <c r="F835" s="122"/>
      <c r="G835" s="123"/>
      <c r="H835" s="123"/>
      <c r="I835" s="124"/>
      <c r="J835" s="125"/>
      <c r="K835" s="119"/>
    </row>
    <row r="836" spans="1:11" ht="15" customHeight="1">
      <c r="A836" s="119"/>
      <c r="B836" s="126"/>
      <c r="C836" s="119"/>
      <c r="D836" s="119"/>
      <c r="E836" s="121"/>
      <c r="F836" s="122"/>
      <c r="G836" s="123"/>
      <c r="H836" s="123"/>
      <c r="I836" s="124"/>
      <c r="J836" s="125"/>
      <c r="K836" s="119"/>
    </row>
    <row r="837" spans="1:11" ht="15" customHeight="1">
      <c r="A837" s="119"/>
      <c r="B837" s="126"/>
      <c r="C837" s="119"/>
      <c r="D837" s="119"/>
      <c r="E837" s="121"/>
      <c r="F837" s="122"/>
      <c r="G837" s="123"/>
      <c r="H837" s="123"/>
      <c r="I837" s="124"/>
      <c r="J837" s="125"/>
      <c r="K837" s="119"/>
    </row>
    <row r="838" spans="1:11" ht="15" customHeight="1">
      <c r="A838" s="119"/>
      <c r="B838" s="126"/>
      <c r="C838" s="119"/>
      <c r="D838" s="119"/>
      <c r="E838" s="121"/>
      <c r="F838" s="122"/>
      <c r="G838" s="123"/>
      <c r="H838" s="123"/>
      <c r="I838" s="124"/>
      <c r="J838" s="125"/>
      <c r="K838" s="119"/>
    </row>
    <row r="839" spans="1:11" ht="15" customHeight="1">
      <c r="A839" s="119"/>
      <c r="B839" s="126"/>
      <c r="C839" s="119"/>
      <c r="D839" s="119"/>
      <c r="E839" s="121"/>
      <c r="F839" s="122"/>
      <c r="G839" s="123"/>
      <c r="H839" s="123"/>
      <c r="I839" s="124"/>
      <c r="J839" s="125"/>
      <c r="K839" s="119"/>
    </row>
    <row r="840" spans="1:11" ht="15" customHeight="1">
      <c r="A840" s="119"/>
      <c r="B840" s="126"/>
      <c r="C840" s="119"/>
      <c r="D840" s="119"/>
      <c r="E840" s="121"/>
      <c r="F840" s="122"/>
      <c r="G840" s="123"/>
      <c r="H840" s="123"/>
      <c r="I840" s="124"/>
      <c r="J840" s="125"/>
      <c r="K840" s="119"/>
    </row>
    <row r="841" spans="1:11" ht="15" customHeight="1">
      <c r="A841" s="119"/>
      <c r="B841" s="126"/>
      <c r="C841" s="119"/>
      <c r="D841" s="119"/>
      <c r="E841" s="121"/>
      <c r="F841" s="122"/>
      <c r="G841" s="123"/>
      <c r="H841" s="123"/>
      <c r="I841" s="124"/>
      <c r="J841" s="125"/>
      <c r="K841" s="119"/>
    </row>
    <row r="842" spans="1:11" ht="15" customHeight="1">
      <c r="A842" s="119"/>
      <c r="B842" s="126"/>
      <c r="C842" s="119"/>
      <c r="D842" s="119"/>
      <c r="E842" s="121"/>
      <c r="F842" s="122"/>
      <c r="G842" s="123"/>
      <c r="H842" s="123"/>
      <c r="I842" s="124"/>
      <c r="J842" s="125"/>
      <c r="K842" s="119"/>
    </row>
    <row r="843" spans="1:11" ht="15" customHeight="1">
      <c r="A843" s="119"/>
      <c r="B843" s="126"/>
      <c r="C843" s="119"/>
      <c r="D843" s="119"/>
      <c r="E843" s="121"/>
      <c r="F843" s="122"/>
      <c r="G843" s="123"/>
      <c r="H843" s="123"/>
      <c r="I843" s="124"/>
      <c r="J843" s="125"/>
      <c r="K843" s="119"/>
    </row>
    <row r="844" spans="1:11" ht="15" customHeight="1">
      <c r="A844" s="119"/>
      <c r="B844" s="126"/>
      <c r="C844" s="119"/>
      <c r="D844" s="119"/>
      <c r="E844" s="121"/>
      <c r="F844" s="122"/>
      <c r="G844" s="123"/>
      <c r="H844" s="123"/>
      <c r="I844" s="124"/>
      <c r="J844" s="125"/>
      <c r="K844" s="119"/>
    </row>
    <row r="845" spans="1:11" ht="15" customHeight="1">
      <c r="A845" s="119"/>
      <c r="B845" s="126"/>
      <c r="C845" s="119"/>
      <c r="D845" s="119"/>
      <c r="E845" s="121"/>
      <c r="F845" s="122"/>
      <c r="G845" s="123"/>
      <c r="H845" s="123"/>
      <c r="I845" s="124"/>
      <c r="J845" s="125"/>
      <c r="K845" s="119"/>
    </row>
    <row r="846" spans="1:11" ht="15" customHeight="1">
      <c r="A846" s="119"/>
      <c r="B846" s="126"/>
      <c r="C846" s="119"/>
      <c r="D846" s="119"/>
      <c r="E846" s="121"/>
      <c r="F846" s="122"/>
      <c r="G846" s="123"/>
      <c r="H846" s="123"/>
      <c r="I846" s="124"/>
      <c r="J846" s="125"/>
      <c r="K846" s="119"/>
    </row>
    <row r="847" spans="1:11" ht="15" customHeight="1">
      <c r="A847" s="119"/>
      <c r="B847" s="126"/>
      <c r="C847" s="119"/>
      <c r="D847" s="119"/>
      <c r="E847" s="121"/>
      <c r="F847" s="122"/>
      <c r="G847" s="123"/>
      <c r="H847" s="123"/>
      <c r="I847" s="124"/>
      <c r="J847" s="125"/>
      <c r="K847" s="119"/>
    </row>
    <row r="848" spans="1:11" ht="15" customHeight="1">
      <c r="A848" s="119"/>
      <c r="B848" s="126"/>
      <c r="C848" s="119"/>
      <c r="D848" s="119"/>
      <c r="E848" s="121"/>
      <c r="F848" s="122"/>
      <c r="G848" s="123"/>
      <c r="H848" s="123"/>
      <c r="I848" s="124"/>
      <c r="J848" s="125"/>
      <c r="K848" s="119"/>
    </row>
    <row r="849" spans="1:11" ht="15" customHeight="1">
      <c r="A849" s="119"/>
      <c r="B849" s="126"/>
      <c r="C849" s="119"/>
      <c r="D849" s="119"/>
      <c r="E849" s="121"/>
      <c r="F849" s="122"/>
      <c r="G849" s="123"/>
      <c r="H849" s="123"/>
      <c r="I849" s="124"/>
      <c r="J849" s="125"/>
      <c r="K849" s="119"/>
    </row>
    <row r="850" spans="1:11" ht="15" customHeight="1">
      <c r="A850" s="119"/>
      <c r="B850" s="126"/>
      <c r="C850" s="119"/>
      <c r="D850" s="119"/>
      <c r="E850" s="121"/>
      <c r="F850" s="122"/>
      <c r="G850" s="123"/>
      <c r="H850" s="123"/>
      <c r="I850" s="124"/>
      <c r="J850" s="125"/>
      <c r="K850" s="119"/>
    </row>
    <row r="851" spans="1:11" ht="15" customHeight="1">
      <c r="A851" s="119"/>
      <c r="B851" s="126"/>
      <c r="C851" s="119"/>
      <c r="D851" s="119"/>
      <c r="E851" s="121"/>
      <c r="F851" s="122"/>
      <c r="G851" s="123"/>
      <c r="H851" s="123"/>
      <c r="I851" s="124"/>
      <c r="J851" s="125"/>
      <c r="K851" s="119"/>
    </row>
    <row r="852" spans="1:11" ht="15" customHeight="1">
      <c r="A852" s="119"/>
      <c r="B852" s="126"/>
      <c r="C852" s="119"/>
      <c r="D852" s="119"/>
      <c r="E852" s="121"/>
      <c r="F852" s="122"/>
      <c r="G852" s="123"/>
      <c r="H852" s="123"/>
      <c r="I852" s="124"/>
      <c r="J852" s="125"/>
      <c r="K852" s="119"/>
    </row>
    <row r="853" spans="1:11" ht="15" customHeight="1">
      <c r="A853" s="119"/>
      <c r="B853" s="126"/>
      <c r="C853" s="119"/>
      <c r="D853" s="119"/>
      <c r="E853" s="121"/>
      <c r="F853" s="122"/>
      <c r="G853" s="123"/>
      <c r="H853" s="123"/>
      <c r="I853" s="124"/>
      <c r="J853" s="125"/>
      <c r="K853" s="119"/>
    </row>
    <row r="854" spans="1:11" ht="15" customHeight="1">
      <c r="A854" s="119"/>
      <c r="B854" s="126"/>
      <c r="C854" s="119"/>
      <c r="D854" s="119"/>
      <c r="E854" s="121"/>
      <c r="F854" s="122"/>
      <c r="G854" s="123"/>
      <c r="H854" s="123"/>
      <c r="I854" s="124"/>
      <c r="J854" s="125"/>
      <c r="K854" s="119"/>
    </row>
    <row r="855" spans="1:11" ht="15" customHeight="1">
      <c r="A855" s="119"/>
      <c r="B855" s="126"/>
      <c r="C855" s="119"/>
      <c r="D855" s="119"/>
      <c r="E855" s="121"/>
      <c r="F855" s="122"/>
      <c r="G855" s="123"/>
      <c r="H855" s="123"/>
      <c r="I855" s="124"/>
      <c r="J855" s="125"/>
      <c r="K855" s="119"/>
    </row>
    <row r="856" spans="1:11" ht="15" customHeight="1">
      <c r="A856" s="119"/>
      <c r="B856" s="126"/>
      <c r="C856" s="119"/>
      <c r="D856" s="119"/>
      <c r="E856" s="121"/>
      <c r="F856" s="122"/>
      <c r="G856" s="123"/>
      <c r="H856" s="123"/>
      <c r="I856" s="124"/>
      <c r="J856" s="125"/>
      <c r="K856" s="119"/>
    </row>
    <row r="857" spans="1:11" ht="15" customHeight="1">
      <c r="A857" s="119"/>
      <c r="B857" s="126"/>
      <c r="C857" s="119"/>
      <c r="D857" s="119"/>
      <c r="E857" s="121"/>
      <c r="F857" s="122"/>
      <c r="G857" s="123"/>
      <c r="H857" s="123"/>
      <c r="I857" s="124"/>
      <c r="J857" s="125"/>
      <c r="K857" s="119"/>
    </row>
    <row r="858" spans="1:11" ht="15" customHeight="1">
      <c r="A858" s="119"/>
      <c r="B858" s="126"/>
      <c r="C858" s="119"/>
      <c r="D858" s="119"/>
      <c r="E858" s="121"/>
      <c r="F858" s="122"/>
      <c r="G858" s="123"/>
      <c r="H858" s="123"/>
      <c r="I858" s="124"/>
      <c r="J858" s="125"/>
      <c r="K858" s="119"/>
    </row>
    <row r="859" spans="1:11" ht="15" customHeight="1">
      <c r="A859" s="119"/>
      <c r="B859" s="126"/>
      <c r="C859" s="119"/>
      <c r="D859" s="119"/>
      <c r="E859" s="121"/>
      <c r="F859" s="122"/>
      <c r="G859" s="123"/>
      <c r="H859" s="123"/>
      <c r="I859" s="124"/>
      <c r="J859" s="125"/>
      <c r="K859" s="119"/>
    </row>
    <row r="860" spans="1:11" ht="15" customHeight="1">
      <c r="A860" s="119"/>
      <c r="B860" s="126"/>
      <c r="C860" s="119"/>
      <c r="D860" s="119"/>
      <c r="E860" s="121"/>
      <c r="F860" s="122"/>
      <c r="G860" s="123"/>
      <c r="H860" s="123"/>
      <c r="I860" s="124"/>
      <c r="J860" s="125"/>
      <c r="K860" s="119"/>
    </row>
    <row r="861" spans="1:11" ht="15" customHeight="1">
      <c r="A861" s="119"/>
      <c r="B861" s="126"/>
      <c r="C861" s="119"/>
      <c r="D861" s="119"/>
      <c r="E861" s="121"/>
      <c r="F861" s="122"/>
      <c r="G861" s="123"/>
      <c r="H861" s="123"/>
      <c r="I861" s="124"/>
      <c r="J861" s="125"/>
      <c r="K861" s="119"/>
    </row>
    <row r="862" spans="1:11" ht="15" customHeight="1">
      <c r="A862" s="119"/>
      <c r="B862" s="126"/>
      <c r="C862" s="119"/>
      <c r="D862" s="119"/>
      <c r="E862" s="121"/>
      <c r="F862" s="122"/>
      <c r="G862" s="123"/>
      <c r="H862" s="123"/>
      <c r="I862" s="124"/>
      <c r="J862" s="125"/>
      <c r="K862" s="119"/>
    </row>
    <row r="863" spans="1:11" ht="15" customHeight="1">
      <c r="A863" s="119"/>
      <c r="B863" s="126"/>
      <c r="C863" s="119"/>
      <c r="D863" s="119"/>
      <c r="E863" s="121"/>
      <c r="F863" s="122"/>
      <c r="G863" s="123"/>
      <c r="H863" s="123"/>
      <c r="I863" s="124"/>
      <c r="J863" s="125"/>
      <c r="K863" s="119"/>
    </row>
    <row r="864" spans="1:11" ht="15" customHeight="1">
      <c r="A864" s="119"/>
      <c r="B864" s="126"/>
      <c r="C864" s="119"/>
      <c r="D864" s="119"/>
      <c r="E864" s="121"/>
      <c r="F864" s="122"/>
      <c r="G864" s="123"/>
      <c r="H864" s="123"/>
      <c r="I864" s="124"/>
      <c r="J864" s="125"/>
      <c r="K864" s="119"/>
    </row>
    <row r="865" spans="1:11" ht="15" customHeight="1">
      <c r="A865" s="119"/>
      <c r="B865" s="126"/>
      <c r="C865" s="119"/>
      <c r="D865" s="119"/>
      <c r="E865" s="121"/>
      <c r="F865" s="122"/>
      <c r="G865" s="123"/>
      <c r="H865" s="123"/>
      <c r="I865" s="124"/>
      <c r="J865" s="125"/>
      <c r="K865" s="119"/>
    </row>
    <row r="866" spans="1:11" ht="15" customHeight="1">
      <c r="A866" s="119"/>
      <c r="B866" s="126"/>
      <c r="C866" s="119"/>
      <c r="D866" s="119"/>
      <c r="E866" s="121"/>
      <c r="F866" s="122"/>
      <c r="G866" s="123"/>
      <c r="H866" s="123"/>
      <c r="I866" s="124"/>
      <c r="J866" s="125"/>
      <c r="K866" s="119"/>
    </row>
    <row r="867" spans="1:11" ht="15" customHeight="1">
      <c r="A867" s="119"/>
      <c r="B867" s="126"/>
      <c r="C867" s="119"/>
      <c r="D867" s="119"/>
      <c r="E867" s="121"/>
      <c r="F867" s="122"/>
      <c r="G867" s="123"/>
      <c r="H867" s="123"/>
      <c r="I867" s="124"/>
      <c r="J867" s="125"/>
      <c r="K867" s="119"/>
    </row>
    <row r="868" spans="1:11" ht="15" customHeight="1">
      <c r="A868" s="119"/>
      <c r="B868" s="126"/>
      <c r="C868" s="119"/>
      <c r="D868" s="119"/>
      <c r="E868" s="121"/>
      <c r="F868" s="122"/>
      <c r="G868" s="123"/>
      <c r="H868" s="123"/>
      <c r="I868" s="124"/>
      <c r="J868" s="125"/>
      <c r="K868" s="119"/>
    </row>
    <row r="869" spans="1:11" ht="15" customHeight="1">
      <c r="A869" s="119"/>
      <c r="B869" s="126"/>
      <c r="C869" s="119"/>
      <c r="D869" s="119"/>
      <c r="E869" s="121"/>
      <c r="F869" s="122"/>
      <c r="G869" s="123"/>
      <c r="H869" s="123"/>
      <c r="I869" s="124"/>
      <c r="J869" s="125"/>
      <c r="K869" s="119"/>
    </row>
    <row r="870" spans="1:11" ht="15" customHeight="1">
      <c r="A870" s="119"/>
      <c r="B870" s="126"/>
      <c r="C870" s="119"/>
      <c r="D870" s="119"/>
      <c r="E870" s="121"/>
      <c r="F870" s="122"/>
      <c r="G870" s="123"/>
      <c r="H870" s="123"/>
      <c r="I870" s="124"/>
      <c r="J870" s="125"/>
      <c r="K870" s="119"/>
    </row>
    <row r="871" spans="1:11" ht="15" customHeight="1">
      <c r="A871" s="119"/>
      <c r="B871" s="126"/>
      <c r="C871" s="119"/>
      <c r="D871" s="119"/>
      <c r="E871" s="121"/>
      <c r="F871" s="122"/>
      <c r="G871" s="123"/>
      <c r="H871" s="123"/>
      <c r="I871" s="124"/>
      <c r="J871" s="125"/>
      <c r="K871" s="119"/>
    </row>
    <row r="872" spans="1:11" ht="15" customHeight="1">
      <c r="A872" s="119"/>
      <c r="B872" s="126"/>
      <c r="C872" s="119"/>
      <c r="D872" s="119"/>
      <c r="E872" s="121"/>
      <c r="F872" s="122"/>
      <c r="G872" s="123"/>
      <c r="H872" s="123"/>
      <c r="I872" s="124"/>
      <c r="J872" s="125"/>
      <c r="K872" s="119"/>
    </row>
    <row r="873" spans="1:11" ht="15" customHeight="1">
      <c r="A873" s="119"/>
      <c r="B873" s="126"/>
      <c r="C873" s="119"/>
      <c r="D873" s="119"/>
      <c r="E873" s="121"/>
      <c r="F873" s="122"/>
      <c r="G873" s="123"/>
      <c r="H873" s="123"/>
      <c r="I873" s="124"/>
      <c r="J873" s="125"/>
      <c r="K873" s="119"/>
    </row>
    <row r="874" spans="1:11" ht="15" customHeight="1">
      <c r="A874" s="119"/>
      <c r="B874" s="126"/>
      <c r="C874" s="119"/>
      <c r="D874" s="119"/>
      <c r="E874" s="121"/>
      <c r="F874" s="122"/>
      <c r="G874" s="123"/>
      <c r="H874" s="123"/>
      <c r="I874" s="124"/>
      <c r="J874" s="125"/>
      <c r="K874" s="119"/>
    </row>
    <row r="875" spans="1:11" ht="15" customHeight="1">
      <c r="A875" s="119"/>
      <c r="B875" s="126"/>
      <c r="C875" s="119"/>
      <c r="D875" s="119"/>
      <c r="E875" s="121"/>
      <c r="F875" s="122"/>
      <c r="G875" s="123"/>
      <c r="H875" s="123"/>
      <c r="I875" s="124"/>
      <c r="J875" s="125"/>
      <c r="K875" s="119"/>
    </row>
    <row r="876" spans="1:11" ht="15" customHeight="1">
      <c r="A876" s="119"/>
      <c r="B876" s="126"/>
      <c r="C876" s="119"/>
      <c r="D876" s="119"/>
      <c r="E876" s="121"/>
      <c r="F876" s="122"/>
      <c r="G876" s="123"/>
      <c r="H876" s="123"/>
      <c r="I876" s="124"/>
      <c r="J876" s="125"/>
      <c r="K876" s="119"/>
    </row>
    <row r="877" spans="1:11" ht="15" customHeight="1">
      <c r="A877" s="119"/>
      <c r="B877" s="126"/>
      <c r="C877" s="119"/>
      <c r="D877" s="119"/>
      <c r="E877" s="121"/>
      <c r="F877" s="122"/>
      <c r="G877" s="123"/>
      <c r="H877" s="123"/>
      <c r="I877" s="124"/>
      <c r="J877" s="125"/>
      <c r="K877" s="119"/>
    </row>
    <row r="878" spans="1:11" ht="15" customHeight="1">
      <c r="A878" s="119"/>
      <c r="B878" s="126"/>
      <c r="C878" s="119"/>
      <c r="D878" s="119"/>
      <c r="E878" s="121"/>
      <c r="F878" s="122"/>
      <c r="G878" s="123"/>
      <c r="H878" s="123"/>
      <c r="I878" s="124"/>
      <c r="J878" s="125"/>
      <c r="K878" s="119"/>
    </row>
    <row r="879" spans="1:11" ht="15" customHeight="1">
      <c r="A879" s="119"/>
      <c r="B879" s="126"/>
      <c r="C879" s="119"/>
      <c r="D879" s="119"/>
      <c r="E879" s="121"/>
      <c r="F879" s="122"/>
      <c r="G879" s="123"/>
      <c r="H879" s="123"/>
      <c r="I879" s="124"/>
      <c r="J879" s="125"/>
      <c r="K879" s="119"/>
    </row>
    <row r="880" spans="1:11" ht="15" customHeight="1">
      <c r="A880" s="119"/>
      <c r="B880" s="126"/>
      <c r="C880" s="119"/>
      <c r="D880" s="119"/>
      <c r="E880" s="121"/>
      <c r="F880" s="122"/>
      <c r="G880" s="123"/>
      <c r="H880" s="123"/>
      <c r="I880" s="124"/>
      <c r="J880" s="125"/>
      <c r="K880" s="119"/>
    </row>
    <row r="881" spans="1:11" ht="15" customHeight="1">
      <c r="A881" s="119"/>
      <c r="B881" s="126"/>
      <c r="C881" s="119"/>
      <c r="D881" s="119"/>
      <c r="E881" s="121"/>
      <c r="F881" s="122"/>
      <c r="G881" s="123"/>
      <c r="H881" s="123"/>
      <c r="I881" s="124"/>
      <c r="J881" s="125"/>
      <c r="K881" s="119"/>
    </row>
    <row r="882" spans="1:11" ht="15" customHeight="1">
      <c r="A882" s="119"/>
      <c r="B882" s="126"/>
      <c r="C882" s="119"/>
      <c r="D882" s="119"/>
      <c r="E882" s="121"/>
      <c r="F882" s="122"/>
      <c r="G882" s="123"/>
      <c r="H882" s="123"/>
      <c r="I882" s="124"/>
      <c r="J882" s="125"/>
      <c r="K882" s="119"/>
    </row>
    <row r="883" spans="1:11" ht="15" customHeight="1">
      <c r="A883" s="119"/>
      <c r="B883" s="126"/>
      <c r="C883" s="119"/>
      <c r="D883" s="119"/>
      <c r="E883" s="121"/>
      <c r="F883" s="122"/>
      <c r="G883" s="123"/>
      <c r="H883" s="123"/>
      <c r="I883" s="124"/>
      <c r="J883" s="125"/>
      <c r="K883" s="119"/>
    </row>
    <row r="884" spans="1:11" ht="15" customHeight="1">
      <c r="A884" s="119"/>
      <c r="B884" s="126"/>
      <c r="C884" s="119"/>
      <c r="D884" s="119"/>
      <c r="E884" s="121"/>
      <c r="F884" s="122"/>
      <c r="G884" s="123"/>
      <c r="H884" s="123"/>
      <c r="I884" s="124"/>
      <c r="J884" s="125"/>
      <c r="K884" s="119"/>
    </row>
    <row r="885" spans="1:11" ht="15" customHeight="1">
      <c r="A885" s="119"/>
      <c r="B885" s="126"/>
      <c r="C885" s="119"/>
      <c r="D885" s="119"/>
      <c r="E885" s="121"/>
      <c r="F885" s="122"/>
      <c r="G885" s="123"/>
      <c r="H885" s="123"/>
      <c r="I885" s="124"/>
      <c r="J885" s="125"/>
      <c r="K885" s="119"/>
    </row>
    <row r="886" spans="1:11" ht="15" customHeight="1">
      <c r="A886" s="119"/>
      <c r="B886" s="126"/>
      <c r="C886" s="119"/>
      <c r="D886" s="119"/>
      <c r="E886" s="121"/>
      <c r="F886" s="122"/>
      <c r="G886" s="123"/>
      <c r="H886" s="123"/>
      <c r="I886" s="124"/>
      <c r="J886" s="125"/>
      <c r="K886" s="119"/>
    </row>
    <row r="887" spans="1:11" ht="15" customHeight="1">
      <c r="A887" s="119"/>
      <c r="B887" s="126"/>
      <c r="C887" s="119"/>
      <c r="D887" s="119"/>
      <c r="E887" s="121"/>
      <c r="F887" s="122"/>
      <c r="G887" s="123"/>
      <c r="H887" s="123"/>
      <c r="I887" s="124"/>
      <c r="J887" s="125"/>
      <c r="K887" s="119"/>
    </row>
    <row r="888" spans="1:11" ht="15" customHeight="1">
      <c r="A888" s="119"/>
      <c r="B888" s="126"/>
      <c r="C888" s="119"/>
      <c r="D888" s="119"/>
      <c r="E888" s="121"/>
      <c r="F888" s="122"/>
      <c r="G888" s="123"/>
      <c r="H888" s="123"/>
      <c r="I888" s="124"/>
      <c r="J888" s="125"/>
      <c r="K888" s="119"/>
    </row>
    <row r="889" spans="1:11" ht="15" customHeight="1">
      <c r="A889" s="119"/>
      <c r="B889" s="126"/>
      <c r="C889" s="119"/>
      <c r="D889" s="119"/>
      <c r="E889" s="121"/>
      <c r="F889" s="122"/>
      <c r="G889" s="123"/>
      <c r="H889" s="123"/>
      <c r="I889" s="124"/>
      <c r="J889" s="125"/>
      <c r="K889" s="119"/>
    </row>
    <row r="890" spans="1:11" ht="15" customHeight="1">
      <c r="A890" s="119"/>
      <c r="B890" s="126"/>
      <c r="C890" s="119"/>
      <c r="D890" s="119"/>
      <c r="E890" s="121"/>
      <c r="F890" s="122"/>
      <c r="G890" s="123"/>
      <c r="H890" s="123"/>
      <c r="I890" s="124"/>
      <c r="J890" s="125"/>
      <c r="K890" s="119"/>
    </row>
    <row r="891" spans="1:11" ht="15" customHeight="1">
      <c r="A891" s="119"/>
      <c r="B891" s="126"/>
      <c r="C891" s="119"/>
      <c r="D891" s="119"/>
      <c r="E891" s="121"/>
      <c r="F891" s="122"/>
      <c r="G891" s="123"/>
      <c r="H891" s="123"/>
      <c r="I891" s="124"/>
      <c r="J891" s="125"/>
      <c r="K891" s="119"/>
    </row>
    <row r="892" spans="1:11" ht="15" customHeight="1">
      <c r="A892" s="119"/>
      <c r="B892" s="126"/>
      <c r="C892" s="119"/>
      <c r="D892" s="119"/>
      <c r="E892" s="121"/>
      <c r="F892" s="122"/>
      <c r="G892" s="123"/>
      <c r="H892" s="123"/>
      <c r="I892" s="124"/>
      <c r="J892" s="125"/>
      <c r="K892" s="119"/>
    </row>
    <row r="893" spans="1:11" ht="15" customHeight="1">
      <c r="A893" s="119"/>
      <c r="B893" s="126"/>
      <c r="C893" s="119"/>
      <c r="D893" s="119"/>
      <c r="E893" s="121"/>
      <c r="F893" s="122"/>
      <c r="G893" s="123"/>
      <c r="H893" s="123"/>
      <c r="I893" s="124"/>
      <c r="J893" s="125"/>
      <c r="K893" s="119"/>
    </row>
    <row r="894" spans="1:11" ht="15" customHeight="1">
      <c r="A894" s="119"/>
      <c r="B894" s="126"/>
      <c r="C894" s="119"/>
      <c r="D894" s="119"/>
      <c r="E894" s="121"/>
      <c r="F894" s="122"/>
      <c r="G894" s="123"/>
      <c r="H894" s="123"/>
      <c r="I894" s="124"/>
      <c r="J894" s="125"/>
      <c r="K894" s="119"/>
    </row>
    <row r="895" spans="1:11" ht="15" customHeight="1">
      <c r="A895" s="119"/>
      <c r="B895" s="126"/>
      <c r="C895" s="119"/>
      <c r="D895" s="119"/>
      <c r="E895" s="121"/>
      <c r="F895" s="122"/>
      <c r="G895" s="123"/>
      <c r="H895" s="123"/>
      <c r="I895" s="124"/>
      <c r="J895" s="125"/>
      <c r="K895" s="119"/>
    </row>
    <row r="896" spans="1:11" ht="15" customHeight="1">
      <c r="A896" s="119"/>
      <c r="B896" s="126"/>
      <c r="C896" s="119"/>
      <c r="D896" s="119"/>
      <c r="E896" s="121"/>
      <c r="F896" s="122"/>
      <c r="G896" s="123"/>
      <c r="H896" s="123"/>
      <c r="I896" s="124"/>
      <c r="J896" s="125"/>
      <c r="K896" s="119"/>
    </row>
    <row r="897" spans="1:11" ht="15" customHeight="1">
      <c r="A897" s="119"/>
      <c r="B897" s="126"/>
      <c r="C897" s="119"/>
      <c r="D897" s="119"/>
      <c r="E897" s="121"/>
      <c r="F897" s="122"/>
      <c r="G897" s="123"/>
      <c r="H897" s="123"/>
      <c r="I897" s="124"/>
      <c r="J897" s="125"/>
      <c r="K897" s="119"/>
    </row>
    <row r="898" spans="1:11" ht="15" customHeight="1">
      <c r="A898" s="119"/>
      <c r="B898" s="126"/>
      <c r="C898" s="119"/>
      <c r="D898" s="119"/>
      <c r="E898" s="121"/>
      <c r="F898" s="122"/>
      <c r="G898" s="123"/>
      <c r="H898" s="123"/>
      <c r="I898" s="124"/>
      <c r="J898" s="125"/>
      <c r="K898" s="119"/>
    </row>
    <row r="899" spans="1:11" ht="15" customHeight="1">
      <c r="A899" s="119"/>
      <c r="B899" s="126"/>
      <c r="C899" s="119"/>
      <c r="D899" s="119"/>
      <c r="E899" s="121"/>
      <c r="F899" s="122"/>
      <c r="G899" s="123"/>
      <c r="H899" s="123"/>
      <c r="I899" s="124"/>
      <c r="J899" s="125"/>
      <c r="K899" s="119"/>
    </row>
    <row r="900" spans="1:11" ht="15" customHeight="1">
      <c r="A900" s="119"/>
      <c r="B900" s="126"/>
      <c r="C900" s="119"/>
      <c r="D900" s="119"/>
      <c r="E900" s="121"/>
      <c r="F900" s="122"/>
      <c r="G900" s="123"/>
      <c r="H900" s="123"/>
      <c r="I900" s="124"/>
      <c r="J900" s="125"/>
      <c r="K900" s="119"/>
    </row>
    <row r="901" spans="1:11" ht="15" customHeight="1">
      <c r="A901" s="119"/>
      <c r="B901" s="126"/>
      <c r="C901" s="119"/>
      <c r="D901" s="119"/>
      <c r="E901" s="121"/>
      <c r="F901" s="122"/>
      <c r="G901" s="123"/>
      <c r="H901" s="123"/>
      <c r="I901" s="124"/>
      <c r="J901" s="125"/>
      <c r="K901" s="119"/>
    </row>
    <row r="902" spans="1:11" ht="15" customHeight="1">
      <c r="A902" s="119"/>
      <c r="B902" s="126"/>
      <c r="C902" s="119"/>
      <c r="D902" s="119"/>
      <c r="E902" s="121"/>
      <c r="F902" s="122"/>
      <c r="G902" s="123"/>
      <c r="H902" s="123"/>
      <c r="I902" s="124"/>
      <c r="J902" s="125"/>
      <c r="K902" s="119"/>
    </row>
    <row r="903" spans="1:11" ht="15" customHeight="1">
      <c r="A903" s="119"/>
      <c r="B903" s="126"/>
      <c r="C903" s="119"/>
      <c r="D903" s="119"/>
      <c r="E903" s="121"/>
      <c r="F903" s="122"/>
      <c r="G903" s="123"/>
      <c r="H903" s="123"/>
      <c r="I903" s="124"/>
      <c r="J903" s="125"/>
      <c r="K903" s="119"/>
    </row>
    <row r="904" spans="1:11" ht="15" customHeight="1">
      <c r="A904" s="119"/>
      <c r="B904" s="126"/>
      <c r="C904" s="119"/>
      <c r="D904" s="119"/>
      <c r="E904" s="121"/>
      <c r="F904" s="122"/>
      <c r="G904" s="123"/>
      <c r="H904" s="123"/>
      <c r="I904" s="124"/>
      <c r="J904" s="125"/>
      <c r="K904" s="119"/>
    </row>
    <row r="905" spans="1:11" ht="15" customHeight="1">
      <c r="A905" s="119"/>
      <c r="B905" s="126"/>
      <c r="C905" s="119"/>
      <c r="D905" s="119"/>
      <c r="E905" s="121"/>
      <c r="F905" s="122"/>
      <c r="G905" s="123"/>
      <c r="H905" s="123"/>
      <c r="I905" s="124"/>
      <c r="J905" s="125"/>
      <c r="K905" s="119"/>
    </row>
    <row r="906" spans="1:11" ht="15" customHeight="1">
      <c r="A906" s="119"/>
      <c r="B906" s="126"/>
      <c r="C906" s="119"/>
      <c r="D906" s="119"/>
      <c r="E906" s="121"/>
      <c r="F906" s="122"/>
      <c r="G906" s="123"/>
      <c r="H906" s="123"/>
      <c r="I906" s="124"/>
      <c r="J906" s="125"/>
      <c r="K906" s="119"/>
    </row>
    <row r="907" spans="1:11" ht="15" customHeight="1">
      <c r="A907" s="119"/>
      <c r="B907" s="126"/>
      <c r="C907" s="119"/>
      <c r="D907" s="119"/>
      <c r="E907" s="121"/>
      <c r="F907" s="122"/>
      <c r="G907" s="123"/>
      <c r="H907" s="123"/>
      <c r="I907" s="124"/>
      <c r="J907" s="125"/>
      <c r="K907" s="119"/>
    </row>
    <row r="908" spans="1:11" ht="15" customHeight="1">
      <c r="A908" s="119"/>
      <c r="B908" s="126"/>
      <c r="C908" s="119"/>
      <c r="D908" s="119"/>
      <c r="E908" s="121"/>
      <c r="F908" s="122"/>
      <c r="G908" s="123"/>
      <c r="H908" s="123"/>
      <c r="I908" s="124"/>
      <c r="J908" s="125"/>
      <c r="K908" s="119"/>
    </row>
    <row r="909" spans="1:11" ht="15" customHeight="1">
      <c r="A909" s="119"/>
      <c r="B909" s="126"/>
      <c r="C909" s="119"/>
      <c r="D909" s="119"/>
      <c r="E909" s="121"/>
      <c r="F909" s="122"/>
      <c r="G909" s="123"/>
      <c r="H909" s="123"/>
      <c r="I909" s="124"/>
      <c r="J909" s="125"/>
      <c r="K909" s="119"/>
    </row>
    <row r="910" spans="1:11" ht="15" customHeight="1">
      <c r="A910" s="119"/>
      <c r="B910" s="126"/>
      <c r="C910" s="119"/>
      <c r="D910" s="119"/>
      <c r="E910" s="121"/>
      <c r="F910" s="122"/>
      <c r="G910" s="123"/>
      <c r="H910" s="123"/>
      <c r="I910" s="124"/>
      <c r="J910" s="125"/>
      <c r="K910" s="119"/>
    </row>
    <row r="911" spans="1:11" ht="15" customHeight="1">
      <c r="A911" s="119"/>
      <c r="B911" s="126"/>
      <c r="C911" s="119"/>
      <c r="D911" s="119"/>
      <c r="E911" s="121"/>
      <c r="F911" s="122"/>
      <c r="G911" s="123"/>
      <c r="H911" s="123"/>
      <c r="I911" s="124"/>
      <c r="J911" s="125"/>
      <c r="K911" s="119"/>
    </row>
    <row r="912" spans="1:11" ht="15" customHeight="1">
      <c r="A912" s="119"/>
      <c r="B912" s="126"/>
      <c r="C912" s="119"/>
      <c r="D912" s="119"/>
      <c r="E912" s="121"/>
      <c r="F912" s="122"/>
      <c r="G912" s="123"/>
      <c r="H912" s="123"/>
      <c r="I912" s="124"/>
      <c r="J912" s="125"/>
      <c r="K912" s="119"/>
    </row>
    <row r="913" spans="1:11" ht="15" customHeight="1">
      <c r="A913" s="119"/>
      <c r="B913" s="126"/>
      <c r="C913" s="119"/>
      <c r="D913" s="119"/>
      <c r="E913" s="121"/>
      <c r="F913" s="122"/>
      <c r="G913" s="123"/>
      <c r="H913" s="123"/>
      <c r="I913" s="124"/>
      <c r="J913" s="125"/>
      <c r="K913" s="119"/>
    </row>
    <row r="914" spans="1:11" ht="15" customHeight="1">
      <c r="A914" s="119"/>
      <c r="B914" s="126"/>
      <c r="C914" s="119"/>
      <c r="D914" s="119"/>
      <c r="E914" s="121"/>
      <c r="F914" s="122"/>
      <c r="G914" s="123"/>
      <c r="H914" s="123"/>
      <c r="I914" s="124"/>
      <c r="J914" s="125"/>
      <c r="K914" s="119"/>
    </row>
    <row r="915" spans="1:11" ht="15" customHeight="1">
      <c r="A915" s="119"/>
      <c r="B915" s="126"/>
      <c r="C915" s="119"/>
      <c r="D915" s="119"/>
      <c r="E915" s="121"/>
      <c r="F915" s="122"/>
      <c r="G915" s="123"/>
      <c r="H915" s="123"/>
      <c r="I915" s="124"/>
      <c r="J915" s="125"/>
      <c r="K915" s="119"/>
    </row>
    <row r="916" spans="1:11" ht="15" customHeight="1">
      <c r="A916" s="119"/>
      <c r="B916" s="126"/>
      <c r="C916" s="119"/>
      <c r="D916" s="119"/>
      <c r="E916" s="121"/>
      <c r="F916" s="122"/>
      <c r="G916" s="123"/>
      <c r="H916" s="123"/>
      <c r="I916" s="124"/>
      <c r="J916" s="125"/>
      <c r="K916" s="119"/>
    </row>
    <row r="917" spans="1:11" ht="15" customHeight="1">
      <c r="A917" s="119"/>
      <c r="B917" s="126"/>
      <c r="C917" s="119"/>
      <c r="D917" s="119"/>
      <c r="E917" s="121"/>
      <c r="F917" s="122"/>
      <c r="G917" s="123"/>
      <c r="H917" s="123"/>
      <c r="I917" s="124"/>
      <c r="J917" s="125"/>
      <c r="K917" s="119"/>
    </row>
    <row r="918" spans="1:11" ht="15" customHeight="1">
      <c r="A918" s="119"/>
      <c r="B918" s="126"/>
      <c r="C918" s="119"/>
      <c r="D918" s="119"/>
      <c r="E918" s="121"/>
      <c r="F918" s="122"/>
      <c r="G918" s="123"/>
      <c r="H918" s="123"/>
      <c r="I918" s="124"/>
      <c r="J918" s="125"/>
      <c r="K918" s="119"/>
    </row>
    <row r="919" spans="1:11" ht="15" customHeight="1">
      <c r="A919" s="119"/>
      <c r="B919" s="126"/>
      <c r="C919" s="119"/>
      <c r="D919" s="119"/>
      <c r="E919" s="121"/>
      <c r="F919" s="122"/>
      <c r="G919" s="123"/>
      <c r="H919" s="123"/>
      <c r="I919" s="124"/>
      <c r="J919" s="125"/>
      <c r="K919" s="119"/>
    </row>
    <row r="920" spans="1:11" ht="15" customHeight="1">
      <c r="A920" s="119"/>
      <c r="B920" s="126"/>
      <c r="C920" s="119"/>
      <c r="D920" s="119"/>
      <c r="E920" s="121"/>
      <c r="F920" s="122"/>
      <c r="G920" s="123"/>
      <c r="H920" s="123"/>
      <c r="I920" s="124"/>
      <c r="J920" s="125"/>
      <c r="K920" s="119"/>
    </row>
    <row r="921" spans="1:11" ht="15" customHeight="1">
      <c r="A921" s="119"/>
      <c r="B921" s="126"/>
      <c r="C921" s="119"/>
      <c r="D921" s="119"/>
      <c r="E921" s="121"/>
      <c r="F921" s="122"/>
      <c r="G921" s="123"/>
      <c r="H921" s="123"/>
      <c r="I921" s="124"/>
      <c r="J921" s="125"/>
      <c r="K921" s="119"/>
    </row>
    <row r="922" spans="1:11" ht="15" customHeight="1">
      <c r="A922" s="119"/>
      <c r="B922" s="126"/>
      <c r="C922" s="119"/>
      <c r="D922" s="119"/>
      <c r="E922" s="121"/>
      <c r="F922" s="122"/>
      <c r="G922" s="123"/>
      <c r="H922" s="123"/>
      <c r="I922" s="124"/>
      <c r="J922" s="125"/>
      <c r="K922" s="119"/>
    </row>
    <row r="923" spans="1:11" ht="15" customHeight="1">
      <c r="A923" s="119"/>
      <c r="B923" s="126"/>
      <c r="C923" s="119"/>
      <c r="D923" s="119"/>
      <c r="E923" s="121"/>
      <c r="F923" s="122"/>
      <c r="G923" s="123"/>
      <c r="H923" s="123"/>
      <c r="I923" s="124"/>
      <c r="J923" s="125"/>
      <c r="K923" s="119"/>
    </row>
    <row r="924" spans="1:11" ht="15" customHeight="1">
      <c r="A924" s="119"/>
      <c r="B924" s="126"/>
      <c r="C924" s="119"/>
      <c r="D924" s="119"/>
      <c r="E924" s="121"/>
      <c r="F924" s="122"/>
      <c r="G924" s="123"/>
      <c r="H924" s="123"/>
      <c r="I924" s="124"/>
      <c r="J924" s="125"/>
      <c r="K924" s="119"/>
    </row>
    <row r="925" spans="1:11" ht="15" customHeight="1">
      <c r="A925" s="119"/>
      <c r="B925" s="126"/>
      <c r="C925" s="119"/>
      <c r="D925" s="119"/>
      <c r="E925" s="121"/>
      <c r="F925" s="122"/>
      <c r="G925" s="123"/>
      <c r="H925" s="123"/>
      <c r="I925" s="124"/>
      <c r="J925" s="125"/>
      <c r="K925" s="119"/>
    </row>
    <row r="926" spans="1:11" ht="15" customHeight="1">
      <c r="A926" s="119"/>
      <c r="B926" s="126"/>
      <c r="C926" s="119"/>
      <c r="D926" s="119"/>
      <c r="E926" s="121"/>
      <c r="F926" s="122"/>
      <c r="G926" s="123"/>
      <c r="H926" s="123"/>
      <c r="I926" s="124"/>
      <c r="J926" s="125"/>
      <c r="K926" s="119"/>
    </row>
    <row r="927" spans="1:11" ht="15" customHeight="1">
      <c r="A927" s="119"/>
      <c r="B927" s="126"/>
      <c r="C927" s="119"/>
      <c r="D927" s="119"/>
      <c r="E927" s="121"/>
      <c r="F927" s="122"/>
      <c r="G927" s="123"/>
      <c r="H927" s="123"/>
      <c r="I927" s="124"/>
      <c r="J927" s="125"/>
      <c r="K927" s="119"/>
    </row>
    <row r="928" spans="1:11" ht="15" customHeight="1">
      <c r="A928" s="119"/>
      <c r="B928" s="126"/>
      <c r="C928" s="119"/>
      <c r="D928" s="119"/>
      <c r="E928" s="121"/>
      <c r="F928" s="122"/>
      <c r="G928" s="123"/>
      <c r="H928" s="123"/>
      <c r="I928" s="124"/>
      <c r="J928" s="125"/>
      <c r="K928" s="119"/>
    </row>
    <row r="929" spans="1:11" ht="15" customHeight="1">
      <c r="A929" s="119"/>
      <c r="B929" s="126"/>
      <c r="C929" s="119"/>
      <c r="D929" s="119"/>
      <c r="E929" s="121"/>
      <c r="F929" s="122"/>
      <c r="G929" s="123"/>
      <c r="H929" s="123"/>
      <c r="I929" s="124"/>
      <c r="J929" s="125"/>
      <c r="K929" s="119"/>
    </row>
    <row r="930" spans="1:11" ht="15" customHeight="1">
      <c r="A930" s="119"/>
      <c r="B930" s="126"/>
      <c r="C930" s="119"/>
      <c r="D930" s="119"/>
      <c r="E930" s="121"/>
      <c r="F930" s="122"/>
      <c r="G930" s="123"/>
      <c r="H930" s="123"/>
      <c r="I930" s="124"/>
      <c r="J930" s="125"/>
      <c r="K930" s="119"/>
    </row>
    <row r="931" spans="1:11" ht="15" customHeight="1">
      <c r="A931" s="119"/>
      <c r="B931" s="126"/>
      <c r="C931" s="119"/>
      <c r="D931" s="119"/>
      <c r="E931" s="121"/>
      <c r="F931" s="122"/>
      <c r="G931" s="123"/>
      <c r="H931" s="123"/>
      <c r="I931" s="124"/>
      <c r="J931" s="125"/>
      <c r="K931" s="119"/>
    </row>
    <row r="932" spans="1:11" ht="15" customHeight="1">
      <c r="A932" s="119"/>
      <c r="B932" s="126"/>
      <c r="C932" s="119"/>
      <c r="D932" s="119"/>
      <c r="E932" s="121"/>
      <c r="F932" s="122"/>
      <c r="G932" s="123"/>
      <c r="H932" s="123"/>
      <c r="I932" s="124"/>
      <c r="J932" s="125"/>
      <c r="K932" s="119"/>
    </row>
    <row r="933" spans="1:11" ht="15" customHeight="1">
      <c r="A933" s="119"/>
      <c r="B933" s="126"/>
      <c r="C933" s="119"/>
      <c r="D933" s="119"/>
      <c r="E933" s="121"/>
      <c r="F933" s="122"/>
      <c r="G933" s="123"/>
      <c r="H933" s="123"/>
      <c r="I933" s="124"/>
      <c r="J933" s="125"/>
      <c r="K933" s="119"/>
    </row>
    <row r="934" spans="1:11" ht="15" customHeight="1">
      <c r="A934" s="119"/>
      <c r="B934" s="126"/>
      <c r="C934" s="119"/>
      <c r="D934" s="119"/>
      <c r="E934" s="121"/>
      <c r="F934" s="122"/>
      <c r="G934" s="123"/>
      <c r="H934" s="123"/>
      <c r="I934" s="124"/>
      <c r="J934" s="125"/>
      <c r="K934" s="119"/>
    </row>
    <row r="935" spans="1:11" ht="15" customHeight="1">
      <c r="A935" s="119"/>
      <c r="B935" s="126"/>
      <c r="C935" s="119"/>
      <c r="D935" s="119"/>
      <c r="E935" s="121"/>
      <c r="F935" s="122"/>
      <c r="G935" s="123"/>
      <c r="H935" s="123"/>
      <c r="I935" s="124"/>
      <c r="J935" s="125"/>
      <c r="K935" s="119"/>
    </row>
    <row r="936" spans="1:11" ht="15" customHeight="1">
      <c r="A936" s="119"/>
      <c r="B936" s="126"/>
      <c r="C936" s="119"/>
      <c r="D936" s="119"/>
      <c r="E936" s="121"/>
      <c r="F936" s="122"/>
      <c r="G936" s="123"/>
      <c r="H936" s="123"/>
      <c r="I936" s="124"/>
      <c r="J936" s="125"/>
      <c r="K936" s="119"/>
    </row>
    <row r="937" spans="1:11" ht="15" customHeight="1">
      <c r="A937" s="119"/>
      <c r="B937" s="126"/>
      <c r="C937" s="119"/>
      <c r="D937" s="119"/>
      <c r="E937" s="121"/>
      <c r="F937" s="122"/>
      <c r="G937" s="123"/>
      <c r="H937" s="123"/>
      <c r="I937" s="124"/>
      <c r="J937" s="125"/>
      <c r="K937" s="119"/>
    </row>
    <row r="938" spans="1:11" ht="15" customHeight="1">
      <c r="A938" s="119"/>
      <c r="B938" s="126"/>
      <c r="C938" s="119"/>
      <c r="D938" s="119"/>
      <c r="E938" s="121"/>
      <c r="F938" s="122"/>
      <c r="G938" s="123"/>
      <c r="H938" s="123"/>
      <c r="I938" s="124"/>
      <c r="J938" s="125"/>
      <c r="K938" s="119"/>
    </row>
    <row r="939" spans="1:11" ht="15" customHeight="1">
      <c r="A939" s="119"/>
      <c r="B939" s="126"/>
      <c r="C939" s="119"/>
      <c r="D939" s="119"/>
      <c r="E939" s="121"/>
      <c r="F939" s="122"/>
      <c r="G939" s="123"/>
      <c r="H939" s="123"/>
      <c r="I939" s="124"/>
      <c r="J939" s="125"/>
      <c r="K939" s="119"/>
    </row>
    <row r="940" spans="1:11" ht="15" customHeight="1">
      <c r="A940" s="119"/>
      <c r="B940" s="126"/>
      <c r="C940" s="119"/>
      <c r="D940" s="119"/>
      <c r="E940" s="121"/>
      <c r="F940" s="122"/>
      <c r="G940" s="123"/>
      <c r="H940" s="123"/>
      <c r="I940" s="124"/>
      <c r="J940" s="125"/>
      <c r="K940" s="119"/>
    </row>
    <row r="941" spans="1:11" ht="15" customHeight="1">
      <c r="A941" s="119"/>
      <c r="B941" s="126"/>
      <c r="C941" s="119"/>
      <c r="D941" s="119"/>
      <c r="E941" s="121"/>
      <c r="F941" s="122"/>
      <c r="G941" s="123"/>
      <c r="H941" s="123"/>
      <c r="I941" s="124"/>
      <c r="J941" s="125"/>
      <c r="K941" s="119"/>
    </row>
    <row r="942" spans="1:11" ht="15" customHeight="1">
      <c r="A942" s="119"/>
      <c r="B942" s="126"/>
      <c r="C942" s="119"/>
      <c r="D942" s="119"/>
      <c r="E942" s="121"/>
      <c r="F942" s="122"/>
      <c r="G942" s="123"/>
      <c r="H942" s="123"/>
      <c r="I942" s="124"/>
      <c r="J942" s="125"/>
      <c r="K942" s="119"/>
    </row>
    <row r="943" spans="1:11" ht="15" customHeight="1">
      <c r="A943" s="119"/>
      <c r="B943" s="126"/>
      <c r="C943" s="119"/>
      <c r="D943" s="119"/>
      <c r="E943" s="121"/>
      <c r="F943" s="122"/>
      <c r="G943" s="123"/>
      <c r="H943" s="123"/>
      <c r="I943" s="124"/>
      <c r="J943" s="125"/>
      <c r="K943" s="119"/>
    </row>
    <row r="944" spans="1:11" ht="15" customHeight="1">
      <c r="A944" s="119"/>
      <c r="B944" s="126"/>
      <c r="C944" s="119"/>
      <c r="D944" s="119"/>
      <c r="E944" s="121"/>
      <c r="F944" s="122"/>
      <c r="G944" s="123"/>
      <c r="H944" s="123"/>
      <c r="I944" s="124"/>
      <c r="J944" s="125"/>
      <c r="K944" s="119"/>
    </row>
    <row r="945" spans="1:11" ht="15" customHeight="1">
      <c r="A945" s="119"/>
      <c r="B945" s="126"/>
      <c r="C945" s="119"/>
      <c r="D945" s="119"/>
      <c r="E945" s="121"/>
      <c r="F945" s="122"/>
      <c r="G945" s="123"/>
      <c r="H945" s="123"/>
      <c r="I945" s="124"/>
      <c r="J945" s="125"/>
      <c r="K945" s="119"/>
    </row>
    <row r="946" spans="1:11" ht="15" customHeight="1">
      <c r="A946" s="119"/>
      <c r="B946" s="126"/>
      <c r="C946" s="119"/>
      <c r="D946" s="119"/>
      <c r="E946" s="121"/>
      <c r="F946" s="122"/>
      <c r="G946" s="123"/>
      <c r="H946" s="123"/>
      <c r="I946" s="124"/>
      <c r="J946" s="125"/>
      <c r="K946" s="119"/>
    </row>
    <row r="947" spans="1:11" ht="15" customHeight="1">
      <c r="A947" s="119"/>
      <c r="B947" s="126"/>
      <c r="C947" s="119"/>
      <c r="D947" s="119"/>
      <c r="E947" s="121"/>
      <c r="F947" s="122"/>
      <c r="G947" s="123"/>
      <c r="H947" s="123"/>
      <c r="I947" s="124"/>
      <c r="J947" s="125"/>
      <c r="K947" s="119"/>
    </row>
    <row r="948" spans="1:11" ht="15" customHeight="1">
      <c r="A948" s="119"/>
      <c r="B948" s="126"/>
      <c r="C948" s="119"/>
      <c r="D948" s="119"/>
      <c r="E948" s="121"/>
      <c r="F948" s="122"/>
      <c r="G948" s="123"/>
      <c r="H948" s="123"/>
      <c r="I948" s="124"/>
      <c r="J948" s="125"/>
      <c r="K948" s="119"/>
    </row>
    <row r="949" spans="1:11" ht="15" customHeight="1">
      <c r="A949" s="119"/>
      <c r="B949" s="126"/>
      <c r="C949" s="119"/>
      <c r="D949" s="119"/>
      <c r="E949" s="121"/>
      <c r="F949" s="122"/>
      <c r="G949" s="123"/>
      <c r="H949" s="123"/>
      <c r="I949" s="124"/>
      <c r="J949" s="125"/>
      <c r="K949" s="119"/>
    </row>
    <row r="950" spans="1:11" ht="15" customHeight="1">
      <c r="A950" s="119"/>
      <c r="B950" s="126"/>
      <c r="C950" s="119"/>
      <c r="D950" s="119"/>
      <c r="E950" s="121"/>
      <c r="F950" s="122"/>
      <c r="G950" s="123"/>
      <c r="H950" s="123"/>
      <c r="I950" s="124"/>
      <c r="J950" s="125"/>
      <c r="K950" s="119"/>
    </row>
    <row r="951" spans="1:11" ht="15" customHeight="1">
      <c r="A951" s="119"/>
      <c r="B951" s="126"/>
      <c r="C951" s="119"/>
      <c r="D951" s="119"/>
      <c r="E951" s="121"/>
      <c r="F951" s="122"/>
      <c r="G951" s="123"/>
      <c r="H951" s="123"/>
      <c r="I951" s="124"/>
      <c r="J951" s="125"/>
      <c r="K951" s="119"/>
    </row>
    <row r="952" spans="1:11" ht="15" customHeight="1">
      <c r="A952" s="119"/>
      <c r="B952" s="126"/>
      <c r="C952" s="119"/>
      <c r="D952" s="119"/>
      <c r="E952" s="121"/>
      <c r="F952" s="122"/>
      <c r="G952" s="123"/>
      <c r="H952" s="123"/>
      <c r="I952" s="124"/>
      <c r="J952" s="125"/>
      <c r="K952" s="119"/>
    </row>
    <row r="953" spans="1:11" ht="15" customHeight="1">
      <c r="A953" s="119"/>
      <c r="B953" s="126"/>
      <c r="C953" s="119"/>
      <c r="D953" s="119"/>
      <c r="E953" s="121"/>
      <c r="F953" s="122"/>
      <c r="G953" s="123"/>
      <c r="H953" s="123"/>
      <c r="I953" s="124"/>
      <c r="J953" s="125"/>
      <c r="K953" s="119"/>
    </row>
    <row r="954" spans="1:11" ht="15" customHeight="1">
      <c r="A954" s="119"/>
      <c r="B954" s="126"/>
      <c r="C954" s="119"/>
      <c r="D954" s="119"/>
      <c r="E954" s="121"/>
      <c r="F954" s="122"/>
      <c r="G954" s="123"/>
      <c r="H954" s="123"/>
      <c r="I954" s="124"/>
      <c r="J954" s="125"/>
      <c r="K954" s="119"/>
    </row>
    <row r="955" spans="1:11" ht="15" customHeight="1">
      <c r="A955" s="119"/>
      <c r="B955" s="126"/>
      <c r="C955" s="119"/>
      <c r="D955" s="119"/>
      <c r="E955" s="121"/>
      <c r="F955" s="122"/>
      <c r="G955" s="123"/>
      <c r="H955" s="123"/>
      <c r="I955" s="124"/>
      <c r="J955" s="125"/>
      <c r="K955" s="119"/>
    </row>
    <row r="956" spans="1:11" ht="15" customHeight="1">
      <c r="A956" s="119"/>
      <c r="B956" s="126"/>
      <c r="C956" s="119"/>
      <c r="D956" s="119"/>
      <c r="E956" s="121"/>
      <c r="F956" s="122"/>
      <c r="G956" s="123"/>
      <c r="H956" s="123"/>
      <c r="I956" s="124"/>
      <c r="J956" s="125"/>
      <c r="K956" s="119"/>
    </row>
    <row r="957" spans="1:11" ht="15" customHeight="1">
      <c r="A957" s="119"/>
      <c r="B957" s="126"/>
      <c r="C957" s="119"/>
      <c r="D957" s="119"/>
      <c r="E957" s="121"/>
      <c r="F957" s="122"/>
      <c r="G957" s="123"/>
      <c r="H957" s="123"/>
      <c r="I957" s="124"/>
      <c r="J957" s="125"/>
      <c r="K957" s="119"/>
    </row>
    <row r="958" spans="1:11" ht="15" customHeight="1">
      <c r="A958" s="119"/>
      <c r="B958" s="126"/>
      <c r="C958" s="119"/>
      <c r="D958" s="119"/>
      <c r="E958" s="121"/>
      <c r="F958" s="122"/>
      <c r="G958" s="123"/>
      <c r="H958" s="123"/>
      <c r="I958" s="124"/>
      <c r="J958" s="125"/>
      <c r="K958" s="119"/>
    </row>
    <row r="959" spans="1:11" ht="15" customHeight="1">
      <c r="A959" s="119"/>
      <c r="B959" s="126"/>
      <c r="C959" s="119"/>
      <c r="D959" s="119"/>
      <c r="E959" s="121"/>
      <c r="F959" s="122"/>
      <c r="G959" s="123"/>
      <c r="H959" s="123"/>
      <c r="I959" s="124"/>
      <c r="J959" s="125"/>
      <c r="K959" s="119"/>
    </row>
    <row r="960" spans="1:11" ht="15" customHeight="1">
      <c r="A960" s="119"/>
      <c r="B960" s="126"/>
      <c r="C960" s="119"/>
      <c r="D960" s="119"/>
      <c r="E960" s="121"/>
      <c r="F960" s="122"/>
      <c r="G960" s="123"/>
      <c r="H960" s="123"/>
      <c r="I960" s="124"/>
      <c r="J960" s="125"/>
      <c r="K960" s="119"/>
    </row>
    <row r="961" spans="1:11" ht="15" customHeight="1">
      <c r="A961" s="119"/>
      <c r="B961" s="126"/>
      <c r="C961" s="119"/>
      <c r="D961" s="119"/>
      <c r="E961" s="121"/>
      <c r="F961" s="122"/>
      <c r="G961" s="123"/>
      <c r="H961" s="123"/>
      <c r="I961" s="124"/>
      <c r="J961" s="125"/>
      <c r="K961" s="119"/>
    </row>
    <row r="962" spans="1:11" ht="15" customHeight="1">
      <c r="A962" s="119"/>
      <c r="B962" s="126"/>
      <c r="C962" s="119"/>
      <c r="D962" s="119"/>
      <c r="E962" s="121"/>
      <c r="F962" s="122"/>
      <c r="G962" s="123"/>
      <c r="H962" s="123"/>
      <c r="I962" s="124"/>
      <c r="J962" s="125"/>
      <c r="K962" s="119"/>
    </row>
    <row r="963" spans="1:11" ht="15" customHeight="1">
      <c r="A963" s="119"/>
      <c r="B963" s="126"/>
      <c r="C963" s="119"/>
      <c r="D963" s="119"/>
      <c r="E963" s="121"/>
      <c r="F963" s="122"/>
      <c r="G963" s="123"/>
      <c r="H963" s="123"/>
      <c r="I963" s="124"/>
      <c r="J963" s="125"/>
      <c r="K963" s="119"/>
    </row>
    <row r="964" spans="1:11" ht="15" customHeight="1">
      <c r="A964" s="119"/>
      <c r="B964" s="126"/>
      <c r="C964" s="119"/>
      <c r="D964" s="119"/>
      <c r="E964" s="121"/>
      <c r="F964" s="122"/>
      <c r="G964" s="123"/>
      <c r="H964" s="123"/>
      <c r="I964" s="124"/>
      <c r="J964" s="125"/>
      <c r="K964" s="119"/>
    </row>
    <row r="965" spans="1:11" ht="15" customHeight="1">
      <c r="A965" s="119"/>
      <c r="B965" s="126"/>
      <c r="C965" s="119"/>
      <c r="D965" s="119"/>
      <c r="E965" s="121"/>
      <c r="F965" s="122"/>
      <c r="G965" s="123"/>
      <c r="H965" s="123"/>
      <c r="I965" s="124"/>
      <c r="J965" s="125"/>
      <c r="K965" s="119"/>
    </row>
    <row r="966" spans="1:11" ht="15" customHeight="1">
      <c r="A966" s="119"/>
      <c r="B966" s="126"/>
      <c r="C966" s="119"/>
      <c r="D966" s="119"/>
      <c r="E966" s="121"/>
      <c r="F966" s="122"/>
      <c r="G966" s="123"/>
      <c r="H966" s="123"/>
      <c r="I966" s="124"/>
      <c r="J966" s="125"/>
      <c r="K966" s="119"/>
    </row>
    <row r="967" spans="1:11" ht="15" customHeight="1">
      <c r="A967" s="119"/>
      <c r="B967" s="126"/>
      <c r="C967" s="119"/>
      <c r="D967" s="119"/>
      <c r="E967" s="121"/>
      <c r="F967" s="122"/>
      <c r="G967" s="123"/>
      <c r="H967" s="123"/>
      <c r="I967" s="124"/>
      <c r="J967" s="125"/>
      <c r="K967" s="119"/>
    </row>
    <row r="968" spans="1:11" ht="15" customHeight="1">
      <c r="A968" s="119"/>
      <c r="B968" s="126"/>
      <c r="C968" s="119"/>
      <c r="D968" s="119"/>
      <c r="E968" s="121"/>
      <c r="F968" s="122"/>
      <c r="G968" s="123"/>
      <c r="H968" s="123"/>
      <c r="I968" s="124"/>
      <c r="J968" s="125"/>
      <c r="K968" s="119"/>
    </row>
    <row r="969" spans="1:11" ht="15" customHeight="1">
      <c r="A969" s="119"/>
      <c r="B969" s="126"/>
      <c r="C969" s="119"/>
      <c r="D969" s="119"/>
      <c r="E969" s="121"/>
      <c r="F969" s="122"/>
      <c r="G969" s="123"/>
      <c r="H969" s="123"/>
      <c r="I969" s="124"/>
      <c r="J969" s="125"/>
      <c r="K969" s="119"/>
    </row>
    <row r="970" spans="1:11" ht="15" customHeight="1">
      <c r="A970" s="119"/>
      <c r="B970" s="126"/>
      <c r="C970" s="119"/>
      <c r="D970" s="119"/>
      <c r="E970" s="121"/>
      <c r="F970" s="122"/>
      <c r="G970" s="123"/>
      <c r="H970" s="123"/>
      <c r="I970" s="124"/>
      <c r="J970" s="125"/>
      <c r="K970" s="119"/>
    </row>
    <row r="971" spans="1:11" ht="15" customHeight="1">
      <c r="A971" s="119"/>
      <c r="B971" s="126"/>
      <c r="C971" s="119"/>
      <c r="D971" s="119"/>
      <c r="E971" s="121"/>
      <c r="F971" s="122"/>
      <c r="G971" s="123"/>
      <c r="H971" s="123"/>
      <c r="I971" s="124"/>
      <c r="J971" s="125"/>
      <c r="K971" s="119"/>
    </row>
    <row r="972" spans="1:11" ht="15" customHeight="1">
      <c r="A972" s="119"/>
      <c r="B972" s="126"/>
      <c r="C972" s="119"/>
      <c r="D972" s="119"/>
      <c r="E972" s="121"/>
      <c r="F972" s="122"/>
      <c r="G972" s="123"/>
      <c r="H972" s="123"/>
      <c r="I972" s="124"/>
      <c r="J972" s="125"/>
      <c r="K972" s="119"/>
    </row>
    <row r="973" spans="1:11" ht="15" customHeight="1">
      <c r="A973" s="119"/>
      <c r="B973" s="126"/>
      <c r="C973" s="119"/>
      <c r="D973" s="119"/>
      <c r="E973" s="121"/>
      <c r="F973" s="122"/>
      <c r="G973" s="123"/>
      <c r="H973" s="123"/>
      <c r="I973" s="124"/>
      <c r="J973" s="125"/>
      <c r="K973" s="119"/>
    </row>
    <row r="974" spans="1:11" ht="15" customHeight="1">
      <c r="A974" s="119"/>
      <c r="B974" s="126"/>
      <c r="C974" s="119"/>
      <c r="D974" s="119"/>
      <c r="E974" s="121"/>
      <c r="F974" s="122"/>
      <c r="G974" s="123"/>
      <c r="H974" s="123"/>
      <c r="I974" s="124"/>
      <c r="J974" s="125"/>
      <c r="K974" s="119"/>
    </row>
    <row r="975" spans="1:11" ht="15" customHeight="1">
      <c r="A975" s="119"/>
      <c r="B975" s="126"/>
      <c r="C975" s="119"/>
      <c r="D975" s="119"/>
      <c r="E975" s="121"/>
      <c r="F975" s="122"/>
      <c r="G975" s="123"/>
      <c r="H975" s="123"/>
      <c r="I975" s="124"/>
      <c r="J975" s="125"/>
      <c r="K975" s="119"/>
    </row>
    <row r="976" spans="1:11" ht="15" customHeight="1">
      <c r="A976" s="119"/>
      <c r="B976" s="126"/>
      <c r="C976" s="119"/>
      <c r="D976" s="119"/>
      <c r="E976" s="121"/>
      <c r="F976" s="122"/>
      <c r="G976" s="123"/>
      <c r="H976" s="123"/>
      <c r="I976" s="124"/>
      <c r="J976" s="125"/>
      <c r="K976" s="119"/>
    </row>
    <row r="977" spans="1:11" ht="15" customHeight="1">
      <c r="A977" s="119"/>
      <c r="B977" s="126"/>
      <c r="C977" s="119"/>
      <c r="D977" s="119"/>
      <c r="E977" s="121"/>
      <c r="F977" s="122"/>
      <c r="G977" s="123"/>
      <c r="H977" s="123"/>
      <c r="I977" s="124"/>
      <c r="J977" s="125"/>
      <c r="K977" s="119"/>
    </row>
    <row r="978" spans="1:11" ht="15" customHeight="1">
      <c r="A978" s="119"/>
      <c r="B978" s="126"/>
      <c r="C978" s="119"/>
      <c r="D978" s="119"/>
      <c r="E978" s="121"/>
      <c r="F978" s="122"/>
      <c r="G978" s="123"/>
      <c r="H978" s="123"/>
      <c r="I978" s="124"/>
      <c r="J978" s="125"/>
      <c r="K978" s="119"/>
    </row>
    <row r="979" spans="1:11" ht="15" customHeight="1">
      <c r="A979" s="119"/>
      <c r="B979" s="126"/>
      <c r="C979" s="119"/>
      <c r="D979" s="119"/>
      <c r="E979" s="121"/>
      <c r="F979" s="122"/>
      <c r="G979" s="123"/>
      <c r="H979" s="123"/>
      <c r="I979" s="124"/>
      <c r="J979" s="125"/>
      <c r="K979" s="119"/>
    </row>
    <row r="980" spans="1:11" ht="15" customHeight="1">
      <c r="A980" s="119"/>
      <c r="B980" s="126"/>
      <c r="C980" s="119"/>
      <c r="D980" s="119"/>
      <c r="E980" s="121"/>
      <c r="F980" s="122"/>
      <c r="G980" s="123"/>
      <c r="H980" s="123"/>
      <c r="I980" s="124"/>
      <c r="J980" s="125"/>
      <c r="K980" s="119"/>
    </row>
    <row r="981" spans="1:11" ht="15" customHeight="1">
      <c r="A981" s="119"/>
      <c r="B981" s="126"/>
      <c r="C981" s="119"/>
      <c r="D981" s="119"/>
      <c r="E981" s="121"/>
      <c r="F981" s="122"/>
      <c r="G981" s="123"/>
      <c r="H981" s="123"/>
      <c r="I981" s="124"/>
      <c r="J981" s="125"/>
      <c r="K981" s="119"/>
    </row>
    <row r="982" spans="1:11" ht="15" customHeight="1">
      <c r="A982" s="119"/>
      <c r="B982" s="126"/>
      <c r="C982" s="119"/>
      <c r="D982" s="119"/>
      <c r="E982" s="121"/>
      <c r="F982" s="122"/>
      <c r="G982" s="123"/>
      <c r="H982" s="123"/>
      <c r="I982" s="124"/>
      <c r="J982" s="125"/>
      <c r="K982" s="119"/>
    </row>
    <row r="983" spans="1:11" ht="15" customHeight="1">
      <c r="A983" s="119"/>
      <c r="B983" s="126"/>
      <c r="C983" s="119"/>
      <c r="D983" s="119"/>
      <c r="E983" s="121"/>
      <c r="F983" s="122"/>
      <c r="G983" s="123"/>
      <c r="H983" s="123"/>
      <c r="I983" s="124"/>
      <c r="J983" s="125"/>
      <c r="K983" s="119"/>
    </row>
    <row r="984" spans="1:11" ht="15" customHeight="1">
      <c r="A984" s="119"/>
      <c r="B984" s="126"/>
      <c r="C984" s="119"/>
      <c r="D984" s="119"/>
      <c r="E984" s="121"/>
      <c r="F984" s="122"/>
      <c r="G984" s="123"/>
      <c r="H984" s="123"/>
      <c r="I984" s="124"/>
      <c r="J984" s="125"/>
      <c r="K984" s="119"/>
    </row>
    <row r="985" spans="1:11" ht="15" customHeight="1">
      <c r="A985" s="119"/>
      <c r="B985" s="126"/>
      <c r="C985" s="119"/>
      <c r="D985" s="119"/>
      <c r="E985" s="121"/>
      <c r="F985" s="122"/>
      <c r="G985" s="123"/>
      <c r="H985" s="123"/>
      <c r="I985" s="124"/>
      <c r="J985" s="125"/>
      <c r="K985" s="119"/>
    </row>
    <row r="986" spans="1:11" ht="15" customHeight="1">
      <c r="A986" s="119"/>
      <c r="B986" s="126"/>
      <c r="C986" s="119"/>
      <c r="D986" s="119"/>
      <c r="E986" s="121"/>
      <c r="F986" s="122"/>
      <c r="G986" s="123"/>
      <c r="H986" s="123"/>
      <c r="I986" s="124"/>
      <c r="J986" s="125"/>
      <c r="K986" s="119"/>
    </row>
    <row r="987" spans="1:11" ht="15" customHeight="1">
      <c r="A987" s="119"/>
      <c r="B987" s="126"/>
      <c r="C987" s="119"/>
      <c r="D987" s="119"/>
      <c r="E987" s="121"/>
      <c r="F987" s="122"/>
      <c r="G987" s="123"/>
      <c r="H987" s="123"/>
      <c r="I987" s="124"/>
      <c r="J987" s="125"/>
      <c r="K987" s="119"/>
    </row>
    <row r="988" spans="1:11" ht="15" customHeight="1">
      <c r="A988" s="119"/>
      <c r="B988" s="126"/>
      <c r="C988" s="119"/>
      <c r="D988" s="119"/>
      <c r="E988" s="121"/>
      <c r="F988" s="122"/>
      <c r="G988" s="123"/>
      <c r="H988" s="123"/>
      <c r="I988" s="124"/>
      <c r="J988" s="125"/>
      <c r="K988" s="119"/>
    </row>
    <row r="989" spans="1:11" ht="15" customHeight="1">
      <c r="A989" s="119"/>
      <c r="B989" s="126"/>
      <c r="C989" s="119"/>
      <c r="D989" s="119"/>
      <c r="E989" s="121"/>
      <c r="F989" s="122"/>
      <c r="G989" s="123"/>
      <c r="H989" s="123"/>
      <c r="I989" s="124"/>
      <c r="J989" s="125"/>
      <c r="K989" s="119"/>
    </row>
    <row r="990" spans="1:11" ht="15" customHeight="1">
      <c r="A990" s="119"/>
      <c r="B990" s="126"/>
      <c r="C990" s="119"/>
      <c r="D990" s="119"/>
      <c r="E990" s="121"/>
      <c r="F990" s="122"/>
      <c r="G990" s="123"/>
      <c r="H990" s="123"/>
      <c r="I990" s="124"/>
      <c r="J990" s="125"/>
      <c r="K990" s="119"/>
    </row>
    <row r="991" spans="1:11" ht="15" customHeight="1">
      <c r="A991" s="119"/>
      <c r="B991" s="126"/>
      <c r="C991" s="119"/>
      <c r="D991" s="119"/>
      <c r="E991" s="121"/>
      <c r="F991" s="122"/>
      <c r="G991" s="123"/>
      <c r="H991" s="123"/>
      <c r="I991" s="124"/>
      <c r="J991" s="125"/>
      <c r="K991" s="119"/>
    </row>
    <row r="992" spans="1:11" ht="15" customHeight="1">
      <c r="A992" s="119"/>
      <c r="B992" s="126"/>
      <c r="C992" s="119"/>
      <c r="D992" s="119"/>
      <c r="E992" s="121"/>
      <c r="F992" s="122"/>
      <c r="G992" s="123"/>
      <c r="H992" s="123"/>
      <c r="I992" s="124"/>
      <c r="J992" s="125"/>
      <c r="K992" s="119"/>
    </row>
    <row r="993" spans="1:11" ht="15" customHeight="1">
      <c r="A993" s="119"/>
      <c r="B993" s="126"/>
      <c r="C993" s="119"/>
      <c r="D993" s="119"/>
      <c r="E993" s="121"/>
      <c r="F993" s="122"/>
      <c r="G993" s="123"/>
      <c r="H993" s="123"/>
      <c r="I993" s="124"/>
      <c r="J993" s="125"/>
      <c r="K993" s="119"/>
    </row>
    <row r="994" spans="1:11" ht="15" customHeight="1">
      <c r="A994" s="119"/>
      <c r="B994" s="126"/>
      <c r="C994" s="119"/>
      <c r="D994" s="119"/>
      <c r="E994" s="121"/>
      <c r="F994" s="122"/>
      <c r="G994" s="123"/>
      <c r="H994" s="123"/>
      <c r="I994" s="124"/>
      <c r="J994" s="125"/>
      <c r="K994" s="119"/>
    </row>
    <row r="995" spans="1:11" ht="15" customHeight="1">
      <c r="A995" s="119"/>
      <c r="B995" s="126"/>
      <c r="C995" s="119"/>
      <c r="D995" s="119"/>
      <c r="E995" s="121"/>
      <c r="F995" s="122"/>
      <c r="G995" s="123"/>
      <c r="H995" s="123"/>
      <c r="I995" s="124"/>
      <c r="J995" s="125"/>
      <c r="K995" s="119"/>
    </row>
    <row r="996" spans="1:11" ht="15" customHeight="1">
      <c r="A996" s="119"/>
      <c r="B996" s="126"/>
      <c r="C996" s="119"/>
      <c r="D996" s="119"/>
      <c r="E996" s="121"/>
      <c r="F996" s="122"/>
      <c r="G996" s="123"/>
      <c r="H996" s="123"/>
      <c r="I996" s="124"/>
      <c r="J996" s="125"/>
      <c r="K996" s="119"/>
    </row>
    <row r="997" spans="1:11" ht="15" customHeight="1">
      <c r="A997" s="119"/>
      <c r="B997" s="126"/>
      <c r="C997" s="119"/>
      <c r="D997" s="119"/>
      <c r="E997" s="121"/>
      <c r="F997" s="122"/>
      <c r="G997" s="123"/>
      <c r="H997" s="123"/>
      <c r="I997" s="124"/>
      <c r="J997" s="125"/>
      <c r="K997" s="119"/>
    </row>
    <row r="998" spans="1:11" ht="15" customHeight="1">
      <c r="A998" s="119"/>
      <c r="B998" s="126"/>
      <c r="C998" s="119"/>
      <c r="D998" s="119"/>
      <c r="E998" s="121"/>
      <c r="F998" s="122"/>
      <c r="G998" s="123"/>
      <c r="H998" s="123"/>
      <c r="I998" s="124"/>
      <c r="J998" s="125"/>
      <c r="K998" s="119"/>
    </row>
    <row r="999" spans="1:11" ht="15" customHeight="1">
      <c r="A999" s="119"/>
      <c r="B999" s="126"/>
      <c r="C999" s="119"/>
      <c r="D999" s="119"/>
      <c r="E999" s="121"/>
      <c r="F999" s="122"/>
      <c r="G999" s="123"/>
      <c r="H999" s="123"/>
      <c r="I999" s="124"/>
      <c r="J999" s="125"/>
      <c r="K999" s="119"/>
    </row>
    <row r="1000" spans="1:11" ht="15" customHeight="1">
      <c r="A1000" s="119"/>
      <c r="B1000" s="126"/>
      <c r="C1000" s="119"/>
      <c r="D1000" s="119"/>
      <c r="E1000" s="121"/>
      <c r="F1000" s="122"/>
      <c r="G1000" s="123"/>
      <c r="H1000" s="123"/>
      <c r="I1000" s="124"/>
      <c r="J1000" s="125"/>
      <c r="K1000" s="119"/>
    </row>
    <row r="1001" spans="1:11" ht="15" customHeight="1">
      <c r="A1001" s="119"/>
      <c r="B1001" s="126"/>
      <c r="C1001" s="119"/>
      <c r="D1001" s="119"/>
      <c r="E1001" s="121"/>
      <c r="F1001" s="122"/>
      <c r="G1001" s="123"/>
      <c r="H1001" s="123"/>
      <c r="I1001" s="124"/>
      <c r="J1001" s="125"/>
      <c r="K1001" s="119"/>
    </row>
    <row r="1002" spans="1:11" ht="15" customHeight="1">
      <c r="A1002" s="119"/>
      <c r="B1002" s="126"/>
      <c r="C1002" s="119"/>
      <c r="D1002" s="119"/>
      <c r="E1002" s="121"/>
      <c r="F1002" s="122"/>
      <c r="G1002" s="123"/>
      <c r="H1002" s="123"/>
      <c r="I1002" s="124"/>
      <c r="J1002" s="125"/>
      <c r="K1002" s="119"/>
    </row>
    <row r="1003" spans="1:11" ht="15" customHeight="1">
      <c r="A1003" s="119"/>
      <c r="B1003" s="126"/>
      <c r="C1003" s="119"/>
      <c r="D1003" s="119"/>
      <c r="E1003" s="121"/>
      <c r="F1003" s="122"/>
      <c r="G1003" s="123"/>
      <c r="H1003" s="123"/>
      <c r="I1003" s="124"/>
      <c r="J1003" s="125"/>
      <c r="K1003" s="119"/>
    </row>
    <row r="1004" spans="1:11" ht="15" customHeight="1">
      <c r="A1004" s="119"/>
      <c r="B1004" s="126"/>
      <c r="C1004" s="119"/>
      <c r="D1004" s="119"/>
      <c r="E1004" s="121"/>
      <c r="F1004" s="122"/>
      <c r="G1004" s="123"/>
      <c r="H1004" s="123"/>
      <c r="I1004" s="124"/>
      <c r="J1004" s="125"/>
      <c r="K1004" s="119"/>
    </row>
    <row r="1005" spans="1:11" ht="15" customHeight="1">
      <c r="A1005" s="119"/>
      <c r="B1005" s="126"/>
      <c r="C1005" s="119"/>
      <c r="D1005" s="119"/>
      <c r="E1005" s="121"/>
      <c r="F1005" s="122"/>
      <c r="G1005" s="123"/>
      <c r="H1005" s="123"/>
      <c r="I1005" s="124"/>
      <c r="J1005" s="125"/>
      <c r="K1005" s="119"/>
    </row>
    <row r="1006" spans="1:11" ht="15" customHeight="1">
      <c r="A1006" s="119"/>
      <c r="B1006" s="126"/>
      <c r="C1006" s="119"/>
      <c r="D1006" s="119"/>
      <c r="E1006" s="121"/>
      <c r="F1006" s="122"/>
      <c r="G1006" s="123"/>
      <c r="H1006" s="123"/>
      <c r="I1006" s="124"/>
      <c r="J1006" s="125"/>
      <c r="K1006" s="119"/>
    </row>
    <row r="1007" spans="1:11" ht="15" customHeight="1">
      <c r="A1007" s="119"/>
      <c r="B1007" s="126"/>
      <c r="C1007" s="119"/>
      <c r="D1007" s="119"/>
      <c r="E1007" s="121"/>
      <c r="F1007" s="122"/>
      <c r="G1007" s="123"/>
      <c r="H1007" s="123"/>
      <c r="I1007" s="124"/>
      <c r="J1007" s="125"/>
      <c r="K1007" s="119"/>
    </row>
    <row r="1008" spans="1:11" ht="15" customHeight="1">
      <c r="A1008" s="119"/>
      <c r="B1008" s="126"/>
      <c r="C1008" s="119"/>
      <c r="D1008" s="119"/>
      <c r="E1008" s="121"/>
      <c r="F1008" s="122"/>
      <c r="G1008" s="123"/>
      <c r="H1008" s="123"/>
      <c r="I1008" s="124"/>
      <c r="J1008" s="125"/>
      <c r="K1008" s="119"/>
    </row>
    <row r="1009" spans="1:11" ht="15" customHeight="1">
      <c r="A1009" s="119"/>
      <c r="B1009" s="126"/>
      <c r="C1009" s="119"/>
      <c r="D1009" s="119"/>
      <c r="E1009" s="121"/>
      <c r="F1009" s="122"/>
      <c r="G1009" s="123"/>
      <c r="H1009" s="123"/>
      <c r="I1009" s="124"/>
      <c r="J1009" s="125"/>
      <c r="K1009" s="119"/>
    </row>
    <row r="1010" spans="1:11" ht="15" customHeight="1">
      <c r="A1010" s="119"/>
      <c r="B1010" s="126"/>
      <c r="C1010" s="119"/>
      <c r="D1010" s="119"/>
      <c r="E1010" s="121"/>
      <c r="F1010" s="122"/>
      <c r="G1010" s="123"/>
      <c r="H1010" s="123"/>
      <c r="I1010" s="124"/>
      <c r="J1010" s="125"/>
      <c r="K1010" s="119"/>
    </row>
    <row r="1011" spans="1:11" ht="15" customHeight="1">
      <c r="A1011" s="119"/>
      <c r="B1011" s="126"/>
      <c r="C1011" s="119"/>
      <c r="D1011" s="119"/>
      <c r="E1011" s="121"/>
      <c r="F1011" s="122"/>
      <c r="G1011" s="123"/>
      <c r="H1011" s="123"/>
      <c r="I1011" s="124"/>
      <c r="J1011" s="125"/>
      <c r="K1011" s="119"/>
    </row>
    <row r="1012" spans="1:11" ht="15" customHeight="1">
      <c r="A1012" s="119"/>
      <c r="B1012" s="126"/>
      <c r="C1012" s="119"/>
      <c r="D1012" s="119"/>
      <c r="E1012" s="121"/>
      <c r="F1012" s="122"/>
      <c r="G1012" s="123"/>
      <c r="H1012" s="123"/>
      <c r="I1012" s="124"/>
      <c r="J1012" s="125"/>
      <c r="K1012" s="119"/>
    </row>
    <row r="1013" spans="1:11" ht="15" customHeight="1">
      <c r="A1013" s="119"/>
      <c r="B1013" s="126"/>
      <c r="C1013" s="119"/>
      <c r="D1013" s="119"/>
      <c r="E1013" s="121"/>
      <c r="F1013" s="122"/>
      <c r="G1013" s="123"/>
      <c r="H1013" s="123"/>
      <c r="I1013" s="124"/>
      <c r="J1013" s="125"/>
      <c r="K1013" s="119"/>
    </row>
    <row r="1014" spans="1:11" ht="15" customHeight="1">
      <c r="A1014" s="119"/>
      <c r="B1014" s="126"/>
      <c r="C1014" s="119"/>
      <c r="D1014" s="119"/>
      <c r="E1014" s="121"/>
      <c r="F1014" s="122"/>
      <c r="G1014" s="123"/>
      <c r="H1014" s="123"/>
      <c r="I1014" s="124"/>
      <c r="J1014" s="125"/>
      <c r="K1014" s="119"/>
    </row>
    <row r="1015" spans="1:11" ht="15" customHeight="1">
      <c r="A1015" s="119"/>
      <c r="B1015" s="126"/>
      <c r="C1015" s="119"/>
      <c r="D1015" s="119"/>
      <c r="E1015" s="121"/>
      <c r="F1015" s="122"/>
      <c r="G1015" s="123"/>
      <c r="H1015" s="123"/>
      <c r="I1015" s="124"/>
      <c r="J1015" s="125"/>
      <c r="K1015" s="119"/>
    </row>
    <row r="1016" spans="1:11" ht="15" customHeight="1">
      <c r="A1016" s="119"/>
      <c r="B1016" s="126"/>
      <c r="C1016" s="119"/>
      <c r="D1016" s="119"/>
      <c r="E1016" s="121"/>
      <c r="F1016" s="122"/>
      <c r="G1016" s="123"/>
      <c r="H1016" s="123"/>
      <c r="I1016" s="124"/>
      <c r="J1016" s="125"/>
      <c r="K1016" s="119"/>
    </row>
    <row r="1017" spans="1:11" ht="15" customHeight="1">
      <c r="A1017" s="119"/>
      <c r="B1017" s="126"/>
      <c r="C1017" s="119"/>
      <c r="D1017" s="119"/>
      <c r="E1017" s="121"/>
      <c r="F1017" s="122"/>
      <c r="G1017" s="123"/>
      <c r="H1017" s="123"/>
      <c r="I1017" s="124"/>
      <c r="J1017" s="125"/>
      <c r="K1017" s="119"/>
    </row>
    <row r="1018" spans="1:11" ht="15" customHeight="1">
      <c r="A1018" s="119"/>
      <c r="B1018" s="126"/>
      <c r="C1018" s="119"/>
      <c r="D1018" s="119"/>
      <c r="E1018" s="121"/>
      <c r="F1018" s="122"/>
      <c r="G1018" s="123"/>
      <c r="H1018" s="123"/>
      <c r="I1018" s="124"/>
      <c r="J1018" s="125"/>
      <c r="K1018" s="119"/>
    </row>
    <row r="1019" spans="1:11" ht="15" customHeight="1">
      <c r="A1019" s="119"/>
      <c r="B1019" s="126"/>
      <c r="C1019" s="119"/>
      <c r="D1019" s="119"/>
      <c r="E1019" s="121"/>
      <c r="F1019" s="122"/>
      <c r="G1019" s="123"/>
      <c r="H1019" s="123"/>
      <c r="I1019" s="124"/>
      <c r="J1019" s="125"/>
      <c r="K1019" s="119"/>
    </row>
    <row r="1020" spans="1:11" ht="15" customHeight="1">
      <c r="A1020" s="119"/>
      <c r="B1020" s="126"/>
      <c r="C1020" s="119"/>
      <c r="D1020" s="119"/>
      <c r="E1020" s="121"/>
      <c r="F1020" s="122"/>
      <c r="G1020" s="123"/>
      <c r="H1020" s="123"/>
      <c r="I1020" s="124"/>
      <c r="J1020" s="125"/>
      <c r="K1020" s="119"/>
    </row>
    <row r="1021" spans="1:11" ht="15" customHeight="1">
      <c r="A1021" s="119"/>
      <c r="B1021" s="126"/>
      <c r="C1021" s="119"/>
      <c r="D1021" s="119"/>
      <c r="E1021" s="121"/>
      <c r="F1021" s="122"/>
      <c r="G1021" s="123"/>
      <c r="H1021" s="123"/>
      <c r="I1021" s="124"/>
      <c r="J1021" s="125"/>
      <c r="K1021" s="119"/>
    </row>
    <row r="1022" spans="1:11" ht="15" customHeight="1">
      <c r="A1022" s="119"/>
      <c r="B1022" s="126"/>
      <c r="C1022" s="119"/>
      <c r="D1022" s="119"/>
      <c r="E1022" s="121"/>
      <c r="F1022" s="122"/>
      <c r="G1022" s="123"/>
      <c r="H1022" s="123"/>
      <c r="I1022" s="124"/>
      <c r="J1022" s="125"/>
      <c r="K1022" s="119"/>
    </row>
    <row r="1023" spans="1:11" ht="15" customHeight="1">
      <c r="A1023" s="119"/>
      <c r="B1023" s="126"/>
      <c r="C1023" s="119"/>
      <c r="D1023" s="119"/>
      <c r="E1023" s="121"/>
      <c r="F1023" s="122"/>
      <c r="G1023" s="123"/>
      <c r="H1023" s="123"/>
      <c r="I1023" s="124"/>
      <c r="J1023" s="125"/>
      <c r="K1023" s="119"/>
    </row>
    <row r="1024" spans="1:11" ht="15" customHeight="1">
      <c r="A1024" s="119"/>
      <c r="B1024" s="126"/>
      <c r="C1024" s="119"/>
      <c r="D1024" s="119"/>
      <c r="E1024" s="121"/>
      <c r="F1024" s="122"/>
      <c r="G1024" s="123"/>
      <c r="H1024" s="123"/>
      <c r="I1024" s="124"/>
      <c r="J1024" s="125"/>
      <c r="K1024" s="119"/>
    </row>
    <row r="1025" spans="1:11" ht="15" customHeight="1">
      <c r="A1025" s="119"/>
      <c r="B1025" s="126"/>
      <c r="C1025" s="119"/>
      <c r="D1025" s="119"/>
      <c r="E1025" s="121"/>
      <c r="F1025" s="122"/>
      <c r="G1025" s="123"/>
      <c r="H1025" s="123"/>
      <c r="I1025" s="124"/>
      <c r="J1025" s="125"/>
      <c r="K1025" s="119"/>
    </row>
    <row r="1026" spans="1:11" ht="15" customHeight="1">
      <c r="A1026" s="119"/>
      <c r="B1026" s="126"/>
      <c r="C1026" s="119"/>
      <c r="D1026" s="119"/>
      <c r="E1026" s="121"/>
      <c r="F1026" s="122"/>
      <c r="G1026" s="123"/>
      <c r="H1026" s="123"/>
      <c r="I1026" s="124"/>
      <c r="J1026" s="125"/>
      <c r="K1026" s="119"/>
    </row>
    <row r="1027" spans="1:11" ht="15" customHeight="1">
      <c r="A1027" s="119"/>
      <c r="B1027" s="126"/>
      <c r="C1027" s="119"/>
      <c r="D1027" s="119"/>
      <c r="E1027" s="121"/>
      <c r="F1027" s="122"/>
      <c r="G1027" s="123"/>
      <c r="H1027" s="123"/>
      <c r="I1027" s="124"/>
      <c r="J1027" s="125"/>
      <c r="K1027" s="119"/>
    </row>
    <row r="1028" spans="1:11" ht="15" customHeight="1">
      <c r="A1028" s="119"/>
      <c r="B1028" s="126"/>
      <c r="C1028" s="119"/>
      <c r="D1028" s="119"/>
      <c r="E1028" s="121"/>
      <c r="F1028" s="122"/>
      <c r="G1028" s="123"/>
      <c r="H1028" s="123"/>
      <c r="I1028" s="124"/>
      <c r="J1028" s="125"/>
      <c r="K1028" s="119"/>
    </row>
    <row r="1029" spans="1:11" ht="15" customHeight="1">
      <c r="A1029" s="119"/>
      <c r="B1029" s="126"/>
      <c r="C1029" s="119"/>
      <c r="D1029" s="119"/>
      <c r="E1029" s="121"/>
      <c r="F1029" s="122"/>
      <c r="G1029" s="123"/>
      <c r="H1029" s="123"/>
      <c r="I1029" s="124"/>
      <c r="J1029" s="125"/>
      <c r="K1029" s="119"/>
    </row>
    <row r="1030" spans="1:11" ht="15" customHeight="1">
      <c r="A1030" s="119"/>
      <c r="B1030" s="126"/>
      <c r="C1030" s="119"/>
      <c r="D1030" s="119"/>
      <c r="E1030" s="121"/>
      <c r="F1030" s="122"/>
      <c r="G1030" s="123"/>
      <c r="H1030" s="123"/>
      <c r="I1030" s="124"/>
      <c r="J1030" s="125"/>
      <c r="K1030" s="119"/>
    </row>
    <row r="1031" spans="1:11" ht="15" customHeight="1">
      <c r="A1031" s="119"/>
      <c r="B1031" s="126"/>
      <c r="C1031" s="119"/>
      <c r="D1031" s="119"/>
      <c r="E1031" s="121"/>
      <c r="F1031" s="122"/>
      <c r="G1031" s="123"/>
      <c r="H1031" s="123"/>
      <c r="I1031" s="124"/>
      <c r="J1031" s="125"/>
      <c r="K1031" s="119"/>
    </row>
    <row r="1032" spans="1:11" ht="15" customHeight="1">
      <c r="A1032" s="119"/>
      <c r="B1032" s="126"/>
      <c r="C1032" s="119"/>
      <c r="D1032" s="119"/>
      <c r="E1032" s="121"/>
      <c r="F1032" s="122"/>
      <c r="G1032" s="123"/>
      <c r="H1032" s="123"/>
      <c r="I1032" s="124"/>
      <c r="J1032" s="125"/>
      <c r="K1032" s="119"/>
    </row>
    <row r="1033" spans="1:11" ht="15" customHeight="1">
      <c r="A1033" s="119"/>
      <c r="B1033" s="126"/>
      <c r="C1033" s="119"/>
      <c r="D1033" s="119"/>
      <c r="E1033" s="121"/>
      <c r="F1033" s="122"/>
      <c r="G1033" s="123"/>
      <c r="H1033" s="123"/>
      <c r="I1033" s="124"/>
      <c r="J1033" s="125"/>
      <c r="K1033" s="119"/>
    </row>
    <row r="1034" spans="1:11" ht="15" customHeight="1">
      <c r="A1034" s="119"/>
      <c r="B1034" s="126"/>
      <c r="C1034" s="119"/>
      <c r="D1034" s="119"/>
      <c r="E1034" s="121"/>
      <c r="F1034" s="122"/>
      <c r="G1034" s="123"/>
      <c r="H1034" s="123"/>
      <c r="I1034" s="124"/>
      <c r="J1034" s="125"/>
      <c r="K1034" s="119"/>
    </row>
    <row r="1035" spans="1:11" ht="15" customHeight="1">
      <c r="A1035" s="119"/>
      <c r="B1035" s="126"/>
      <c r="C1035" s="119"/>
      <c r="D1035" s="119"/>
      <c r="E1035" s="121"/>
      <c r="F1035" s="122"/>
      <c r="G1035" s="123"/>
      <c r="H1035" s="123"/>
      <c r="I1035" s="124"/>
      <c r="J1035" s="125"/>
      <c r="K1035" s="119"/>
    </row>
    <row r="1036" spans="1:11" ht="15" customHeight="1">
      <c r="A1036" s="119"/>
      <c r="B1036" s="126"/>
      <c r="C1036" s="119"/>
      <c r="D1036" s="119"/>
      <c r="E1036" s="121"/>
      <c r="F1036" s="122"/>
      <c r="G1036" s="123"/>
      <c r="H1036" s="123"/>
      <c r="I1036" s="124"/>
      <c r="J1036" s="125"/>
      <c r="K1036" s="119"/>
    </row>
    <row r="1037" spans="1:11" ht="15" customHeight="1">
      <c r="A1037" s="119"/>
      <c r="B1037" s="126"/>
      <c r="C1037" s="119"/>
      <c r="D1037" s="119"/>
      <c r="E1037" s="121"/>
      <c r="F1037" s="122"/>
      <c r="G1037" s="123"/>
      <c r="H1037" s="123"/>
      <c r="I1037" s="124"/>
      <c r="J1037" s="125"/>
      <c r="K1037" s="119"/>
    </row>
    <row r="1038" spans="1:11" ht="15" customHeight="1">
      <c r="A1038" s="119"/>
      <c r="B1038" s="126"/>
      <c r="C1038" s="119"/>
      <c r="D1038" s="119"/>
      <c r="E1038" s="121"/>
      <c r="F1038" s="122"/>
      <c r="G1038" s="123"/>
      <c r="H1038" s="123"/>
      <c r="I1038" s="124"/>
      <c r="J1038" s="125"/>
      <c r="K1038" s="119"/>
    </row>
    <row r="1039" spans="1:11" ht="15" customHeight="1">
      <c r="A1039" s="119"/>
      <c r="B1039" s="126"/>
      <c r="C1039" s="119"/>
      <c r="D1039" s="119"/>
      <c r="E1039" s="121"/>
      <c r="F1039" s="122"/>
      <c r="G1039" s="123"/>
      <c r="H1039" s="123"/>
      <c r="I1039" s="124"/>
      <c r="J1039" s="125"/>
      <c r="K1039" s="119"/>
    </row>
    <row r="1040" spans="1:11" ht="15" customHeight="1">
      <c r="A1040" s="119"/>
      <c r="B1040" s="126"/>
      <c r="C1040" s="119"/>
      <c r="D1040" s="119"/>
      <c r="E1040" s="121"/>
      <c r="F1040" s="122"/>
      <c r="G1040" s="123"/>
      <c r="H1040" s="123"/>
      <c r="I1040" s="124"/>
      <c r="J1040" s="125"/>
      <c r="K1040" s="119"/>
    </row>
    <row r="1041" spans="1:11" ht="15" customHeight="1">
      <c r="A1041" s="119"/>
      <c r="B1041" s="126"/>
      <c r="C1041" s="119"/>
      <c r="D1041" s="119"/>
      <c r="E1041" s="121"/>
      <c r="F1041" s="122"/>
      <c r="G1041" s="123"/>
      <c r="H1041" s="123"/>
      <c r="I1041" s="124"/>
      <c r="J1041" s="125"/>
      <c r="K1041" s="119"/>
    </row>
    <row r="1042" spans="1:11" ht="15" customHeight="1">
      <c r="A1042" s="119"/>
      <c r="B1042" s="126"/>
      <c r="C1042" s="119"/>
      <c r="D1042" s="119"/>
      <c r="E1042" s="121"/>
      <c r="F1042" s="122"/>
      <c r="G1042" s="123"/>
      <c r="H1042" s="123"/>
      <c r="I1042" s="124"/>
      <c r="J1042" s="125"/>
      <c r="K1042" s="119"/>
    </row>
    <row r="1043" spans="1:11" ht="15" customHeight="1">
      <c r="A1043" s="119"/>
      <c r="B1043" s="126"/>
      <c r="C1043" s="119"/>
      <c r="D1043" s="119"/>
      <c r="E1043" s="121"/>
      <c r="F1043" s="122"/>
      <c r="G1043" s="123"/>
      <c r="H1043" s="123"/>
      <c r="I1043" s="124"/>
      <c r="J1043" s="125"/>
      <c r="K1043" s="119"/>
    </row>
    <row r="1044" spans="1:11" ht="15" customHeight="1">
      <c r="A1044" s="119"/>
      <c r="B1044" s="126"/>
      <c r="C1044" s="119"/>
      <c r="D1044" s="119"/>
      <c r="E1044" s="121"/>
      <c r="F1044" s="122"/>
      <c r="G1044" s="123"/>
      <c r="H1044" s="123"/>
      <c r="I1044" s="124"/>
      <c r="J1044" s="125"/>
      <c r="K1044" s="119"/>
    </row>
    <row r="1045" spans="1:11" ht="15" customHeight="1">
      <c r="A1045" s="119"/>
      <c r="B1045" s="126"/>
      <c r="C1045" s="119"/>
      <c r="D1045" s="119"/>
      <c r="E1045" s="121"/>
      <c r="F1045" s="122"/>
      <c r="G1045" s="123"/>
      <c r="H1045" s="123"/>
      <c r="I1045" s="124"/>
      <c r="J1045" s="125"/>
      <c r="K1045" s="119"/>
    </row>
    <row r="1046" spans="1:11" ht="15" customHeight="1">
      <c r="A1046" s="119"/>
      <c r="B1046" s="126"/>
      <c r="C1046" s="119"/>
      <c r="D1046" s="119"/>
      <c r="E1046" s="121"/>
      <c r="F1046" s="122"/>
      <c r="G1046" s="123"/>
      <c r="H1046" s="123"/>
      <c r="I1046" s="124"/>
      <c r="J1046" s="125"/>
      <c r="K1046" s="119"/>
    </row>
    <row r="1047" spans="1:11" ht="15" customHeight="1">
      <c r="A1047" s="119"/>
      <c r="B1047" s="126"/>
      <c r="C1047" s="119"/>
      <c r="D1047" s="119"/>
      <c r="E1047" s="121"/>
      <c r="F1047" s="122"/>
      <c r="G1047" s="123"/>
      <c r="H1047" s="123"/>
      <c r="I1047" s="124"/>
      <c r="J1047" s="125"/>
      <c r="K1047" s="119"/>
    </row>
    <row r="1048" spans="1:11" ht="15" customHeight="1">
      <c r="A1048" s="119"/>
      <c r="B1048" s="126"/>
      <c r="C1048" s="119"/>
      <c r="D1048" s="119"/>
      <c r="E1048" s="121"/>
      <c r="F1048" s="122"/>
      <c r="G1048" s="123"/>
      <c r="H1048" s="123"/>
      <c r="I1048" s="124"/>
      <c r="J1048" s="125"/>
      <c r="K1048" s="119"/>
    </row>
    <row r="1049" spans="1:11" ht="15" customHeight="1">
      <c r="A1049" s="119"/>
      <c r="B1049" s="126"/>
      <c r="C1049" s="119"/>
      <c r="D1049" s="119"/>
      <c r="E1049" s="121"/>
      <c r="F1049" s="122"/>
      <c r="G1049" s="123"/>
      <c r="H1049" s="123"/>
      <c r="I1049" s="124"/>
      <c r="J1049" s="125"/>
      <c r="K1049" s="119"/>
    </row>
    <row r="1050" spans="1:11" ht="15" customHeight="1">
      <c r="A1050" s="119"/>
      <c r="B1050" s="126"/>
      <c r="C1050" s="119"/>
      <c r="D1050" s="119"/>
      <c r="E1050" s="121"/>
      <c r="F1050" s="122"/>
      <c r="G1050" s="123"/>
      <c r="H1050" s="123"/>
      <c r="I1050" s="124"/>
      <c r="J1050" s="125"/>
      <c r="K1050" s="119"/>
    </row>
    <row r="1051" spans="1:11" ht="15" customHeight="1">
      <c r="A1051" s="119"/>
      <c r="B1051" s="126"/>
      <c r="C1051" s="119"/>
      <c r="D1051" s="119"/>
      <c r="E1051" s="121"/>
      <c r="F1051" s="122"/>
      <c r="G1051" s="123"/>
      <c r="H1051" s="123"/>
      <c r="I1051" s="124"/>
      <c r="J1051" s="125"/>
      <c r="K1051" s="119"/>
    </row>
    <row r="1052" spans="1:11" ht="15" customHeight="1">
      <c r="A1052" s="119"/>
      <c r="B1052" s="126"/>
      <c r="C1052" s="119"/>
      <c r="D1052" s="119"/>
      <c r="E1052" s="121"/>
      <c r="F1052" s="122"/>
      <c r="G1052" s="123"/>
      <c r="H1052" s="123"/>
      <c r="I1052" s="124"/>
      <c r="J1052" s="125"/>
      <c r="K1052" s="119"/>
    </row>
    <row r="1053" spans="1:11" ht="15" customHeight="1">
      <c r="A1053" s="119"/>
      <c r="B1053" s="126"/>
      <c r="C1053" s="119"/>
      <c r="D1053" s="119"/>
      <c r="E1053" s="121"/>
      <c r="F1053" s="122"/>
      <c r="G1053" s="123"/>
      <c r="H1053" s="123"/>
      <c r="I1053" s="124"/>
      <c r="J1053" s="125"/>
      <c r="K1053" s="119"/>
    </row>
    <row r="1054" spans="1:11" ht="15" customHeight="1">
      <c r="A1054" s="119"/>
      <c r="B1054" s="126"/>
      <c r="C1054" s="119"/>
      <c r="D1054" s="119"/>
      <c r="E1054" s="121"/>
      <c r="F1054" s="122"/>
      <c r="G1054" s="123"/>
      <c r="H1054" s="123"/>
      <c r="I1054" s="124"/>
      <c r="J1054" s="125"/>
      <c r="K1054" s="119"/>
    </row>
    <row r="1055" spans="1:11" ht="15" customHeight="1">
      <c r="A1055" s="119"/>
      <c r="B1055" s="126"/>
      <c r="C1055" s="119"/>
      <c r="D1055" s="119"/>
      <c r="E1055" s="121"/>
      <c r="F1055" s="122"/>
      <c r="G1055" s="123"/>
      <c r="H1055" s="123"/>
      <c r="I1055" s="124"/>
      <c r="J1055" s="125"/>
      <c r="K1055" s="119"/>
    </row>
    <row r="1056" spans="1:11" ht="15" customHeight="1">
      <c r="A1056" s="119"/>
      <c r="B1056" s="126"/>
      <c r="C1056" s="119"/>
      <c r="D1056" s="119"/>
      <c r="E1056" s="121"/>
      <c r="F1056" s="122"/>
      <c r="G1056" s="123"/>
      <c r="H1056" s="123"/>
      <c r="I1056" s="124"/>
      <c r="J1056" s="125"/>
      <c r="K1056" s="119"/>
    </row>
    <row r="1057" spans="1:11" ht="15" customHeight="1">
      <c r="A1057" s="119"/>
      <c r="B1057" s="126"/>
      <c r="C1057" s="119"/>
      <c r="D1057" s="119"/>
      <c r="E1057" s="121"/>
      <c r="F1057" s="122"/>
      <c r="G1057" s="123"/>
      <c r="H1057" s="123"/>
      <c r="I1057" s="124"/>
      <c r="J1057" s="125"/>
      <c r="K1057" s="119"/>
    </row>
    <row r="1058" spans="1:11" ht="15" customHeight="1">
      <c r="A1058" s="119"/>
      <c r="B1058" s="126"/>
      <c r="C1058" s="119"/>
      <c r="D1058" s="119"/>
      <c r="E1058" s="121"/>
      <c r="F1058" s="122"/>
      <c r="G1058" s="123"/>
      <c r="H1058" s="123"/>
      <c r="I1058" s="124"/>
      <c r="J1058" s="125"/>
      <c r="K1058" s="119"/>
    </row>
    <row r="1059" spans="1:11" ht="15" customHeight="1">
      <c r="A1059" s="119"/>
      <c r="B1059" s="126"/>
      <c r="C1059" s="119"/>
      <c r="D1059" s="119"/>
      <c r="E1059" s="121"/>
      <c r="F1059" s="122"/>
      <c r="G1059" s="123"/>
      <c r="H1059" s="123"/>
      <c r="I1059" s="124"/>
      <c r="J1059" s="125"/>
      <c r="K1059" s="119"/>
    </row>
    <row r="1060" spans="1:11" ht="15" customHeight="1">
      <c r="A1060" s="119"/>
      <c r="B1060" s="126"/>
      <c r="C1060" s="119"/>
      <c r="D1060" s="119"/>
      <c r="E1060" s="121"/>
      <c r="F1060" s="122"/>
      <c r="G1060" s="123"/>
      <c r="H1060" s="123"/>
      <c r="I1060" s="124"/>
      <c r="J1060" s="125"/>
      <c r="K1060" s="119"/>
    </row>
    <row r="1061" spans="1:11" ht="15" customHeight="1">
      <c r="A1061" s="119"/>
      <c r="B1061" s="126"/>
      <c r="C1061" s="119"/>
      <c r="D1061" s="119"/>
      <c r="E1061" s="121"/>
      <c r="F1061" s="122"/>
      <c r="G1061" s="123"/>
      <c r="H1061" s="123"/>
      <c r="I1061" s="124"/>
      <c r="J1061" s="125"/>
      <c r="K1061" s="119"/>
    </row>
    <row r="1062" spans="1:11" ht="15" customHeight="1">
      <c r="A1062" s="119"/>
      <c r="B1062" s="126"/>
      <c r="C1062" s="119"/>
      <c r="D1062" s="119"/>
      <c r="E1062" s="121"/>
      <c r="F1062" s="122"/>
      <c r="G1062" s="123"/>
      <c r="H1062" s="123"/>
      <c r="I1062" s="124"/>
      <c r="J1062" s="125"/>
      <c r="K1062" s="119"/>
    </row>
    <row r="1063" spans="1:11" ht="15" customHeight="1">
      <c r="A1063" s="119"/>
      <c r="B1063" s="126"/>
      <c r="C1063" s="119"/>
      <c r="D1063" s="119"/>
      <c r="E1063" s="121"/>
      <c r="F1063" s="122"/>
      <c r="G1063" s="123"/>
      <c r="H1063" s="123"/>
      <c r="I1063" s="124"/>
      <c r="J1063" s="125"/>
      <c r="K1063" s="119"/>
    </row>
    <row r="1064" spans="1:11" ht="15" customHeight="1">
      <c r="A1064" s="119"/>
      <c r="B1064" s="126"/>
      <c r="C1064" s="119"/>
      <c r="D1064" s="119"/>
      <c r="E1064" s="121"/>
      <c r="F1064" s="122"/>
      <c r="G1064" s="123"/>
      <c r="H1064" s="123"/>
      <c r="I1064" s="124"/>
      <c r="J1064" s="125"/>
      <c r="K1064" s="119"/>
    </row>
    <row r="1065" spans="1:11" ht="15" customHeight="1">
      <c r="A1065" s="119"/>
      <c r="B1065" s="126"/>
      <c r="C1065" s="119"/>
      <c r="D1065" s="119"/>
      <c r="E1065" s="121"/>
      <c r="F1065" s="122"/>
      <c r="G1065" s="123"/>
      <c r="H1065" s="123"/>
      <c r="I1065" s="124"/>
      <c r="J1065" s="125"/>
      <c r="K1065" s="119"/>
    </row>
    <row r="1066" spans="1:11" ht="15" customHeight="1">
      <c r="A1066" s="119"/>
      <c r="B1066" s="126"/>
      <c r="C1066" s="119"/>
      <c r="D1066" s="119"/>
      <c r="E1066" s="121"/>
      <c r="F1066" s="122"/>
      <c r="G1066" s="123"/>
      <c r="H1066" s="123"/>
      <c r="I1066" s="124"/>
      <c r="J1066" s="125"/>
      <c r="K1066" s="119"/>
    </row>
    <row r="1067" spans="1:11" ht="15" customHeight="1">
      <c r="A1067" s="119"/>
      <c r="B1067" s="126"/>
      <c r="C1067" s="119"/>
      <c r="D1067" s="119"/>
      <c r="E1067" s="121"/>
      <c r="F1067" s="122"/>
      <c r="G1067" s="123"/>
      <c r="H1067" s="123"/>
      <c r="I1067" s="124"/>
      <c r="J1067" s="125"/>
      <c r="K1067" s="119"/>
    </row>
    <row r="1068" spans="1:11" ht="15" customHeight="1">
      <c r="A1068" s="119"/>
      <c r="B1068" s="126"/>
      <c r="C1068" s="119"/>
      <c r="D1068" s="119"/>
      <c r="E1068" s="121"/>
      <c r="F1068" s="122"/>
      <c r="G1068" s="123"/>
      <c r="H1068" s="123"/>
      <c r="I1068" s="124"/>
      <c r="J1068" s="125"/>
      <c r="K1068" s="119"/>
    </row>
    <row r="1069" spans="1:11" ht="15" customHeight="1">
      <c r="A1069" s="119"/>
      <c r="B1069" s="126"/>
      <c r="C1069" s="119"/>
      <c r="D1069" s="119"/>
      <c r="E1069" s="121"/>
      <c r="F1069" s="122"/>
      <c r="G1069" s="123"/>
      <c r="H1069" s="123"/>
      <c r="I1069" s="124"/>
      <c r="J1069" s="125"/>
      <c r="K1069" s="119"/>
    </row>
    <row r="1070" spans="1:11" ht="15" customHeight="1">
      <c r="A1070" s="119"/>
      <c r="B1070" s="126"/>
      <c r="C1070" s="119"/>
      <c r="D1070" s="119"/>
      <c r="E1070" s="121"/>
      <c r="F1070" s="122"/>
      <c r="G1070" s="123"/>
      <c r="H1070" s="123"/>
      <c r="I1070" s="124"/>
      <c r="J1070" s="125"/>
      <c r="K1070" s="119"/>
    </row>
    <row r="1071" spans="1:11" ht="15" customHeight="1">
      <c r="A1071" s="119"/>
      <c r="B1071" s="126"/>
      <c r="C1071" s="119"/>
      <c r="D1071" s="119"/>
      <c r="E1071" s="121"/>
      <c r="F1071" s="122"/>
      <c r="G1071" s="123"/>
      <c r="H1071" s="123"/>
      <c r="I1071" s="124"/>
      <c r="J1071" s="125"/>
      <c r="K1071" s="119"/>
    </row>
    <row r="1072" spans="1:11" ht="15" customHeight="1">
      <c r="A1072" s="119"/>
      <c r="B1072" s="126"/>
      <c r="C1072" s="119"/>
      <c r="D1072" s="119"/>
      <c r="E1072" s="121"/>
      <c r="F1072" s="122"/>
      <c r="G1072" s="123"/>
      <c r="H1072" s="123"/>
      <c r="I1072" s="124"/>
      <c r="J1072" s="125"/>
      <c r="K1072" s="119"/>
    </row>
    <row r="1073" spans="1:11" ht="15" customHeight="1">
      <c r="A1073" s="119"/>
      <c r="B1073" s="126"/>
      <c r="C1073" s="119"/>
      <c r="D1073" s="119"/>
      <c r="E1073" s="121"/>
      <c r="F1073" s="122"/>
      <c r="G1073" s="123"/>
      <c r="H1073" s="123"/>
      <c r="I1073" s="124"/>
      <c r="J1073" s="125"/>
      <c r="K1073" s="119"/>
    </row>
    <row r="1074" spans="1:11" ht="15" customHeight="1">
      <c r="A1074" s="119"/>
      <c r="B1074" s="126"/>
      <c r="C1074" s="119"/>
      <c r="D1074" s="119"/>
      <c r="E1074" s="121"/>
      <c r="F1074" s="122"/>
      <c r="G1074" s="123"/>
      <c r="H1074" s="123"/>
      <c r="I1074" s="124"/>
      <c r="J1074" s="125"/>
      <c r="K1074" s="119"/>
    </row>
    <row r="1075" spans="1:11" ht="15" customHeight="1">
      <c r="A1075" s="119"/>
      <c r="B1075" s="126"/>
      <c r="C1075" s="119"/>
      <c r="D1075" s="119"/>
      <c r="E1075" s="121"/>
      <c r="F1075" s="122"/>
      <c r="G1075" s="123"/>
      <c r="H1075" s="123"/>
      <c r="I1075" s="124"/>
      <c r="J1075" s="125"/>
      <c r="K1075" s="119"/>
    </row>
    <row r="1076" spans="1:11" ht="15" customHeight="1">
      <c r="A1076" s="119"/>
      <c r="B1076" s="126"/>
      <c r="C1076" s="119"/>
      <c r="D1076" s="119"/>
      <c r="E1076" s="121"/>
      <c r="F1076" s="122"/>
      <c r="G1076" s="123"/>
      <c r="H1076" s="123"/>
      <c r="I1076" s="124"/>
      <c r="J1076" s="125"/>
      <c r="K1076" s="119"/>
    </row>
    <row r="1077" spans="1:11" ht="15" customHeight="1">
      <c r="A1077" s="119"/>
      <c r="B1077" s="126"/>
      <c r="C1077" s="119"/>
      <c r="D1077" s="119"/>
      <c r="E1077" s="121"/>
      <c r="F1077" s="122"/>
      <c r="G1077" s="123"/>
      <c r="H1077" s="123"/>
      <c r="I1077" s="124"/>
      <c r="J1077" s="125"/>
      <c r="K1077" s="119"/>
    </row>
    <row r="1078" spans="1:11" ht="15" customHeight="1">
      <c r="A1078" s="119"/>
      <c r="B1078" s="126"/>
      <c r="C1078" s="119"/>
      <c r="D1078" s="119"/>
      <c r="E1078" s="121"/>
      <c r="F1078" s="122"/>
      <c r="G1078" s="123"/>
      <c r="H1078" s="123"/>
      <c r="I1078" s="124"/>
      <c r="J1078" s="125"/>
      <c r="K1078" s="119"/>
    </row>
    <row r="1079" spans="1:11" ht="15" customHeight="1">
      <c r="A1079" s="119"/>
      <c r="B1079" s="126"/>
      <c r="C1079" s="119"/>
      <c r="D1079" s="119"/>
      <c r="E1079" s="121"/>
      <c r="F1079" s="122"/>
      <c r="G1079" s="123"/>
      <c r="H1079" s="123"/>
      <c r="I1079" s="124"/>
      <c r="J1079" s="125"/>
      <c r="K1079" s="119"/>
    </row>
    <row r="1080" spans="1:11" ht="15" customHeight="1">
      <c r="A1080" s="119"/>
      <c r="B1080" s="126"/>
      <c r="C1080" s="119"/>
      <c r="D1080" s="119"/>
      <c r="E1080" s="121"/>
      <c r="F1080" s="122"/>
      <c r="G1080" s="123"/>
      <c r="H1080" s="123"/>
      <c r="I1080" s="124"/>
      <c r="J1080" s="125"/>
      <c r="K1080" s="119"/>
    </row>
    <row r="1081" spans="1:11" ht="15" customHeight="1">
      <c r="A1081" s="119"/>
      <c r="B1081" s="126"/>
      <c r="C1081" s="119"/>
      <c r="D1081" s="119"/>
      <c r="E1081" s="121"/>
      <c r="F1081" s="122"/>
      <c r="G1081" s="123"/>
      <c r="H1081" s="123"/>
      <c r="I1081" s="124"/>
      <c r="J1081" s="125"/>
      <c r="K1081" s="119"/>
    </row>
    <row r="1082" spans="1:11" ht="15" customHeight="1">
      <c r="A1082" s="119"/>
      <c r="B1082" s="126"/>
      <c r="C1082" s="119"/>
      <c r="D1082" s="119"/>
      <c r="E1082" s="121"/>
      <c r="F1082" s="122"/>
      <c r="G1082" s="123"/>
      <c r="H1082" s="123"/>
      <c r="I1082" s="124"/>
      <c r="J1082" s="125"/>
      <c r="K1082" s="119"/>
    </row>
    <row r="1083" spans="1:11" ht="15" customHeight="1">
      <c r="A1083" s="119"/>
      <c r="B1083" s="126"/>
      <c r="C1083" s="119"/>
      <c r="D1083" s="119"/>
      <c r="E1083" s="121"/>
      <c r="F1083" s="122"/>
      <c r="G1083" s="123"/>
      <c r="H1083" s="123"/>
      <c r="I1083" s="124"/>
      <c r="J1083" s="125"/>
      <c r="K1083" s="119"/>
    </row>
    <row r="1084" spans="1:11" ht="15" customHeight="1">
      <c r="A1084" s="119"/>
      <c r="B1084" s="126"/>
      <c r="C1084" s="119"/>
      <c r="D1084" s="119"/>
      <c r="E1084" s="121"/>
      <c r="F1084" s="122"/>
      <c r="G1084" s="123"/>
      <c r="H1084" s="123"/>
      <c r="I1084" s="124"/>
      <c r="J1084" s="125"/>
      <c r="K1084" s="119"/>
    </row>
    <row r="1085" spans="1:11" ht="15" customHeight="1">
      <c r="A1085" s="119"/>
      <c r="B1085" s="126"/>
      <c r="C1085" s="119"/>
      <c r="D1085" s="119"/>
      <c r="E1085" s="121"/>
      <c r="F1085" s="122"/>
      <c r="G1085" s="123"/>
      <c r="H1085" s="123"/>
      <c r="I1085" s="124"/>
      <c r="J1085" s="125"/>
      <c r="K1085" s="119"/>
    </row>
    <row r="1086" spans="1:11" ht="15" customHeight="1">
      <c r="A1086" s="119"/>
      <c r="B1086" s="126"/>
      <c r="C1086" s="119"/>
      <c r="D1086" s="119"/>
      <c r="E1086" s="121"/>
      <c r="F1086" s="122"/>
      <c r="G1086" s="123"/>
      <c r="H1086" s="123"/>
      <c r="I1086" s="124"/>
      <c r="J1086" s="125"/>
      <c r="K1086" s="119"/>
    </row>
    <row r="1087" spans="1:11" ht="15" customHeight="1">
      <c r="A1087" s="119"/>
      <c r="B1087" s="126"/>
      <c r="C1087" s="119"/>
      <c r="D1087" s="119"/>
      <c r="E1087" s="121"/>
      <c r="F1087" s="122"/>
      <c r="G1087" s="123"/>
      <c r="H1087" s="123"/>
      <c r="I1087" s="124"/>
      <c r="J1087" s="125"/>
      <c r="K1087" s="119"/>
    </row>
    <row r="1088" spans="1:11" ht="15" customHeight="1">
      <c r="A1088" s="119"/>
      <c r="B1088" s="126"/>
      <c r="C1088" s="119"/>
      <c r="D1088" s="119"/>
      <c r="E1088" s="121"/>
      <c r="F1088" s="122"/>
      <c r="G1088" s="123"/>
      <c r="H1088" s="123"/>
      <c r="I1088" s="124"/>
      <c r="J1088" s="125"/>
      <c r="K1088" s="119"/>
    </row>
    <row r="1089" spans="1:11" ht="15" customHeight="1">
      <c r="A1089" s="119"/>
      <c r="B1089" s="126"/>
      <c r="C1089" s="119"/>
      <c r="D1089" s="119"/>
      <c r="E1089" s="121"/>
      <c r="F1089" s="122"/>
      <c r="G1089" s="123"/>
      <c r="H1089" s="123"/>
      <c r="I1089" s="124"/>
      <c r="J1089" s="125"/>
      <c r="K1089" s="119"/>
    </row>
    <row r="1090" spans="1:11" ht="15" customHeight="1">
      <c r="A1090" s="119"/>
      <c r="B1090" s="126"/>
      <c r="C1090" s="119"/>
      <c r="D1090" s="119"/>
      <c r="E1090" s="121"/>
      <c r="F1090" s="122"/>
      <c r="G1090" s="123"/>
      <c r="H1090" s="123"/>
      <c r="I1090" s="124"/>
      <c r="J1090" s="125"/>
      <c r="K1090" s="119"/>
    </row>
    <row r="1091" spans="1:11" ht="15" customHeight="1">
      <c r="A1091" s="119"/>
      <c r="B1091" s="126"/>
      <c r="C1091" s="119"/>
      <c r="D1091" s="119"/>
      <c r="E1091" s="121"/>
      <c r="F1091" s="122"/>
      <c r="G1091" s="123"/>
      <c r="H1091" s="123"/>
      <c r="I1091" s="124"/>
      <c r="J1091" s="125"/>
      <c r="K1091" s="119"/>
    </row>
    <row r="1092" spans="1:11" ht="15" customHeight="1">
      <c r="A1092" s="119"/>
      <c r="B1092" s="126"/>
      <c r="C1092" s="119"/>
      <c r="D1092" s="119"/>
      <c r="E1092" s="121"/>
      <c r="F1092" s="122"/>
      <c r="G1092" s="123"/>
      <c r="H1092" s="123"/>
      <c r="I1092" s="124"/>
      <c r="J1092" s="125"/>
      <c r="K1092" s="119"/>
    </row>
    <row r="1093" spans="1:11" ht="15" customHeight="1">
      <c r="A1093" s="119"/>
      <c r="B1093" s="126"/>
      <c r="C1093" s="119"/>
      <c r="D1093" s="119"/>
      <c r="E1093" s="121"/>
      <c r="F1093" s="122"/>
      <c r="G1093" s="123"/>
      <c r="H1093" s="123"/>
      <c r="I1093" s="124"/>
      <c r="J1093" s="125"/>
      <c r="K1093" s="119"/>
    </row>
    <row r="1094" spans="1:11" ht="15" customHeight="1">
      <c r="A1094" s="119"/>
      <c r="B1094" s="126"/>
      <c r="C1094" s="119"/>
      <c r="D1094" s="119"/>
      <c r="E1094" s="121"/>
      <c r="F1094" s="122"/>
      <c r="G1094" s="123"/>
      <c r="H1094" s="123"/>
      <c r="I1094" s="124"/>
      <c r="J1094" s="125"/>
      <c r="K1094" s="119"/>
    </row>
    <row r="1095" spans="1:11" ht="15" customHeight="1">
      <c r="A1095" s="119"/>
      <c r="B1095" s="126"/>
      <c r="C1095" s="119"/>
      <c r="D1095" s="119"/>
      <c r="E1095" s="121"/>
      <c r="F1095" s="122"/>
      <c r="G1095" s="123"/>
      <c r="H1095" s="123"/>
      <c r="I1095" s="124"/>
      <c r="J1095" s="125"/>
      <c r="K1095" s="119"/>
    </row>
    <row r="1096" spans="1:11" ht="15" customHeight="1">
      <c r="A1096" s="119"/>
      <c r="B1096" s="126"/>
      <c r="C1096" s="119"/>
      <c r="D1096" s="119"/>
      <c r="E1096" s="121"/>
      <c r="F1096" s="122"/>
      <c r="G1096" s="123"/>
      <c r="H1096" s="123"/>
      <c r="I1096" s="124"/>
      <c r="J1096" s="125"/>
      <c r="K1096" s="119"/>
    </row>
    <row r="1097" spans="1:11" ht="15" customHeight="1">
      <c r="A1097" s="119"/>
      <c r="B1097" s="126"/>
      <c r="C1097" s="119"/>
      <c r="D1097" s="119"/>
      <c r="E1097" s="121"/>
      <c r="F1097" s="122"/>
      <c r="G1097" s="123"/>
      <c r="H1097" s="123"/>
      <c r="I1097" s="124"/>
      <c r="J1097" s="125"/>
      <c r="K1097" s="119"/>
    </row>
    <row r="1098" spans="1:11" ht="15" customHeight="1">
      <c r="A1098" s="119"/>
      <c r="B1098" s="126"/>
      <c r="C1098" s="119"/>
      <c r="D1098" s="119"/>
      <c r="E1098" s="121"/>
      <c r="F1098" s="122"/>
      <c r="G1098" s="123"/>
      <c r="H1098" s="123"/>
      <c r="I1098" s="124"/>
      <c r="J1098" s="125"/>
      <c r="K1098" s="119"/>
    </row>
    <row r="1099" spans="1:11" ht="15" customHeight="1">
      <c r="A1099" s="119"/>
      <c r="B1099" s="126"/>
      <c r="C1099" s="119"/>
      <c r="D1099" s="119"/>
      <c r="E1099" s="121"/>
      <c r="F1099" s="122"/>
      <c r="G1099" s="123"/>
      <c r="H1099" s="123"/>
      <c r="I1099" s="124"/>
      <c r="J1099" s="125"/>
      <c r="K1099" s="119"/>
    </row>
    <row r="1100" spans="1:11" ht="15" customHeight="1">
      <c r="A1100" s="119"/>
      <c r="B1100" s="126"/>
      <c r="C1100" s="119"/>
      <c r="D1100" s="119"/>
      <c r="E1100" s="121"/>
      <c r="F1100" s="122"/>
      <c r="G1100" s="123"/>
      <c r="H1100" s="123"/>
      <c r="I1100" s="124"/>
      <c r="J1100" s="125"/>
      <c r="K1100" s="119"/>
    </row>
    <row r="1101" spans="1:11" ht="15" customHeight="1">
      <c r="A1101" s="119"/>
      <c r="B1101" s="126"/>
      <c r="C1101" s="119"/>
      <c r="D1101" s="119"/>
      <c r="E1101" s="121"/>
      <c r="F1101" s="122"/>
      <c r="G1101" s="123"/>
      <c r="H1101" s="123"/>
      <c r="I1101" s="124"/>
      <c r="J1101" s="125"/>
      <c r="K1101" s="119"/>
    </row>
    <row r="1102" spans="1:11" ht="15" customHeight="1">
      <c r="A1102" s="119"/>
      <c r="B1102" s="126"/>
      <c r="C1102" s="119"/>
      <c r="D1102" s="119"/>
      <c r="E1102" s="121"/>
      <c r="F1102" s="122"/>
      <c r="G1102" s="123"/>
      <c r="H1102" s="123"/>
      <c r="I1102" s="124"/>
      <c r="J1102" s="125"/>
      <c r="K1102" s="119"/>
    </row>
    <row r="1103" spans="1:11" ht="15" customHeight="1">
      <c r="A1103" s="119"/>
      <c r="B1103" s="126"/>
      <c r="C1103" s="119"/>
      <c r="D1103" s="119"/>
      <c r="E1103" s="121"/>
      <c r="F1103" s="122"/>
      <c r="G1103" s="123"/>
      <c r="H1103" s="123"/>
      <c r="I1103" s="124"/>
      <c r="J1103" s="125"/>
      <c r="K1103" s="119"/>
    </row>
    <row r="1104" spans="1:11" ht="15" customHeight="1">
      <c r="A1104" s="119"/>
      <c r="B1104" s="126"/>
      <c r="C1104" s="119"/>
      <c r="D1104" s="119"/>
      <c r="E1104" s="121"/>
      <c r="F1104" s="122"/>
      <c r="G1104" s="123"/>
      <c r="H1104" s="123"/>
      <c r="I1104" s="124"/>
      <c r="J1104" s="125"/>
      <c r="K1104" s="119"/>
    </row>
    <row r="1105" spans="1:11" ht="15" customHeight="1">
      <c r="A1105" s="119"/>
      <c r="B1105" s="126"/>
      <c r="C1105" s="119"/>
      <c r="D1105" s="119"/>
      <c r="E1105" s="121"/>
      <c r="F1105" s="122"/>
      <c r="G1105" s="123"/>
      <c r="H1105" s="123"/>
      <c r="I1105" s="124"/>
      <c r="J1105" s="125"/>
      <c r="K1105" s="119"/>
    </row>
    <row r="1106" spans="1:11" ht="15" customHeight="1">
      <c r="A1106" s="119"/>
      <c r="B1106" s="126"/>
      <c r="C1106" s="119"/>
      <c r="D1106" s="119"/>
      <c r="E1106" s="121"/>
      <c r="F1106" s="122"/>
      <c r="G1106" s="123"/>
      <c r="H1106" s="123"/>
      <c r="I1106" s="124"/>
      <c r="J1106" s="125"/>
      <c r="K1106" s="119"/>
    </row>
    <row r="1107" spans="1:11" ht="15" customHeight="1">
      <c r="A1107" s="119"/>
      <c r="B1107" s="126"/>
      <c r="C1107" s="119"/>
      <c r="D1107" s="119"/>
      <c r="E1107" s="121"/>
      <c r="F1107" s="122"/>
      <c r="G1107" s="123"/>
      <c r="H1107" s="123"/>
      <c r="I1107" s="124"/>
      <c r="J1107" s="125"/>
      <c r="K1107" s="119"/>
    </row>
    <row r="1108" spans="1:11" ht="15" customHeight="1">
      <c r="A1108" s="119"/>
      <c r="B1108" s="126"/>
      <c r="C1108" s="119"/>
      <c r="D1108" s="119"/>
      <c r="E1108" s="121"/>
      <c r="F1108" s="122"/>
      <c r="G1108" s="123"/>
      <c r="H1108" s="123"/>
      <c r="I1108" s="124"/>
      <c r="J1108" s="125"/>
      <c r="K1108" s="119"/>
    </row>
    <row r="1109" spans="1:11" ht="15" customHeight="1">
      <c r="A1109" s="119"/>
      <c r="B1109" s="126"/>
      <c r="C1109" s="119"/>
      <c r="D1109" s="119"/>
      <c r="E1109" s="121"/>
      <c r="F1109" s="122"/>
      <c r="G1109" s="123"/>
      <c r="H1109" s="123"/>
      <c r="I1109" s="124"/>
      <c r="J1109" s="125"/>
      <c r="K1109" s="119"/>
    </row>
    <row r="1110" spans="1:11" ht="15" customHeight="1">
      <c r="A1110" s="119"/>
      <c r="B1110" s="126"/>
      <c r="C1110" s="119"/>
      <c r="D1110" s="119"/>
      <c r="E1110" s="121"/>
      <c r="F1110" s="122"/>
      <c r="G1110" s="123"/>
      <c r="H1110" s="123"/>
      <c r="I1110" s="124"/>
      <c r="J1110" s="125"/>
      <c r="K1110" s="119"/>
    </row>
    <row r="1111" spans="1:11" ht="15" customHeight="1">
      <c r="A1111" s="119"/>
      <c r="B1111" s="126"/>
      <c r="C1111" s="119"/>
      <c r="D1111" s="119"/>
      <c r="E1111" s="121"/>
      <c r="F1111" s="122"/>
      <c r="G1111" s="123"/>
      <c r="H1111" s="123"/>
      <c r="I1111" s="124"/>
      <c r="J1111" s="125"/>
      <c r="K1111" s="119"/>
    </row>
    <row r="1112" spans="1:11" ht="15" customHeight="1">
      <c r="A1112" s="119"/>
      <c r="B1112" s="126"/>
      <c r="C1112" s="119"/>
      <c r="D1112" s="119"/>
      <c r="E1112" s="121"/>
      <c r="F1112" s="122"/>
      <c r="G1112" s="123"/>
      <c r="H1112" s="123"/>
      <c r="I1112" s="124"/>
      <c r="J1112" s="125"/>
      <c r="K1112" s="119"/>
    </row>
    <row r="1113" spans="1:11" ht="15" customHeight="1">
      <c r="A1113" s="119"/>
      <c r="B1113" s="126"/>
      <c r="C1113" s="119"/>
      <c r="D1113" s="119"/>
      <c r="E1113" s="121"/>
      <c r="F1113" s="122"/>
      <c r="G1113" s="123"/>
      <c r="H1113" s="123"/>
      <c r="I1113" s="124"/>
      <c r="J1113" s="125"/>
      <c r="K1113" s="119"/>
    </row>
    <row r="1114" spans="1:11" ht="15" customHeight="1">
      <c r="A1114" s="119"/>
      <c r="B1114" s="126"/>
      <c r="C1114" s="119"/>
      <c r="D1114" s="119"/>
      <c r="E1114" s="121"/>
      <c r="F1114" s="122"/>
      <c r="G1114" s="123"/>
      <c r="H1114" s="123"/>
      <c r="I1114" s="124"/>
      <c r="J1114" s="125"/>
      <c r="K1114" s="119"/>
    </row>
    <row r="1115" spans="1:11" ht="15" customHeight="1">
      <c r="A1115" s="119"/>
      <c r="B1115" s="126"/>
      <c r="C1115" s="119"/>
      <c r="D1115" s="119"/>
      <c r="E1115" s="121"/>
      <c r="F1115" s="122"/>
      <c r="G1115" s="123"/>
      <c r="H1115" s="123"/>
      <c r="I1115" s="124"/>
      <c r="J1115" s="125"/>
      <c r="K1115" s="119"/>
    </row>
    <row r="1116" spans="1:11" ht="15" customHeight="1">
      <c r="A1116" s="119"/>
      <c r="B1116" s="126"/>
      <c r="C1116" s="119"/>
      <c r="D1116" s="119"/>
      <c r="E1116" s="121"/>
      <c r="F1116" s="122"/>
      <c r="G1116" s="123"/>
      <c r="H1116" s="123"/>
      <c r="I1116" s="124"/>
      <c r="J1116" s="125"/>
      <c r="K1116" s="119"/>
    </row>
    <row r="1117" spans="1:11" ht="15" customHeight="1">
      <c r="A1117" s="119"/>
      <c r="B1117" s="126"/>
      <c r="C1117" s="119"/>
      <c r="D1117" s="119"/>
      <c r="E1117" s="121"/>
      <c r="F1117" s="122"/>
      <c r="G1117" s="123"/>
      <c r="H1117" s="123"/>
      <c r="I1117" s="124"/>
      <c r="J1117" s="125"/>
      <c r="K1117" s="119"/>
    </row>
    <row r="1118" spans="1:11" ht="15" customHeight="1">
      <c r="A1118" s="119"/>
      <c r="B1118" s="126"/>
      <c r="C1118" s="119"/>
      <c r="D1118" s="119"/>
      <c r="E1118" s="121"/>
      <c r="F1118" s="122"/>
      <c r="G1118" s="123"/>
      <c r="H1118" s="123"/>
      <c r="I1118" s="124"/>
      <c r="J1118" s="125"/>
      <c r="K1118" s="119"/>
    </row>
    <row r="1119" spans="1:11" ht="15" customHeight="1">
      <c r="A1119" s="119"/>
      <c r="B1119" s="126"/>
      <c r="C1119" s="119"/>
      <c r="D1119" s="119"/>
      <c r="E1119" s="121"/>
      <c r="F1119" s="122"/>
      <c r="G1119" s="123"/>
      <c r="H1119" s="123"/>
      <c r="I1119" s="124"/>
      <c r="J1119" s="125"/>
      <c r="K1119" s="119"/>
    </row>
    <row r="1120" spans="1:11" ht="15" customHeight="1">
      <c r="A1120" s="119"/>
      <c r="B1120" s="126"/>
      <c r="C1120" s="119"/>
      <c r="D1120" s="119"/>
      <c r="E1120" s="121"/>
      <c r="F1120" s="122"/>
      <c r="G1120" s="123"/>
      <c r="H1120" s="123"/>
      <c r="I1120" s="124"/>
      <c r="J1120" s="125"/>
      <c r="K1120" s="119"/>
    </row>
    <row r="1121" spans="1:11" ht="15" customHeight="1">
      <c r="A1121" s="119"/>
      <c r="B1121" s="126"/>
      <c r="C1121" s="119"/>
      <c r="D1121" s="119"/>
      <c r="E1121" s="121"/>
      <c r="F1121" s="122"/>
      <c r="G1121" s="123"/>
      <c r="H1121" s="123"/>
      <c r="I1121" s="124"/>
      <c r="J1121" s="125"/>
      <c r="K1121" s="119"/>
    </row>
    <row r="1122" spans="1:11" ht="15" customHeight="1">
      <c r="A1122" s="119"/>
      <c r="B1122" s="126"/>
      <c r="C1122" s="119"/>
      <c r="D1122" s="119"/>
      <c r="E1122" s="121"/>
      <c r="F1122" s="122"/>
      <c r="G1122" s="123"/>
      <c r="H1122" s="123"/>
      <c r="I1122" s="124"/>
      <c r="J1122" s="125"/>
      <c r="K1122" s="119"/>
    </row>
    <row r="1123" spans="1:11" ht="15" customHeight="1">
      <c r="A1123" s="119"/>
      <c r="B1123" s="126"/>
      <c r="C1123" s="119"/>
      <c r="D1123" s="119"/>
      <c r="E1123" s="121"/>
      <c r="F1123" s="122"/>
      <c r="G1123" s="123"/>
      <c r="H1123" s="123"/>
      <c r="I1123" s="124"/>
      <c r="J1123" s="125"/>
      <c r="K1123" s="119"/>
    </row>
    <row r="1124" spans="1:11" ht="15" customHeight="1">
      <c r="A1124" s="119"/>
      <c r="B1124" s="126"/>
      <c r="C1124" s="119"/>
      <c r="D1124" s="119"/>
      <c r="E1124" s="121"/>
      <c r="F1124" s="122"/>
      <c r="G1124" s="123"/>
      <c r="H1124" s="123"/>
      <c r="I1124" s="124"/>
      <c r="J1124" s="125"/>
      <c r="K1124" s="119"/>
    </row>
    <row r="1125" spans="1:11" ht="15" customHeight="1">
      <c r="A1125" s="119"/>
      <c r="B1125" s="126"/>
      <c r="C1125" s="119"/>
      <c r="D1125" s="119"/>
      <c r="E1125" s="121"/>
      <c r="F1125" s="122"/>
      <c r="G1125" s="123"/>
      <c r="H1125" s="123"/>
      <c r="I1125" s="124"/>
      <c r="J1125" s="125"/>
      <c r="K1125" s="119"/>
    </row>
    <row r="1126" spans="1:11" ht="15" customHeight="1">
      <c r="A1126" s="119"/>
      <c r="B1126" s="126"/>
      <c r="C1126" s="119"/>
      <c r="D1126" s="119"/>
      <c r="E1126" s="121"/>
      <c r="F1126" s="122"/>
      <c r="G1126" s="123"/>
      <c r="H1126" s="123"/>
      <c r="I1126" s="124"/>
      <c r="J1126" s="125"/>
      <c r="K1126" s="119"/>
    </row>
    <row r="1127" spans="1:11" ht="15" customHeight="1">
      <c r="A1127" s="119"/>
      <c r="B1127" s="126"/>
      <c r="C1127" s="119"/>
      <c r="D1127" s="119"/>
      <c r="E1127" s="121"/>
      <c r="F1127" s="122"/>
      <c r="G1127" s="123"/>
      <c r="H1127" s="123"/>
      <c r="I1127" s="124"/>
      <c r="J1127" s="125"/>
      <c r="K1127" s="119"/>
    </row>
    <row r="1128" spans="1:11" ht="15" customHeight="1">
      <c r="A1128" s="119"/>
      <c r="B1128" s="126"/>
      <c r="C1128" s="119"/>
      <c r="D1128" s="119"/>
      <c r="E1128" s="121"/>
      <c r="F1128" s="122"/>
      <c r="G1128" s="123"/>
      <c r="H1128" s="123"/>
      <c r="I1128" s="124"/>
      <c r="J1128" s="125"/>
      <c r="K1128" s="119"/>
    </row>
    <row r="1129" spans="1:11" ht="15" customHeight="1">
      <c r="A1129" s="119"/>
      <c r="B1129" s="126"/>
      <c r="C1129" s="119"/>
      <c r="D1129" s="119"/>
      <c r="E1129" s="121"/>
      <c r="F1129" s="122"/>
      <c r="G1129" s="123"/>
      <c r="H1129" s="123"/>
      <c r="I1129" s="124"/>
      <c r="J1129" s="125"/>
      <c r="K1129" s="119"/>
    </row>
    <row r="1130" spans="1:11" ht="15" customHeight="1">
      <c r="A1130" s="119"/>
      <c r="B1130" s="126"/>
      <c r="C1130" s="119"/>
      <c r="D1130" s="119"/>
      <c r="E1130" s="121"/>
      <c r="F1130" s="122"/>
      <c r="G1130" s="123"/>
      <c r="H1130" s="123"/>
      <c r="I1130" s="124"/>
      <c r="J1130" s="125"/>
      <c r="K1130" s="119"/>
    </row>
    <row r="1131" spans="1:11" ht="15" customHeight="1">
      <c r="A1131" s="119"/>
      <c r="B1131" s="126"/>
      <c r="C1131" s="119"/>
      <c r="D1131" s="119"/>
      <c r="E1131" s="121"/>
      <c r="F1131" s="122"/>
      <c r="G1131" s="123"/>
      <c r="H1131" s="123"/>
      <c r="I1131" s="124"/>
      <c r="J1131" s="125"/>
      <c r="K1131" s="119"/>
    </row>
    <row r="1132" spans="1:11" ht="15" customHeight="1">
      <c r="A1132" s="119"/>
      <c r="B1132" s="126"/>
      <c r="C1132" s="119"/>
      <c r="D1132" s="119"/>
      <c r="E1132" s="121"/>
      <c r="F1132" s="122"/>
      <c r="G1132" s="123"/>
      <c r="H1132" s="123"/>
      <c r="I1132" s="124"/>
      <c r="J1132" s="125"/>
      <c r="K1132" s="119"/>
    </row>
    <row r="1133" spans="1:11" ht="15" customHeight="1">
      <c r="A1133" s="119"/>
      <c r="B1133" s="126"/>
      <c r="C1133" s="119"/>
      <c r="D1133" s="119"/>
      <c r="E1133" s="121"/>
      <c r="F1133" s="122"/>
      <c r="G1133" s="123"/>
      <c r="H1133" s="123"/>
      <c r="I1133" s="124"/>
      <c r="J1133" s="125"/>
      <c r="K1133" s="119"/>
    </row>
    <row r="1134" spans="1:11" ht="15" customHeight="1">
      <c r="A1134" s="119"/>
      <c r="B1134" s="126"/>
      <c r="C1134" s="119"/>
      <c r="D1134" s="119"/>
      <c r="E1134" s="121"/>
      <c r="F1134" s="122"/>
      <c r="G1134" s="123"/>
      <c r="H1134" s="123"/>
      <c r="I1134" s="124"/>
      <c r="J1134" s="125"/>
      <c r="K1134" s="119"/>
    </row>
    <row r="1135" spans="1:11" ht="15" customHeight="1">
      <c r="A1135" s="119"/>
      <c r="B1135" s="126"/>
      <c r="C1135" s="119"/>
      <c r="D1135" s="119"/>
      <c r="E1135" s="121"/>
      <c r="F1135" s="122"/>
      <c r="G1135" s="123"/>
      <c r="H1135" s="123"/>
      <c r="I1135" s="124"/>
      <c r="J1135" s="125"/>
      <c r="K1135" s="119"/>
    </row>
    <row r="1136" spans="1:11" ht="15" customHeight="1">
      <c r="A1136" s="119"/>
      <c r="B1136" s="126"/>
      <c r="C1136" s="119"/>
      <c r="D1136" s="119"/>
      <c r="E1136" s="121"/>
      <c r="F1136" s="122"/>
      <c r="G1136" s="123"/>
      <c r="H1136" s="123"/>
      <c r="I1136" s="124"/>
      <c r="J1136" s="125"/>
      <c r="K1136" s="119"/>
    </row>
    <row r="1137" spans="1:11" ht="15" customHeight="1">
      <c r="A1137" s="119"/>
      <c r="B1137" s="126"/>
      <c r="C1137" s="119"/>
      <c r="D1137" s="119"/>
      <c r="E1137" s="121"/>
      <c r="F1137" s="122"/>
      <c r="G1137" s="123"/>
      <c r="H1137" s="123"/>
      <c r="I1137" s="124"/>
      <c r="J1137" s="125"/>
      <c r="K1137" s="119"/>
    </row>
    <row r="1138" spans="1:11" ht="15" customHeight="1">
      <c r="A1138" s="119"/>
      <c r="B1138" s="126"/>
      <c r="C1138" s="119"/>
      <c r="D1138" s="119"/>
      <c r="E1138" s="121"/>
      <c r="F1138" s="122"/>
      <c r="G1138" s="123"/>
      <c r="H1138" s="123"/>
      <c r="I1138" s="124"/>
      <c r="J1138" s="125"/>
      <c r="K1138" s="119"/>
    </row>
    <row r="1139" spans="1:11" ht="15" customHeight="1">
      <c r="A1139" s="119"/>
      <c r="B1139" s="126"/>
      <c r="C1139" s="119"/>
      <c r="D1139" s="119"/>
      <c r="E1139" s="121"/>
      <c r="F1139" s="122"/>
      <c r="G1139" s="123"/>
      <c r="H1139" s="123"/>
      <c r="I1139" s="124"/>
      <c r="J1139" s="125"/>
      <c r="K1139" s="119"/>
    </row>
    <row r="1140" spans="1:11" ht="15" customHeight="1">
      <c r="A1140" s="119"/>
      <c r="B1140" s="126"/>
      <c r="C1140" s="119"/>
      <c r="D1140" s="119"/>
      <c r="E1140" s="121"/>
      <c r="F1140" s="122"/>
      <c r="G1140" s="123"/>
      <c r="H1140" s="123"/>
      <c r="I1140" s="124"/>
      <c r="J1140" s="125"/>
      <c r="K1140" s="119"/>
    </row>
    <row r="1141" spans="1:11" ht="15" customHeight="1">
      <c r="A1141" s="119"/>
      <c r="B1141" s="126"/>
      <c r="C1141" s="119"/>
      <c r="D1141" s="119"/>
      <c r="E1141" s="121"/>
      <c r="F1141" s="122"/>
      <c r="G1141" s="123"/>
      <c r="H1141" s="123"/>
      <c r="I1141" s="124"/>
      <c r="J1141" s="125"/>
      <c r="K1141" s="119"/>
    </row>
    <row r="1142" spans="1:11" ht="15" customHeight="1">
      <c r="A1142" s="119"/>
      <c r="B1142" s="126"/>
      <c r="C1142" s="119"/>
      <c r="D1142" s="119"/>
      <c r="E1142" s="121"/>
      <c r="F1142" s="122"/>
      <c r="G1142" s="123"/>
      <c r="H1142" s="123"/>
      <c r="I1142" s="124"/>
      <c r="J1142" s="125"/>
      <c r="K1142" s="119"/>
    </row>
    <row r="1143" spans="1:11" ht="15" customHeight="1">
      <c r="A1143" s="119"/>
      <c r="B1143" s="126"/>
      <c r="C1143" s="119"/>
      <c r="D1143" s="119"/>
      <c r="E1143" s="121"/>
      <c r="F1143" s="122"/>
      <c r="G1143" s="123"/>
      <c r="H1143" s="123"/>
      <c r="I1143" s="124"/>
      <c r="J1143" s="125"/>
      <c r="K1143" s="119"/>
    </row>
    <row r="1144" spans="1:11" ht="15" customHeight="1">
      <c r="A1144" s="119"/>
      <c r="B1144" s="126"/>
      <c r="C1144" s="119"/>
      <c r="D1144" s="119"/>
      <c r="E1144" s="121"/>
      <c r="F1144" s="122"/>
      <c r="G1144" s="123"/>
      <c r="H1144" s="123"/>
      <c r="I1144" s="124"/>
      <c r="J1144" s="125"/>
      <c r="K1144" s="119"/>
    </row>
    <row r="1145" spans="1:11" ht="15" customHeight="1">
      <c r="A1145" s="119"/>
      <c r="B1145" s="126"/>
      <c r="C1145" s="119"/>
      <c r="D1145" s="119"/>
      <c r="E1145" s="121"/>
      <c r="F1145" s="122"/>
      <c r="G1145" s="123"/>
      <c r="H1145" s="123"/>
      <c r="I1145" s="124"/>
      <c r="J1145" s="125"/>
      <c r="K1145" s="119"/>
    </row>
    <row r="1146" spans="1:11" ht="15" customHeight="1">
      <c r="A1146" s="119"/>
      <c r="B1146" s="126"/>
      <c r="C1146" s="119"/>
      <c r="D1146" s="119"/>
      <c r="E1146" s="121"/>
      <c r="F1146" s="122"/>
      <c r="G1146" s="123"/>
      <c r="H1146" s="123"/>
      <c r="I1146" s="124"/>
      <c r="J1146" s="125"/>
      <c r="K1146" s="119"/>
    </row>
    <row r="1147" spans="1:11" ht="15" customHeight="1">
      <c r="A1147" s="119"/>
      <c r="B1147" s="126"/>
      <c r="C1147" s="119"/>
      <c r="D1147" s="119"/>
      <c r="E1147" s="121"/>
      <c r="F1147" s="122"/>
      <c r="G1147" s="123"/>
      <c r="H1147" s="123"/>
      <c r="I1147" s="124"/>
      <c r="J1147" s="125"/>
      <c r="K1147" s="119"/>
    </row>
    <row r="1148" spans="1:11" ht="15" customHeight="1">
      <c r="A1148" s="119"/>
      <c r="B1148" s="126"/>
      <c r="C1148" s="119"/>
      <c r="D1148" s="119"/>
      <c r="E1148" s="121"/>
      <c r="F1148" s="122"/>
      <c r="G1148" s="123"/>
      <c r="H1148" s="123"/>
      <c r="I1148" s="124"/>
      <c r="J1148" s="125"/>
      <c r="K1148" s="119"/>
    </row>
    <row r="1149" spans="1:11" ht="15" customHeight="1">
      <c r="A1149" s="119"/>
      <c r="B1149" s="126"/>
      <c r="C1149" s="119"/>
      <c r="D1149" s="119"/>
      <c r="E1149" s="121"/>
      <c r="F1149" s="122"/>
      <c r="G1149" s="123"/>
      <c r="H1149" s="123"/>
      <c r="I1149" s="124"/>
      <c r="J1149" s="125"/>
      <c r="K1149" s="119"/>
    </row>
    <row r="1150" spans="1:11" ht="15" customHeight="1">
      <c r="A1150" s="119"/>
      <c r="B1150" s="126"/>
      <c r="C1150" s="119"/>
      <c r="D1150" s="119"/>
      <c r="E1150" s="121"/>
      <c r="F1150" s="122"/>
      <c r="G1150" s="123"/>
      <c r="H1150" s="123"/>
      <c r="I1150" s="124"/>
      <c r="J1150" s="125"/>
      <c r="K1150" s="119"/>
    </row>
    <row r="1151" spans="1:11" ht="15" customHeight="1">
      <c r="A1151" s="119"/>
      <c r="B1151" s="126"/>
      <c r="C1151" s="119"/>
      <c r="D1151" s="119"/>
      <c r="E1151" s="121"/>
      <c r="F1151" s="122"/>
      <c r="G1151" s="123"/>
      <c r="H1151" s="123"/>
      <c r="I1151" s="124"/>
      <c r="J1151" s="125"/>
      <c r="K1151" s="119"/>
    </row>
    <row r="1152" spans="1:11" ht="15" customHeight="1">
      <c r="A1152" s="119"/>
      <c r="B1152" s="126"/>
      <c r="C1152" s="119"/>
      <c r="D1152" s="119"/>
      <c r="E1152" s="121"/>
      <c r="F1152" s="122"/>
      <c r="G1152" s="123"/>
      <c r="H1152" s="123"/>
      <c r="I1152" s="124"/>
      <c r="J1152" s="125"/>
      <c r="K1152" s="119"/>
    </row>
    <row r="1153" spans="1:11" ht="15" customHeight="1">
      <c r="A1153" s="119"/>
      <c r="B1153" s="126"/>
      <c r="C1153" s="119"/>
      <c r="D1153" s="119"/>
      <c r="E1153" s="121"/>
      <c r="F1153" s="122"/>
      <c r="G1153" s="123"/>
      <c r="H1153" s="123"/>
      <c r="I1153" s="124"/>
      <c r="J1153" s="125"/>
      <c r="K1153" s="119"/>
    </row>
    <row r="1154" spans="1:11" ht="15" customHeight="1">
      <c r="A1154" s="119"/>
      <c r="B1154" s="126"/>
      <c r="C1154" s="119"/>
      <c r="D1154" s="119"/>
      <c r="E1154" s="121"/>
      <c r="F1154" s="122"/>
      <c r="G1154" s="123"/>
      <c r="H1154" s="123"/>
      <c r="I1154" s="124"/>
      <c r="J1154" s="125"/>
      <c r="K1154" s="119"/>
    </row>
    <row r="1155" spans="1:11" ht="15" customHeight="1">
      <c r="A1155" s="119"/>
      <c r="B1155" s="126"/>
      <c r="C1155" s="119"/>
      <c r="D1155" s="119"/>
      <c r="E1155" s="121"/>
      <c r="F1155" s="122"/>
      <c r="G1155" s="123"/>
      <c r="H1155" s="123"/>
      <c r="I1155" s="124"/>
      <c r="J1155" s="125"/>
      <c r="K1155" s="119"/>
    </row>
    <row r="1156" spans="1:11" ht="15" customHeight="1">
      <c r="A1156" s="119"/>
      <c r="B1156" s="126"/>
      <c r="C1156" s="119"/>
      <c r="D1156" s="119"/>
      <c r="E1156" s="121"/>
      <c r="F1156" s="122"/>
      <c r="G1156" s="123"/>
      <c r="H1156" s="123"/>
      <c r="I1156" s="124"/>
      <c r="J1156" s="125"/>
      <c r="K1156" s="119"/>
    </row>
    <row r="1157" spans="1:11" ht="15" customHeight="1">
      <c r="A1157" s="119"/>
      <c r="B1157" s="126"/>
      <c r="C1157" s="119"/>
      <c r="D1157" s="119"/>
      <c r="E1157" s="121"/>
      <c r="F1157" s="122"/>
      <c r="G1157" s="123"/>
      <c r="H1157" s="123"/>
      <c r="I1157" s="124"/>
      <c r="J1157" s="125"/>
      <c r="K1157" s="119"/>
    </row>
    <row r="1158" spans="1:11" ht="15" customHeight="1">
      <c r="A1158" s="119"/>
      <c r="B1158" s="126"/>
      <c r="C1158" s="119"/>
      <c r="D1158" s="119"/>
      <c r="E1158" s="121"/>
      <c r="F1158" s="122"/>
      <c r="G1158" s="123"/>
      <c r="H1158" s="123"/>
      <c r="I1158" s="124"/>
      <c r="J1158" s="125"/>
      <c r="K1158" s="119"/>
    </row>
    <row r="1159" spans="1:11" ht="15" customHeight="1">
      <c r="A1159" s="119"/>
      <c r="B1159" s="126"/>
      <c r="C1159" s="119"/>
      <c r="D1159" s="119"/>
      <c r="E1159" s="121"/>
      <c r="F1159" s="122"/>
      <c r="G1159" s="123"/>
      <c r="H1159" s="123"/>
      <c r="I1159" s="124"/>
      <c r="J1159" s="125"/>
      <c r="K1159" s="119"/>
    </row>
    <row r="1160" spans="1:11" ht="15" customHeight="1">
      <c r="A1160" s="119"/>
      <c r="B1160" s="126"/>
      <c r="C1160" s="119"/>
      <c r="D1160" s="119"/>
      <c r="E1160" s="121"/>
      <c r="F1160" s="122"/>
      <c r="G1160" s="123"/>
      <c r="H1160" s="123"/>
      <c r="I1160" s="124"/>
      <c r="J1160" s="125"/>
      <c r="K1160" s="119"/>
    </row>
    <row r="1161" spans="1:11" ht="15" customHeight="1">
      <c r="A1161" s="119"/>
      <c r="B1161" s="126"/>
      <c r="C1161" s="119"/>
      <c r="D1161" s="119"/>
      <c r="E1161" s="121"/>
      <c r="F1161" s="122"/>
      <c r="G1161" s="123"/>
      <c r="H1161" s="123"/>
      <c r="I1161" s="124"/>
      <c r="J1161" s="125"/>
      <c r="K1161" s="119"/>
    </row>
    <row r="1162" spans="1:11" ht="15" customHeight="1">
      <c r="A1162" s="119"/>
      <c r="B1162" s="126"/>
      <c r="C1162" s="119"/>
      <c r="D1162" s="119"/>
      <c r="E1162" s="121"/>
      <c r="F1162" s="122"/>
      <c r="G1162" s="123"/>
      <c r="H1162" s="123"/>
      <c r="I1162" s="124"/>
      <c r="J1162" s="125"/>
      <c r="K1162" s="119"/>
    </row>
    <row r="1163" spans="1:11" ht="15" customHeight="1">
      <c r="A1163" s="119"/>
      <c r="B1163" s="126"/>
      <c r="C1163" s="119"/>
      <c r="D1163" s="119"/>
      <c r="E1163" s="121"/>
      <c r="F1163" s="122"/>
      <c r="G1163" s="123"/>
      <c r="H1163" s="123"/>
      <c r="I1163" s="124"/>
      <c r="J1163" s="125"/>
      <c r="K1163" s="119"/>
    </row>
    <row r="1164" spans="1:11" ht="15" customHeight="1">
      <c r="A1164" s="119"/>
      <c r="B1164" s="126"/>
      <c r="C1164" s="119"/>
      <c r="D1164" s="119"/>
      <c r="E1164" s="121"/>
      <c r="F1164" s="122"/>
      <c r="G1164" s="123"/>
      <c r="H1164" s="123"/>
      <c r="I1164" s="124"/>
      <c r="J1164" s="125"/>
      <c r="K1164" s="119"/>
    </row>
    <row r="1165" spans="1:11" ht="15" customHeight="1">
      <c r="A1165" s="119"/>
      <c r="B1165" s="126"/>
      <c r="C1165" s="119"/>
      <c r="D1165" s="119"/>
      <c r="E1165" s="121"/>
      <c r="F1165" s="122"/>
      <c r="G1165" s="123"/>
      <c r="H1165" s="123"/>
      <c r="I1165" s="124"/>
      <c r="J1165" s="125"/>
      <c r="K1165" s="119"/>
    </row>
    <row r="1166" spans="1:11" ht="15" customHeight="1">
      <c r="A1166" s="119"/>
      <c r="B1166" s="126"/>
      <c r="C1166" s="119"/>
      <c r="D1166" s="119"/>
      <c r="E1166" s="121"/>
      <c r="F1166" s="122"/>
      <c r="G1166" s="123"/>
      <c r="H1166" s="123"/>
      <c r="I1166" s="124"/>
      <c r="J1166" s="125"/>
      <c r="K1166" s="119"/>
    </row>
    <row r="1167" spans="1:11" ht="15" customHeight="1">
      <c r="A1167" s="119"/>
      <c r="B1167" s="126"/>
      <c r="C1167" s="119"/>
      <c r="D1167" s="119"/>
      <c r="E1167" s="121"/>
      <c r="F1167" s="122"/>
      <c r="G1167" s="123"/>
      <c r="H1167" s="123"/>
      <c r="I1167" s="124"/>
      <c r="J1167" s="125"/>
      <c r="K1167" s="119"/>
    </row>
    <row r="1168" spans="1:11" ht="15" customHeight="1">
      <c r="A1168" s="119"/>
      <c r="B1168" s="126"/>
      <c r="C1168" s="119"/>
      <c r="D1168" s="119"/>
      <c r="E1168" s="121"/>
      <c r="F1168" s="122"/>
      <c r="G1168" s="123"/>
      <c r="H1168" s="123"/>
      <c r="I1168" s="124"/>
      <c r="J1168" s="125"/>
      <c r="K1168" s="119"/>
    </row>
    <row r="1169" spans="1:11" ht="15" customHeight="1">
      <c r="A1169" s="119"/>
      <c r="B1169" s="126"/>
      <c r="C1169" s="119"/>
      <c r="D1169" s="119"/>
      <c r="E1169" s="121"/>
      <c r="F1169" s="122"/>
      <c r="G1169" s="123"/>
      <c r="H1169" s="123"/>
      <c r="I1169" s="124"/>
      <c r="J1169" s="125"/>
      <c r="K1169" s="119"/>
    </row>
    <row r="1170" spans="1:11" ht="15" customHeight="1">
      <c r="A1170" s="119"/>
      <c r="B1170" s="126"/>
      <c r="C1170" s="119"/>
      <c r="D1170" s="119"/>
      <c r="E1170" s="121"/>
      <c r="F1170" s="122"/>
      <c r="G1170" s="123"/>
      <c r="H1170" s="123"/>
      <c r="I1170" s="124"/>
      <c r="J1170" s="125"/>
      <c r="K1170" s="119"/>
    </row>
    <row r="1171" spans="1:11" ht="15" customHeight="1">
      <c r="A1171" s="119"/>
      <c r="B1171" s="126"/>
      <c r="C1171" s="119"/>
      <c r="D1171" s="119"/>
      <c r="E1171" s="121"/>
      <c r="F1171" s="122"/>
      <c r="G1171" s="123"/>
      <c r="H1171" s="123"/>
      <c r="I1171" s="124"/>
      <c r="J1171" s="125"/>
      <c r="K1171" s="119"/>
    </row>
    <row r="1172" spans="1:11" ht="15" customHeight="1">
      <c r="A1172" s="119"/>
      <c r="B1172" s="126"/>
      <c r="C1172" s="119"/>
      <c r="D1172" s="119"/>
      <c r="E1172" s="121"/>
      <c r="F1172" s="122"/>
      <c r="G1172" s="123"/>
      <c r="H1172" s="123"/>
      <c r="I1172" s="124"/>
      <c r="J1172" s="125"/>
      <c r="K1172" s="119"/>
    </row>
    <row r="1173" spans="1:11" ht="15" customHeight="1">
      <c r="A1173" s="119"/>
      <c r="B1173" s="126"/>
      <c r="C1173" s="119"/>
      <c r="D1173" s="119"/>
      <c r="E1173" s="121"/>
      <c r="F1173" s="122"/>
      <c r="G1173" s="123"/>
      <c r="H1173" s="123"/>
      <c r="I1173" s="124"/>
      <c r="J1173" s="125"/>
      <c r="K1173" s="119"/>
    </row>
    <row r="1174" spans="1:11" ht="15" customHeight="1">
      <c r="A1174" s="119"/>
      <c r="B1174" s="126"/>
      <c r="C1174" s="119"/>
      <c r="D1174" s="119"/>
      <c r="E1174" s="121"/>
      <c r="F1174" s="122"/>
      <c r="G1174" s="123"/>
      <c r="H1174" s="123"/>
      <c r="I1174" s="124"/>
      <c r="J1174" s="125"/>
      <c r="K1174" s="119"/>
    </row>
    <row r="1175" spans="1:11" ht="15" customHeight="1">
      <c r="A1175" s="119"/>
      <c r="B1175" s="126"/>
      <c r="C1175" s="119"/>
      <c r="D1175" s="119"/>
      <c r="E1175" s="121"/>
      <c r="F1175" s="122"/>
      <c r="G1175" s="123"/>
      <c r="H1175" s="123"/>
      <c r="I1175" s="124"/>
      <c r="J1175" s="125"/>
      <c r="K1175" s="119"/>
    </row>
    <row r="1176" spans="1:11" ht="15" customHeight="1">
      <c r="A1176" s="119"/>
      <c r="B1176" s="126"/>
      <c r="C1176" s="119"/>
      <c r="D1176" s="119"/>
      <c r="E1176" s="121"/>
      <c r="F1176" s="122"/>
      <c r="G1176" s="123"/>
      <c r="H1176" s="123"/>
      <c r="I1176" s="124"/>
      <c r="J1176" s="125"/>
      <c r="K1176" s="119"/>
    </row>
    <row r="1177" spans="1:11" ht="15" customHeight="1">
      <c r="A1177" s="119"/>
      <c r="B1177" s="126"/>
      <c r="C1177" s="119"/>
      <c r="D1177" s="119"/>
      <c r="E1177" s="121"/>
      <c r="F1177" s="122"/>
      <c r="G1177" s="123"/>
      <c r="H1177" s="123"/>
      <c r="I1177" s="124"/>
      <c r="J1177" s="125"/>
      <c r="K1177" s="119"/>
    </row>
    <row r="1178" spans="1:11" ht="15" customHeight="1">
      <c r="A1178" s="119"/>
      <c r="B1178" s="126"/>
      <c r="C1178" s="119"/>
      <c r="D1178" s="119"/>
      <c r="E1178" s="121"/>
      <c r="F1178" s="122"/>
      <c r="G1178" s="123"/>
      <c r="H1178" s="123"/>
      <c r="I1178" s="124"/>
      <c r="J1178" s="125"/>
      <c r="K1178" s="119"/>
    </row>
    <row r="1179" spans="1:11" ht="15" customHeight="1">
      <c r="A1179" s="119"/>
      <c r="B1179" s="126"/>
      <c r="C1179" s="119"/>
      <c r="D1179" s="119"/>
      <c r="E1179" s="121"/>
      <c r="F1179" s="122"/>
      <c r="G1179" s="123"/>
      <c r="H1179" s="123"/>
      <c r="I1179" s="124"/>
      <c r="J1179" s="125"/>
      <c r="K1179" s="119"/>
    </row>
    <row r="1180" spans="1:11" ht="15" customHeight="1">
      <c r="A1180" s="119"/>
      <c r="B1180" s="126"/>
      <c r="C1180" s="119"/>
      <c r="D1180" s="119"/>
      <c r="E1180" s="121"/>
      <c r="F1180" s="122"/>
      <c r="G1180" s="123"/>
      <c r="H1180" s="123"/>
      <c r="I1180" s="124"/>
      <c r="J1180" s="125"/>
      <c r="K1180" s="119"/>
    </row>
    <row r="1181" spans="1:11" ht="15" customHeight="1">
      <c r="A1181" s="119"/>
      <c r="B1181" s="126"/>
      <c r="C1181" s="119"/>
      <c r="D1181" s="119"/>
      <c r="E1181" s="121"/>
      <c r="F1181" s="122"/>
      <c r="G1181" s="123"/>
      <c r="H1181" s="123"/>
      <c r="I1181" s="124"/>
      <c r="J1181" s="125"/>
      <c r="K1181" s="119"/>
    </row>
    <row r="1182" spans="1:11" ht="15" customHeight="1">
      <c r="A1182" s="119"/>
      <c r="B1182" s="126"/>
      <c r="C1182" s="119"/>
      <c r="D1182" s="119"/>
      <c r="E1182" s="121"/>
      <c r="F1182" s="122"/>
      <c r="G1182" s="123"/>
      <c r="H1182" s="123"/>
      <c r="I1182" s="124"/>
      <c r="J1182" s="125"/>
      <c r="K1182" s="119"/>
    </row>
    <row r="1183" spans="1:11" ht="15" customHeight="1">
      <c r="A1183" s="119"/>
      <c r="B1183" s="126"/>
      <c r="C1183" s="119"/>
      <c r="D1183" s="119"/>
      <c r="E1183" s="121"/>
      <c r="F1183" s="122"/>
      <c r="G1183" s="123"/>
      <c r="H1183" s="123"/>
      <c r="I1183" s="124"/>
      <c r="J1183" s="125"/>
      <c r="K1183" s="119"/>
    </row>
    <row r="1184" spans="1:11" ht="15" customHeight="1">
      <c r="A1184" s="119"/>
      <c r="B1184" s="126"/>
      <c r="C1184" s="119"/>
      <c r="D1184" s="119"/>
      <c r="E1184" s="121"/>
      <c r="F1184" s="122"/>
      <c r="G1184" s="123"/>
      <c r="H1184" s="123"/>
      <c r="I1184" s="124"/>
      <c r="J1184" s="125"/>
      <c r="K1184" s="119"/>
    </row>
    <row r="1185" spans="1:11" ht="15" customHeight="1">
      <c r="A1185" s="119"/>
      <c r="B1185" s="126"/>
      <c r="C1185" s="119"/>
      <c r="D1185" s="119"/>
      <c r="E1185" s="121"/>
      <c r="F1185" s="122"/>
      <c r="G1185" s="123"/>
      <c r="H1185" s="123"/>
      <c r="I1185" s="124"/>
      <c r="J1185" s="125"/>
      <c r="K1185" s="119"/>
    </row>
    <row r="1186" spans="1:11" ht="15" customHeight="1">
      <c r="A1186" s="119"/>
      <c r="B1186" s="126"/>
      <c r="C1186" s="119"/>
      <c r="D1186" s="119"/>
      <c r="E1186" s="121"/>
      <c r="F1186" s="122"/>
      <c r="G1186" s="123"/>
      <c r="H1186" s="123"/>
      <c r="I1186" s="124"/>
      <c r="J1186" s="125"/>
      <c r="K1186" s="119"/>
    </row>
    <row r="1187" spans="1:11" ht="15" customHeight="1">
      <c r="A1187" s="119"/>
      <c r="B1187" s="126"/>
      <c r="C1187" s="119"/>
      <c r="D1187" s="119"/>
      <c r="E1187" s="121"/>
      <c r="F1187" s="122"/>
      <c r="G1187" s="123"/>
      <c r="H1187" s="123"/>
      <c r="I1187" s="124"/>
      <c r="J1187" s="125"/>
      <c r="K1187" s="119"/>
    </row>
    <row r="1188" spans="1:11" ht="15" customHeight="1">
      <c r="A1188" s="119"/>
      <c r="B1188" s="126"/>
      <c r="C1188" s="119"/>
      <c r="D1188" s="119"/>
      <c r="E1188" s="121"/>
      <c r="F1188" s="122"/>
      <c r="G1188" s="123"/>
      <c r="H1188" s="123"/>
      <c r="I1188" s="124"/>
      <c r="J1188" s="125"/>
      <c r="K1188" s="119"/>
    </row>
    <row r="1189" spans="1:11" ht="15" customHeight="1">
      <c r="A1189" s="119"/>
      <c r="B1189" s="126"/>
      <c r="C1189" s="119"/>
      <c r="D1189" s="119"/>
      <c r="E1189" s="121"/>
      <c r="F1189" s="122"/>
      <c r="G1189" s="123"/>
      <c r="H1189" s="123"/>
      <c r="I1189" s="124"/>
      <c r="J1189" s="125"/>
      <c r="K1189" s="119"/>
    </row>
    <row r="1190" spans="1:11" ht="15" customHeight="1">
      <c r="A1190" s="119"/>
      <c r="B1190" s="126"/>
      <c r="C1190" s="119"/>
      <c r="D1190" s="119"/>
      <c r="E1190" s="121"/>
      <c r="F1190" s="122"/>
      <c r="G1190" s="123"/>
      <c r="H1190" s="123"/>
      <c r="I1190" s="124"/>
      <c r="J1190" s="125"/>
      <c r="K1190" s="119"/>
    </row>
    <row r="1191" spans="1:11" ht="15" customHeight="1">
      <c r="A1191" s="119"/>
      <c r="B1191" s="126"/>
      <c r="C1191" s="119"/>
      <c r="D1191" s="119"/>
      <c r="E1191" s="121"/>
      <c r="F1191" s="122"/>
      <c r="G1191" s="123"/>
      <c r="H1191" s="123"/>
      <c r="I1191" s="124"/>
      <c r="J1191" s="125"/>
      <c r="K1191" s="119"/>
    </row>
    <row r="1192" spans="1:11" ht="15" customHeight="1">
      <c r="A1192" s="119"/>
      <c r="B1192" s="126"/>
      <c r="C1192" s="119"/>
      <c r="D1192" s="119"/>
      <c r="E1192" s="121"/>
      <c r="F1192" s="122"/>
      <c r="G1192" s="123"/>
      <c r="H1192" s="123"/>
      <c r="I1192" s="124"/>
      <c r="J1192" s="125"/>
      <c r="K1192" s="119"/>
    </row>
    <row r="1193" spans="1:11" ht="15" customHeight="1">
      <c r="A1193" s="119"/>
      <c r="B1193" s="126"/>
      <c r="C1193" s="119"/>
      <c r="D1193" s="119"/>
      <c r="E1193" s="121"/>
      <c r="F1193" s="122"/>
      <c r="G1193" s="123"/>
      <c r="H1193" s="123"/>
      <c r="I1193" s="124"/>
      <c r="J1193" s="125"/>
      <c r="K1193" s="119"/>
    </row>
    <row r="1194" spans="1:11" ht="15" customHeight="1">
      <c r="A1194" s="119"/>
      <c r="B1194" s="126"/>
      <c r="C1194" s="119"/>
      <c r="D1194" s="119"/>
      <c r="E1194" s="121"/>
      <c r="F1194" s="122"/>
      <c r="G1194" s="123"/>
      <c r="H1194" s="123"/>
      <c r="I1194" s="124"/>
      <c r="J1194" s="125"/>
      <c r="K1194" s="119"/>
    </row>
    <row r="1195" spans="1:11" ht="15" customHeight="1">
      <c r="A1195" s="119"/>
      <c r="B1195" s="126"/>
      <c r="C1195" s="119"/>
      <c r="D1195" s="119"/>
      <c r="E1195" s="121"/>
      <c r="F1195" s="122"/>
      <c r="G1195" s="123"/>
      <c r="H1195" s="123"/>
      <c r="I1195" s="124"/>
      <c r="J1195" s="125"/>
      <c r="K1195" s="119"/>
    </row>
    <row r="1196" spans="1:11" ht="15" customHeight="1">
      <c r="A1196" s="119"/>
      <c r="B1196" s="126"/>
      <c r="C1196" s="119"/>
      <c r="D1196" s="119"/>
      <c r="E1196" s="121"/>
      <c r="F1196" s="122"/>
      <c r="G1196" s="123"/>
      <c r="H1196" s="123"/>
      <c r="I1196" s="124"/>
      <c r="J1196" s="125"/>
      <c r="K1196" s="119"/>
    </row>
    <row r="1197" spans="1:11" ht="15" customHeight="1">
      <c r="A1197" s="119"/>
      <c r="B1197" s="126"/>
      <c r="C1197" s="119"/>
      <c r="D1197" s="119"/>
      <c r="E1197" s="121"/>
      <c r="F1197" s="122"/>
      <c r="G1197" s="123"/>
      <c r="H1197" s="123"/>
      <c r="I1197" s="124"/>
      <c r="J1197" s="125"/>
      <c r="K1197" s="119"/>
    </row>
    <row r="1198" spans="1:11" ht="15" customHeight="1">
      <c r="A1198" s="119"/>
      <c r="B1198" s="126"/>
      <c r="C1198" s="119"/>
      <c r="D1198" s="119"/>
      <c r="E1198" s="121"/>
      <c r="F1198" s="122"/>
      <c r="G1198" s="123"/>
      <c r="H1198" s="123"/>
      <c r="I1198" s="124"/>
      <c r="J1198" s="125"/>
      <c r="K1198" s="119"/>
    </row>
    <row r="1199" spans="1:11" ht="15" customHeight="1">
      <c r="A1199" s="119"/>
      <c r="B1199" s="126"/>
      <c r="C1199" s="119"/>
      <c r="D1199" s="119"/>
      <c r="E1199" s="121"/>
      <c r="F1199" s="122"/>
      <c r="G1199" s="123"/>
      <c r="H1199" s="123"/>
      <c r="I1199" s="124"/>
      <c r="J1199" s="125"/>
      <c r="K1199" s="119"/>
    </row>
    <row r="1200" spans="1:11" ht="15" customHeight="1">
      <c r="A1200" s="119"/>
      <c r="B1200" s="126"/>
      <c r="C1200" s="119"/>
      <c r="D1200" s="119"/>
      <c r="E1200" s="121"/>
      <c r="F1200" s="122"/>
      <c r="G1200" s="123"/>
      <c r="H1200" s="123"/>
      <c r="I1200" s="124"/>
      <c r="J1200" s="125"/>
      <c r="K1200" s="119"/>
    </row>
    <row r="1201" spans="1:11" ht="15" customHeight="1">
      <c r="A1201" s="119"/>
      <c r="B1201" s="126"/>
      <c r="C1201" s="119"/>
      <c r="D1201" s="119"/>
      <c r="E1201" s="121"/>
      <c r="F1201" s="122"/>
      <c r="G1201" s="123"/>
      <c r="H1201" s="123"/>
      <c r="I1201" s="124"/>
      <c r="J1201" s="125"/>
      <c r="K1201" s="119"/>
    </row>
    <row r="1202" spans="1:11" ht="15" customHeight="1">
      <c r="A1202" s="119"/>
      <c r="B1202" s="126"/>
      <c r="C1202" s="119"/>
      <c r="D1202" s="119"/>
      <c r="E1202" s="121"/>
      <c r="F1202" s="122"/>
      <c r="G1202" s="123"/>
      <c r="H1202" s="123"/>
      <c r="I1202" s="124"/>
      <c r="J1202" s="125"/>
      <c r="K1202" s="119"/>
    </row>
    <row r="1203" spans="1:11" ht="15" customHeight="1">
      <c r="A1203" s="119"/>
      <c r="B1203" s="126"/>
      <c r="C1203" s="119"/>
      <c r="D1203" s="119"/>
      <c r="E1203" s="121"/>
      <c r="F1203" s="122"/>
      <c r="G1203" s="123"/>
      <c r="H1203" s="123"/>
      <c r="I1203" s="124"/>
      <c r="J1203" s="125"/>
      <c r="K1203" s="119"/>
    </row>
    <row r="1204" spans="1:11" ht="15" customHeight="1">
      <c r="A1204" s="119"/>
      <c r="B1204" s="126"/>
      <c r="C1204" s="119"/>
      <c r="D1204" s="119"/>
      <c r="E1204" s="121"/>
      <c r="F1204" s="122"/>
      <c r="G1204" s="123"/>
      <c r="H1204" s="123"/>
      <c r="I1204" s="124"/>
      <c r="J1204" s="125"/>
      <c r="K1204" s="119"/>
    </row>
    <row r="1205" spans="1:11" ht="15" customHeight="1">
      <c r="A1205" s="119"/>
      <c r="B1205" s="126"/>
      <c r="C1205" s="119"/>
      <c r="D1205" s="119"/>
      <c r="E1205" s="121"/>
      <c r="F1205" s="122"/>
      <c r="G1205" s="123"/>
      <c r="H1205" s="123"/>
      <c r="I1205" s="124"/>
      <c r="J1205" s="125"/>
      <c r="K1205" s="119"/>
    </row>
    <row r="1206" spans="1:11" ht="15" customHeight="1">
      <c r="A1206" s="119"/>
      <c r="B1206" s="126"/>
      <c r="C1206" s="119"/>
      <c r="D1206" s="119"/>
      <c r="E1206" s="121"/>
      <c r="F1206" s="122"/>
      <c r="G1206" s="123"/>
      <c r="H1206" s="123"/>
      <c r="I1206" s="124"/>
      <c r="J1206" s="125"/>
      <c r="K1206" s="119"/>
    </row>
    <row r="1207" spans="1:11" ht="15" customHeight="1">
      <c r="A1207" s="119"/>
      <c r="B1207" s="126"/>
      <c r="C1207" s="119"/>
      <c r="D1207" s="119"/>
      <c r="E1207" s="121"/>
      <c r="F1207" s="122"/>
      <c r="G1207" s="123"/>
      <c r="H1207" s="123"/>
      <c r="I1207" s="124"/>
      <c r="J1207" s="125"/>
      <c r="K1207" s="119"/>
    </row>
    <row r="1208" spans="1:11" ht="15" customHeight="1">
      <c r="A1208" s="119"/>
      <c r="B1208" s="126"/>
      <c r="C1208" s="119"/>
      <c r="D1208" s="119"/>
      <c r="E1208" s="121"/>
      <c r="F1208" s="122"/>
      <c r="G1208" s="123"/>
      <c r="H1208" s="123"/>
      <c r="I1208" s="124"/>
      <c r="J1208" s="125"/>
      <c r="K1208" s="119"/>
    </row>
    <row r="1209" spans="1:11" ht="15" customHeight="1">
      <c r="A1209" s="119"/>
      <c r="B1209" s="126"/>
      <c r="C1209" s="119"/>
      <c r="D1209" s="119"/>
      <c r="E1209" s="121"/>
      <c r="F1209" s="122"/>
      <c r="G1209" s="123"/>
      <c r="H1209" s="123"/>
      <c r="I1209" s="124"/>
      <c r="J1209" s="125"/>
      <c r="K1209" s="119"/>
    </row>
    <row r="1210" spans="1:11" ht="15" customHeight="1">
      <c r="A1210" s="119"/>
      <c r="B1210" s="126"/>
      <c r="C1210" s="119"/>
      <c r="D1210" s="119"/>
      <c r="E1210" s="121"/>
      <c r="F1210" s="122"/>
      <c r="G1210" s="123"/>
      <c r="H1210" s="123"/>
      <c r="I1210" s="124"/>
      <c r="J1210" s="125"/>
      <c r="K1210" s="119"/>
    </row>
    <row r="1211" spans="1:11" ht="15" customHeight="1">
      <c r="A1211" s="119"/>
      <c r="B1211" s="126"/>
      <c r="C1211" s="119"/>
      <c r="D1211" s="119"/>
      <c r="E1211" s="121"/>
      <c r="F1211" s="122"/>
      <c r="G1211" s="123"/>
      <c r="H1211" s="123"/>
      <c r="I1211" s="124"/>
      <c r="J1211" s="125"/>
      <c r="K1211" s="119"/>
    </row>
    <row r="1212" spans="1:11" ht="15" customHeight="1">
      <c r="A1212" s="119"/>
      <c r="B1212" s="126"/>
      <c r="C1212" s="119"/>
      <c r="D1212" s="119"/>
      <c r="E1212" s="121"/>
      <c r="F1212" s="122"/>
      <c r="G1212" s="123"/>
      <c r="H1212" s="123"/>
      <c r="I1212" s="124"/>
      <c r="J1212" s="125"/>
      <c r="K1212" s="119"/>
    </row>
    <row r="1213" spans="1:11" ht="15" customHeight="1">
      <c r="A1213" s="119"/>
      <c r="B1213" s="126"/>
      <c r="C1213" s="119"/>
      <c r="D1213" s="119"/>
      <c r="E1213" s="121"/>
      <c r="F1213" s="122"/>
      <c r="G1213" s="123"/>
      <c r="H1213" s="123"/>
      <c r="I1213" s="124"/>
      <c r="J1213" s="125"/>
      <c r="K1213" s="119"/>
    </row>
    <row r="1214" spans="1:11" ht="15" customHeight="1">
      <c r="A1214" s="119"/>
      <c r="B1214" s="126"/>
      <c r="C1214" s="119"/>
      <c r="D1214" s="119"/>
      <c r="E1214" s="121"/>
      <c r="F1214" s="122"/>
      <c r="G1214" s="123"/>
      <c r="H1214" s="123"/>
      <c r="I1214" s="124"/>
      <c r="J1214" s="125"/>
      <c r="K1214" s="119"/>
    </row>
    <row r="1215" spans="1:11" ht="15" customHeight="1">
      <c r="A1215" s="119"/>
      <c r="B1215" s="126"/>
      <c r="C1215" s="119"/>
      <c r="D1215" s="119"/>
      <c r="E1215" s="121"/>
      <c r="F1215" s="122"/>
      <c r="G1215" s="123"/>
      <c r="H1215" s="123"/>
      <c r="I1215" s="124"/>
      <c r="J1215" s="125"/>
      <c r="K1215" s="119"/>
    </row>
    <row r="1216" spans="1:11" ht="15" customHeight="1">
      <c r="A1216" s="119"/>
      <c r="B1216" s="126"/>
      <c r="C1216" s="119"/>
      <c r="D1216" s="119"/>
      <c r="E1216" s="121"/>
      <c r="F1216" s="122"/>
      <c r="G1216" s="123"/>
      <c r="H1216" s="123"/>
      <c r="I1216" s="124"/>
      <c r="J1216" s="125"/>
      <c r="K1216" s="119"/>
    </row>
    <row r="1217" spans="1:11" ht="15" customHeight="1">
      <c r="A1217" s="119"/>
      <c r="B1217" s="126"/>
      <c r="C1217" s="119"/>
      <c r="D1217" s="119"/>
      <c r="E1217" s="121"/>
      <c r="F1217" s="122"/>
      <c r="G1217" s="123"/>
      <c r="H1217" s="123"/>
      <c r="I1217" s="124"/>
      <c r="J1217" s="125"/>
      <c r="K1217" s="119"/>
    </row>
    <row r="1218" spans="1:11" ht="15" customHeight="1">
      <c r="A1218" s="119"/>
      <c r="B1218" s="126"/>
      <c r="C1218" s="119"/>
      <c r="D1218" s="119"/>
      <c r="E1218" s="121"/>
      <c r="F1218" s="122"/>
      <c r="G1218" s="123"/>
      <c r="H1218" s="123"/>
      <c r="I1218" s="124"/>
      <c r="J1218" s="125"/>
      <c r="K1218" s="119"/>
    </row>
    <row r="1219" spans="1:11" ht="15" customHeight="1">
      <c r="A1219" s="119"/>
      <c r="B1219" s="126"/>
      <c r="C1219" s="119"/>
      <c r="D1219" s="119"/>
      <c r="E1219" s="121"/>
      <c r="F1219" s="122"/>
      <c r="G1219" s="123"/>
      <c r="H1219" s="123"/>
      <c r="I1219" s="124"/>
      <c r="J1219" s="125"/>
      <c r="K1219" s="119"/>
    </row>
    <row r="1220" spans="1:11" ht="15" customHeight="1">
      <c r="A1220" s="119"/>
      <c r="B1220" s="126"/>
      <c r="C1220" s="119"/>
      <c r="D1220" s="119"/>
      <c r="E1220" s="121"/>
      <c r="F1220" s="122"/>
      <c r="G1220" s="123"/>
      <c r="H1220" s="123"/>
      <c r="I1220" s="124"/>
      <c r="J1220" s="125"/>
      <c r="K1220" s="119"/>
    </row>
    <row r="1221" spans="1:11" ht="15" customHeight="1">
      <c r="A1221" s="119"/>
      <c r="B1221" s="126"/>
      <c r="C1221" s="119"/>
      <c r="D1221" s="119"/>
      <c r="E1221" s="121"/>
      <c r="F1221" s="122"/>
      <c r="G1221" s="123"/>
      <c r="H1221" s="123"/>
      <c r="I1221" s="124"/>
      <c r="J1221" s="125"/>
      <c r="K1221" s="119"/>
    </row>
    <row r="1222" spans="1:11" ht="15" customHeight="1">
      <c r="A1222" s="119"/>
      <c r="B1222" s="126"/>
      <c r="C1222" s="119"/>
      <c r="D1222" s="119"/>
      <c r="E1222" s="121"/>
      <c r="F1222" s="122"/>
      <c r="G1222" s="123"/>
      <c r="H1222" s="123"/>
      <c r="I1222" s="124"/>
      <c r="J1222" s="125"/>
      <c r="K1222" s="119"/>
    </row>
    <row r="1223" spans="1:11" ht="15" customHeight="1">
      <c r="A1223" s="119"/>
      <c r="B1223" s="126"/>
      <c r="C1223" s="119"/>
      <c r="D1223" s="119"/>
      <c r="E1223" s="121"/>
      <c r="F1223" s="122"/>
      <c r="G1223" s="123"/>
      <c r="H1223" s="123"/>
      <c r="I1223" s="124"/>
      <c r="J1223" s="125"/>
      <c r="K1223" s="119"/>
    </row>
    <row r="1224" spans="1:11" ht="15" customHeight="1">
      <c r="A1224" s="119"/>
      <c r="B1224" s="126"/>
      <c r="C1224" s="119"/>
      <c r="D1224" s="119"/>
      <c r="E1224" s="121"/>
      <c r="F1224" s="122"/>
      <c r="G1224" s="123"/>
      <c r="H1224" s="123"/>
      <c r="I1224" s="124"/>
      <c r="J1224" s="125"/>
      <c r="K1224" s="119"/>
    </row>
    <row r="1225" spans="1:11" ht="15" customHeight="1">
      <c r="A1225" s="119"/>
      <c r="B1225" s="126"/>
      <c r="C1225" s="119"/>
      <c r="D1225" s="119"/>
      <c r="E1225" s="121"/>
      <c r="F1225" s="122"/>
      <c r="G1225" s="123"/>
      <c r="H1225" s="123"/>
      <c r="I1225" s="124"/>
      <c r="J1225" s="125"/>
      <c r="K1225" s="119"/>
    </row>
    <row r="1226" spans="1:11" ht="15" customHeight="1">
      <c r="A1226" s="119"/>
      <c r="B1226" s="126"/>
      <c r="C1226" s="119"/>
      <c r="D1226" s="119"/>
      <c r="E1226" s="121"/>
      <c r="F1226" s="122"/>
      <c r="G1226" s="123"/>
      <c r="H1226" s="123"/>
      <c r="I1226" s="124"/>
      <c r="J1226" s="125"/>
      <c r="K1226" s="119"/>
    </row>
    <row r="1227" spans="1:11" ht="15" customHeight="1">
      <c r="A1227" s="119"/>
      <c r="B1227" s="126"/>
      <c r="C1227" s="119"/>
      <c r="D1227" s="119"/>
      <c r="E1227" s="121"/>
      <c r="F1227" s="122"/>
      <c r="G1227" s="123"/>
      <c r="H1227" s="123"/>
      <c r="I1227" s="124"/>
      <c r="J1227" s="125"/>
      <c r="K1227" s="119"/>
    </row>
    <row r="1228" spans="1:11" ht="15" customHeight="1">
      <c r="A1228" s="119"/>
      <c r="B1228" s="126"/>
      <c r="C1228" s="119"/>
      <c r="D1228" s="119"/>
      <c r="E1228" s="121"/>
      <c r="F1228" s="122"/>
      <c r="G1228" s="123"/>
      <c r="H1228" s="123"/>
      <c r="I1228" s="124"/>
      <c r="J1228" s="125"/>
      <c r="K1228" s="119"/>
    </row>
    <row r="1229" spans="1:11" ht="15" customHeight="1">
      <c r="A1229" s="119"/>
      <c r="B1229" s="126"/>
      <c r="C1229" s="119"/>
      <c r="D1229" s="119"/>
      <c r="E1229" s="121"/>
      <c r="F1229" s="122"/>
      <c r="G1229" s="123"/>
      <c r="H1229" s="123"/>
      <c r="I1229" s="124"/>
      <c r="J1229" s="125"/>
      <c r="K1229" s="119"/>
    </row>
    <row r="1230" spans="1:11" ht="15" customHeight="1">
      <c r="A1230" s="119"/>
      <c r="B1230" s="126"/>
      <c r="C1230" s="119"/>
      <c r="D1230" s="119"/>
      <c r="E1230" s="121"/>
      <c r="F1230" s="122"/>
      <c r="G1230" s="123"/>
      <c r="H1230" s="123"/>
      <c r="I1230" s="124"/>
      <c r="J1230" s="125"/>
      <c r="K1230" s="119"/>
    </row>
    <row r="1231" spans="1:11" ht="15" customHeight="1">
      <c r="A1231" s="119"/>
      <c r="B1231" s="126"/>
      <c r="C1231" s="119"/>
      <c r="D1231" s="119"/>
      <c r="E1231" s="121"/>
      <c r="F1231" s="122"/>
      <c r="G1231" s="123"/>
      <c r="H1231" s="123"/>
      <c r="I1231" s="124"/>
      <c r="J1231" s="125"/>
      <c r="K1231" s="119"/>
    </row>
    <row r="1232" spans="1:11" ht="15" customHeight="1">
      <c r="A1232" s="119"/>
      <c r="B1232" s="126"/>
      <c r="C1232" s="119"/>
      <c r="D1232" s="119"/>
      <c r="E1232" s="121"/>
      <c r="F1232" s="122"/>
      <c r="G1232" s="123"/>
      <c r="H1232" s="123"/>
      <c r="I1232" s="124"/>
      <c r="J1232" s="125"/>
      <c r="K1232" s="119"/>
    </row>
    <row r="1233" spans="1:11" ht="15" customHeight="1">
      <c r="A1233" s="119"/>
      <c r="B1233" s="126"/>
      <c r="C1233" s="119"/>
      <c r="D1233" s="119"/>
      <c r="E1233" s="121"/>
      <c r="F1233" s="122"/>
      <c r="G1233" s="123"/>
      <c r="H1233" s="123"/>
      <c r="I1233" s="124"/>
      <c r="J1233" s="125"/>
      <c r="K1233" s="119"/>
    </row>
    <row r="1234" spans="1:11" ht="15" customHeight="1">
      <c r="A1234" s="119"/>
      <c r="B1234" s="126"/>
      <c r="C1234" s="119"/>
      <c r="D1234" s="119"/>
      <c r="E1234" s="121"/>
      <c r="F1234" s="122"/>
      <c r="G1234" s="123"/>
      <c r="H1234" s="123"/>
      <c r="I1234" s="124"/>
      <c r="J1234" s="125"/>
      <c r="K1234" s="119"/>
    </row>
    <row r="1235" spans="1:11" ht="15" customHeight="1">
      <c r="A1235" s="119"/>
      <c r="B1235" s="126"/>
      <c r="C1235" s="119"/>
      <c r="D1235" s="119"/>
      <c r="E1235" s="121"/>
      <c r="F1235" s="122"/>
      <c r="G1235" s="123"/>
      <c r="H1235" s="123"/>
      <c r="I1235" s="124"/>
      <c r="J1235" s="125"/>
      <c r="K1235" s="119"/>
    </row>
    <row r="1236" spans="1:11" ht="15" customHeight="1">
      <c r="A1236" s="119"/>
      <c r="B1236" s="126"/>
      <c r="C1236" s="119"/>
      <c r="D1236" s="119"/>
      <c r="E1236" s="121"/>
      <c r="F1236" s="122"/>
      <c r="G1236" s="123"/>
      <c r="H1236" s="123"/>
      <c r="I1236" s="124"/>
      <c r="J1236" s="125"/>
      <c r="K1236" s="119"/>
    </row>
    <row r="1237" spans="1:11" ht="15" customHeight="1">
      <c r="A1237" s="119"/>
      <c r="B1237" s="126"/>
      <c r="C1237" s="119"/>
      <c r="D1237" s="119"/>
      <c r="E1237" s="121"/>
      <c r="F1237" s="122"/>
      <c r="G1237" s="123"/>
      <c r="H1237" s="123"/>
      <c r="I1237" s="124"/>
      <c r="J1237" s="125"/>
      <c r="K1237" s="119"/>
    </row>
    <row r="1238" spans="1:11" ht="15" customHeight="1">
      <c r="A1238" s="119"/>
      <c r="B1238" s="126"/>
      <c r="C1238" s="119"/>
      <c r="D1238" s="119"/>
      <c r="E1238" s="121"/>
      <c r="F1238" s="122"/>
      <c r="G1238" s="123"/>
      <c r="H1238" s="123"/>
      <c r="I1238" s="124"/>
      <c r="J1238" s="125"/>
      <c r="K1238" s="119"/>
    </row>
    <row r="1239" spans="1:11" ht="15" customHeight="1">
      <c r="A1239" s="119"/>
      <c r="B1239" s="126"/>
      <c r="C1239" s="119"/>
      <c r="D1239" s="119"/>
      <c r="E1239" s="121"/>
      <c r="F1239" s="122"/>
      <c r="G1239" s="123"/>
      <c r="H1239" s="123"/>
      <c r="I1239" s="124"/>
      <c r="J1239" s="125"/>
      <c r="K1239" s="119"/>
    </row>
    <row r="1240" spans="1:11" ht="15" customHeight="1">
      <c r="A1240" s="119"/>
      <c r="B1240" s="126"/>
      <c r="C1240" s="119"/>
      <c r="D1240" s="119"/>
      <c r="E1240" s="121"/>
      <c r="F1240" s="122"/>
      <c r="G1240" s="123"/>
      <c r="H1240" s="123"/>
      <c r="I1240" s="124"/>
      <c r="J1240" s="125"/>
      <c r="K1240" s="119"/>
    </row>
    <row r="1241" spans="1:11" ht="15" customHeight="1">
      <c r="A1241" s="119"/>
      <c r="B1241" s="126"/>
      <c r="C1241" s="119"/>
      <c r="D1241" s="119"/>
      <c r="E1241" s="121"/>
      <c r="F1241" s="122"/>
      <c r="G1241" s="123"/>
      <c r="H1241" s="123"/>
      <c r="I1241" s="124"/>
      <c r="J1241" s="125"/>
      <c r="K1241" s="119"/>
    </row>
    <row r="1242" spans="1:11" ht="15" customHeight="1">
      <c r="A1242" s="119"/>
      <c r="B1242" s="126"/>
      <c r="C1242" s="119"/>
      <c r="D1242" s="119"/>
      <c r="E1242" s="121"/>
      <c r="F1242" s="122"/>
      <c r="G1242" s="123"/>
      <c r="H1242" s="123"/>
      <c r="I1242" s="124"/>
      <c r="J1242" s="125"/>
      <c r="K1242" s="119"/>
    </row>
    <row r="1243" spans="1:11" ht="15" customHeight="1">
      <c r="A1243" s="119"/>
      <c r="B1243" s="126"/>
      <c r="C1243" s="119"/>
      <c r="D1243" s="119"/>
      <c r="E1243" s="121"/>
      <c r="F1243" s="122"/>
      <c r="G1243" s="123"/>
      <c r="H1243" s="123"/>
      <c r="I1243" s="124"/>
      <c r="J1243" s="125"/>
      <c r="K1243" s="119"/>
    </row>
    <row r="1244" spans="1:11" ht="15" customHeight="1">
      <c r="A1244" s="119"/>
      <c r="B1244" s="126"/>
      <c r="C1244" s="119"/>
      <c r="D1244" s="119"/>
      <c r="E1244" s="121"/>
      <c r="F1244" s="122"/>
      <c r="G1244" s="123"/>
      <c r="H1244" s="123"/>
      <c r="I1244" s="124"/>
      <c r="J1244" s="125"/>
      <c r="K1244" s="119"/>
    </row>
    <row r="1245" spans="1:11" ht="15" customHeight="1">
      <c r="A1245" s="119"/>
      <c r="B1245" s="126"/>
      <c r="C1245" s="119"/>
      <c r="D1245" s="119"/>
      <c r="E1245" s="121"/>
      <c r="F1245" s="122"/>
      <c r="G1245" s="123"/>
      <c r="H1245" s="123"/>
      <c r="I1245" s="124"/>
      <c r="J1245" s="125"/>
      <c r="K1245" s="119"/>
    </row>
    <row r="1246" spans="1:11" ht="15" customHeight="1">
      <c r="A1246" s="119"/>
      <c r="B1246" s="126"/>
      <c r="C1246" s="119"/>
      <c r="D1246" s="119"/>
      <c r="E1246" s="121"/>
      <c r="F1246" s="122"/>
      <c r="G1246" s="123"/>
      <c r="H1246" s="123"/>
      <c r="I1246" s="124"/>
      <c r="J1246" s="125"/>
      <c r="K1246" s="119"/>
    </row>
    <row r="1247" spans="1:11" ht="15" customHeight="1">
      <c r="A1247" s="119"/>
      <c r="B1247" s="126"/>
      <c r="C1247" s="119"/>
      <c r="D1247" s="119"/>
      <c r="E1247" s="121"/>
      <c r="F1247" s="122"/>
      <c r="G1247" s="123"/>
      <c r="H1247" s="123"/>
      <c r="I1247" s="124"/>
      <c r="J1247" s="125"/>
      <c r="K1247" s="119"/>
    </row>
    <row r="1248" spans="1:11" ht="15" customHeight="1">
      <c r="A1248" s="119"/>
      <c r="B1248" s="126"/>
      <c r="C1248" s="119"/>
      <c r="D1248" s="119"/>
      <c r="E1248" s="121"/>
      <c r="F1248" s="122"/>
      <c r="G1248" s="123"/>
      <c r="H1248" s="123"/>
      <c r="I1248" s="124"/>
      <c r="J1248" s="125"/>
      <c r="K1248" s="119"/>
    </row>
    <row r="1249" spans="1:11" ht="15" customHeight="1">
      <c r="A1249" s="119"/>
      <c r="B1249" s="126"/>
      <c r="C1249" s="119"/>
      <c r="D1249" s="119"/>
      <c r="E1249" s="121"/>
      <c r="F1249" s="122"/>
      <c r="G1249" s="123"/>
      <c r="H1249" s="123"/>
      <c r="I1249" s="124"/>
      <c r="J1249" s="125"/>
      <c r="K1249" s="119"/>
    </row>
    <row r="1250" spans="1:11" ht="15" customHeight="1">
      <c r="A1250" s="119"/>
      <c r="B1250" s="126"/>
      <c r="C1250" s="119"/>
      <c r="D1250" s="119"/>
      <c r="E1250" s="121"/>
      <c r="F1250" s="122"/>
      <c r="G1250" s="123"/>
      <c r="H1250" s="123"/>
      <c r="I1250" s="124"/>
      <c r="J1250" s="125"/>
      <c r="K1250" s="119"/>
    </row>
    <row r="1251" spans="1:11" ht="15" customHeight="1">
      <c r="A1251" s="119"/>
      <c r="B1251" s="126"/>
      <c r="C1251" s="119"/>
      <c r="D1251" s="119"/>
      <c r="E1251" s="121"/>
      <c r="F1251" s="122"/>
      <c r="G1251" s="123"/>
      <c r="H1251" s="123"/>
      <c r="I1251" s="124"/>
      <c r="J1251" s="125"/>
      <c r="K1251" s="119"/>
    </row>
    <row r="1252" spans="1:11" ht="15" customHeight="1">
      <c r="A1252" s="119"/>
      <c r="B1252" s="126"/>
      <c r="C1252" s="119"/>
      <c r="D1252" s="119"/>
      <c r="E1252" s="121"/>
      <c r="F1252" s="122"/>
      <c r="G1252" s="123"/>
      <c r="H1252" s="123"/>
      <c r="I1252" s="124"/>
      <c r="J1252" s="125"/>
      <c r="K1252" s="119"/>
    </row>
    <row r="1253" spans="1:11" ht="15" customHeight="1">
      <c r="A1253" s="119"/>
      <c r="B1253" s="126"/>
      <c r="C1253" s="119"/>
      <c r="D1253" s="119"/>
      <c r="E1253" s="121"/>
      <c r="F1253" s="122"/>
      <c r="G1253" s="123"/>
      <c r="H1253" s="123"/>
      <c r="I1253" s="124"/>
      <c r="J1253" s="125"/>
      <c r="K1253" s="119"/>
    </row>
    <row r="1254" spans="1:11" ht="15" customHeight="1">
      <c r="A1254" s="119"/>
      <c r="B1254" s="126"/>
      <c r="C1254" s="119"/>
      <c r="D1254" s="119"/>
      <c r="E1254" s="121"/>
      <c r="F1254" s="122"/>
      <c r="G1254" s="123"/>
      <c r="H1254" s="123"/>
      <c r="I1254" s="124"/>
      <c r="J1254" s="125"/>
      <c r="K1254" s="119"/>
    </row>
    <row r="1255" spans="1:11" ht="15" customHeight="1">
      <c r="A1255" s="119"/>
      <c r="B1255" s="126"/>
      <c r="C1255" s="119"/>
      <c r="D1255" s="119"/>
      <c r="E1255" s="121"/>
      <c r="F1255" s="122"/>
      <c r="G1255" s="123"/>
      <c r="H1255" s="123"/>
      <c r="I1255" s="124"/>
      <c r="J1255" s="125"/>
      <c r="K1255" s="119"/>
    </row>
    <row r="1256" spans="1:11" ht="15" customHeight="1">
      <c r="A1256" s="119"/>
      <c r="B1256" s="126"/>
      <c r="C1256" s="119"/>
      <c r="D1256" s="119"/>
      <c r="E1256" s="121"/>
      <c r="F1256" s="122"/>
      <c r="G1256" s="123"/>
      <c r="H1256" s="123"/>
      <c r="I1256" s="124"/>
      <c r="J1256" s="125"/>
      <c r="K1256" s="119"/>
    </row>
    <row r="1257" spans="1:11" ht="15" customHeight="1">
      <c r="A1257" s="119"/>
      <c r="B1257" s="126"/>
      <c r="C1257" s="119"/>
      <c r="D1257" s="119"/>
      <c r="E1257" s="121"/>
      <c r="F1257" s="122"/>
      <c r="G1257" s="123"/>
      <c r="H1257" s="123"/>
      <c r="I1257" s="124"/>
      <c r="J1257" s="125"/>
      <c r="K1257" s="119"/>
    </row>
    <row r="1258" spans="1:11" ht="15" customHeight="1">
      <c r="A1258" s="119"/>
      <c r="B1258" s="126"/>
      <c r="C1258" s="119"/>
      <c r="D1258" s="119"/>
      <c r="E1258" s="121"/>
      <c r="F1258" s="122"/>
      <c r="G1258" s="123"/>
      <c r="H1258" s="123"/>
      <c r="I1258" s="124"/>
      <c r="J1258" s="125"/>
      <c r="K1258" s="119"/>
    </row>
    <row r="1259" spans="1:11" ht="15" customHeight="1">
      <c r="A1259" s="119"/>
      <c r="B1259" s="126"/>
      <c r="C1259" s="119"/>
      <c r="D1259" s="119"/>
      <c r="E1259" s="121"/>
      <c r="F1259" s="122"/>
      <c r="G1259" s="123"/>
      <c r="H1259" s="123"/>
      <c r="I1259" s="124"/>
      <c r="J1259" s="125"/>
      <c r="K1259" s="119"/>
    </row>
    <row r="1260" spans="1:11" ht="15" customHeight="1">
      <c r="A1260" s="119"/>
      <c r="B1260" s="126"/>
      <c r="C1260" s="119"/>
      <c r="D1260" s="119"/>
      <c r="E1260" s="121"/>
      <c r="F1260" s="122"/>
      <c r="G1260" s="123"/>
      <c r="H1260" s="123"/>
      <c r="I1260" s="124"/>
      <c r="J1260" s="125"/>
      <c r="K1260" s="119"/>
    </row>
    <row r="1261" spans="1:11" ht="15" customHeight="1">
      <c r="A1261" s="119"/>
      <c r="B1261" s="126"/>
      <c r="C1261" s="119"/>
      <c r="D1261" s="119"/>
      <c r="E1261" s="121"/>
      <c r="F1261" s="122"/>
      <c r="G1261" s="123"/>
      <c r="H1261" s="123"/>
      <c r="I1261" s="124"/>
      <c r="J1261" s="125"/>
      <c r="K1261" s="119"/>
    </row>
    <row r="1262" spans="1:11" ht="15" customHeight="1">
      <c r="A1262" s="119"/>
      <c r="B1262" s="126"/>
      <c r="C1262" s="119"/>
      <c r="D1262" s="119"/>
      <c r="E1262" s="121"/>
      <c r="F1262" s="122"/>
      <c r="G1262" s="123"/>
      <c r="H1262" s="123"/>
      <c r="I1262" s="124"/>
      <c r="J1262" s="125"/>
      <c r="K1262" s="119"/>
    </row>
    <row r="1263" spans="1:11" ht="15" customHeight="1">
      <c r="A1263" s="119"/>
      <c r="B1263" s="126"/>
      <c r="C1263" s="119"/>
      <c r="D1263" s="119"/>
      <c r="E1263" s="121"/>
      <c r="F1263" s="122"/>
      <c r="G1263" s="123"/>
      <c r="H1263" s="123"/>
      <c r="I1263" s="124"/>
      <c r="J1263" s="125"/>
      <c r="K1263" s="119"/>
    </row>
    <row r="1264" spans="1:11" ht="15" customHeight="1">
      <c r="A1264" s="119"/>
      <c r="B1264" s="126"/>
      <c r="C1264" s="119"/>
      <c r="D1264" s="119"/>
      <c r="E1264" s="121"/>
      <c r="F1264" s="122"/>
      <c r="G1264" s="123"/>
      <c r="H1264" s="123"/>
      <c r="I1264" s="124"/>
      <c r="J1264" s="125"/>
      <c r="K1264" s="119"/>
    </row>
    <row r="1265" spans="1:11" ht="15" customHeight="1">
      <c r="A1265" s="119"/>
      <c r="B1265" s="126"/>
      <c r="C1265" s="119"/>
      <c r="D1265" s="119"/>
      <c r="E1265" s="121"/>
      <c r="F1265" s="122"/>
      <c r="G1265" s="123"/>
      <c r="H1265" s="123"/>
      <c r="I1265" s="124"/>
      <c r="J1265" s="125"/>
      <c r="K1265" s="119"/>
    </row>
    <row r="1266" spans="1:11" ht="15" customHeight="1">
      <c r="A1266" s="119"/>
      <c r="B1266" s="126"/>
      <c r="C1266" s="119"/>
      <c r="D1266" s="119"/>
      <c r="E1266" s="121"/>
      <c r="F1266" s="122"/>
      <c r="G1266" s="123"/>
      <c r="H1266" s="123"/>
      <c r="I1266" s="124"/>
      <c r="J1266" s="125"/>
      <c r="K1266" s="119"/>
    </row>
    <row r="1267" spans="1:11" ht="15" customHeight="1">
      <c r="A1267" s="119"/>
      <c r="B1267" s="126"/>
      <c r="C1267" s="119"/>
      <c r="D1267" s="119"/>
      <c r="E1267" s="121"/>
      <c r="F1267" s="122"/>
      <c r="G1267" s="123"/>
      <c r="H1267" s="123"/>
      <c r="I1267" s="124"/>
      <c r="J1267" s="125"/>
      <c r="K1267" s="119"/>
    </row>
    <row r="1268" spans="1:11" ht="15" customHeight="1">
      <c r="A1268" s="119"/>
      <c r="B1268" s="126"/>
      <c r="C1268" s="119"/>
      <c r="D1268" s="119"/>
      <c r="E1268" s="121"/>
      <c r="F1268" s="122"/>
      <c r="G1268" s="123"/>
      <c r="H1268" s="123"/>
      <c r="I1268" s="124"/>
      <c r="J1268" s="125"/>
      <c r="K1268" s="119"/>
    </row>
    <row r="1269" spans="1:11" ht="15" customHeight="1">
      <c r="A1269" s="119"/>
      <c r="B1269" s="126"/>
      <c r="C1269" s="119"/>
      <c r="D1269" s="119"/>
      <c r="E1269" s="121"/>
      <c r="F1269" s="122"/>
      <c r="G1269" s="123"/>
      <c r="H1269" s="123"/>
      <c r="I1269" s="124"/>
      <c r="J1269" s="125"/>
      <c r="K1269" s="119"/>
    </row>
    <row r="1270" spans="1:11" ht="15" customHeight="1">
      <c r="A1270" s="119"/>
      <c r="B1270" s="126"/>
      <c r="C1270" s="119"/>
      <c r="D1270" s="119"/>
      <c r="E1270" s="121"/>
      <c r="F1270" s="122"/>
      <c r="G1270" s="123"/>
      <c r="H1270" s="123"/>
      <c r="I1270" s="124"/>
      <c r="J1270" s="125"/>
      <c r="K1270" s="119"/>
    </row>
    <row r="1271" spans="1:11" ht="15" customHeight="1">
      <c r="A1271" s="119"/>
      <c r="B1271" s="126"/>
      <c r="C1271" s="119"/>
      <c r="D1271" s="119"/>
      <c r="E1271" s="121"/>
      <c r="F1271" s="122"/>
      <c r="G1271" s="123"/>
      <c r="H1271" s="123"/>
      <c r="I1271" s="124"/>
      <c r="J1271" s="125"/>
      <c r="K1271" s="119"/>
    </row>
    <row r="1272" spans="1:11" ht="15" customHeight="1">
      <c r="A1272" s="119"/>
      <c r="B1272" s="126"/>
      <c r="C1272" s="119"/>
      <c r="D1272" s="119"/>
      <c r="E1272" s="121"/>
      <c r="F1272" s="122"/>
      <c r="G1272" s="123"/>
      <c r="H1272" s="123"/>
      <c r="I1272" s="124"/>
      <c r="J1272" s="125"/>
      <c r="K1272" s="119"/>
    </row>
    <row r="1273" spans="1:11" ht="15" customHeight="1">
      <c r="A1273" s="119"/>
      <c r="B1273" s="126"/>
      <c r="C1273" s="119"/>
      <c r="D1273" s="119"/>
      <c r="E1273" s="121"/>
      <c r="F1273" s="122"/>
      <c r="G1273" s="123"/>
      <c r="H1273" s="123"/>
      <c r="I1273" s="124"/>
      <c r="J1273" s="125"/>
      <c r="K1273" s="119"/>
    </row>
    <row r="1274" spans="1:11" ht="15" customHeight="1">
      <c r="A1274" s="119"/>
      <c r="B1274" s="126"/>
      <c r="C1274" s="119"/>
      <c r="D1274" s="119"/>
      <c r="E1274" s="121"/>
      <c r="F1274" s="122"/>
      <c r="G1274" s="123"/>
      <c r="H1274" s="123"/>
      <c r="I1274" s="124"/>
      <c r="J1274" s="125"/>
      <c r="K1274" s="119"/>
    </row>
    <row r="1275" spans="1:11" ht="15" customHeight="1">
      <c r="A1275" s="119"/>
      <c r="B1275" s="126"/>
      <c r="C1275" s="119"/>
      <c r="D1275" s="119"/>
      <c r="E1275" s="121"/>
      <c r="F1275" s="122"/>
      <c r="G1275" s="123"/>
      <c r="H1275" s="123"/>
      <c r="I1275" s="124"/>
      <c r="J1275" s="125"/>
      <c r="K1275" s="119"/>
    </row>
    <row r="1276" spans="1:11" ht="15" customHeight="1">
      <c r="A1276" s="119"/>
      <c r="B1276" s="126"/>
      <c r="C1276" s="119"/>
      <c r="D1276" s="119"/>
      <c r="E1276" s="121"/>
      <c r="F1276" s="122"/>
      <c r="G1276" s="123"/>
      <c r="H1276" s="123"/>
      <c r="I1276" s="124"/>
      <c r="J1276" s="125"/>
      <c r="K1276" s="119"/>
    </row>
    <row r="1277" spans="1:11" ht="15" customHeight="1">
      <c r="A1277" s="119"/>
      <c r="B1277" s="126"/>
      <c r="C1277" s="119"/>
      <c r="D1277" s="119"/>
      <c r="E1277" s="121"/>
      <c r="F1277" s="122"/>
      <c r="G1277" s="123"/>
      <c r="H1277" s="123"/>
      <c r="I1277" s="124"/>
      <c r="J1277" s="125"/>
      <c r="K1277" s="119"/>
    </row>
    <row r="1278" spans="1:11" ht="15" customHeight="1">
      <c r="A1278" s="119"/>
      <c r="B1278" s="126"/>
      <c r="C1278" s="119"/>
      <c r="D1278" s="119"/>
      <c r="E1278" s="121"/>
      <c r="F1278" s="122"/>
      <c r="G1278" s="123"/>
      <c r="H1278" s="123"/>
      <c r="I1278" s="124"/>
      <c r="J1278" s="125"/>
      <c r="K1278" s="119"/>
    </row>
    <row r="1279" spans="1:11" ht="15" customHeight="1">
      <c r="A1279" s="119"/>
      <c r="B1279" s="126"/>
      <c r="C1279" s="119"/>
      <c r="D1279" s="119"/>
      <c r="E1279" s="121"/>
      <c r="F1279" s="122"/>
      <c r="G1279" s="123"/>
      <c r="H1279" s="123"/>
      <c r="I1279" s="124"/>
      <c r="J1279" s="125"/>
      <c r="K1279" s="119"/>
    </row>
    <row r="1280" spans="1:11" ht="15" customHeight="1">
      <c r="A1280" s="119"/>
      <c r="B1280" s="126"/>
      <c r="C1280" s="119"/>
      <c r="D1280" s="119"/>
      <c r="E1280" s="121"/>
      <c r="F1280" s="122"/>
      <c r="G1280" s="123"/>
      <c r="H1280" s="123"/>
      <c r="I1280" s="124"/>
      <c r="J1280" s="125"/>
      <c r="K1280" s="119"/>
    </row>
    <row r="1281" spans="1:11" ht="15" customHeight="1">
      <c r="A1281" s="119"/>
      <c r="B1281" s="126"/>
      <c r="C1281" s="119"/>
      <c r="D1281" s="119"/>
      <c r="E1281" s="121"/>
      <c r="F1281" s="122"/>
      <c r="G1281" s="123"/>
      <c r="H1281" s="123"/>
      <c r="I1281" s="124"/>
      <c r="J1281" s="125"/>
      <c r="K1281" s="119"/>
    </row>
    <row r="1282" spans="1:11" ht="15" customHeight="1">
      <c r="A1282" s="119"/>
      <c r="B1282" s="126"/>
      <c r="C1282" s="119"/>
      <c r="D1282" s="119"/>
      <c r="E1282" s="121"/>
      <c r="F1282" s="122"/>
      <c r="G1282" s="123"/>
      <c r="H1282" s="123"/>
      <c r="I1282" s="124"/>
      <c r="J1282" s="125"/>
      <c r="K1282" s="119"/>
    </row>
    <row r="1283" spans="1:11" ht="15" customHeight="1">
      <c r="A1283" s="119"/>
      <c r="B1283" s="126"/>
      <c r="C1283" s="119"/>
      <c r="D1283" s="119"/>
      <c r="E1283" s="121"/>
      <c r="F1283" s="122"/>
      <c r="G1283" s="123"/>
      <c r="H1283" s="123"/>
      <c r="I1283" s="124"/>
      <c r="J1283" s="125"/>
      <c r="K1283" s="119"/>
    </row>
    <row r="1284" spans="1:11" ht="15" customHeight="1">
      <c r="A1284" s="119"/>
      <c r="B1284" s="126"/>
      <c r="C1284" s="119"/>
      <c r="D1284" s="119"/>
      <c r="E1284" s="121"/>
      <c r="F1284" s="122"/>
      <c r="G1284" s="123"/>
      <c r="H1284" s="123"/>
      <c r="I1284" s="124"/>
      <c r="J1284" s="125"/>
      <c r="K1284" s="119"/>
    </row>
    <row r="1285" spans="1:11" ht="15" customHeight="1">
      <c r="A1285" s="119"/>
      <c r="B1285" s="126"/>
      <c r="C1285" s="119"/>
      <c r="D1285" s="119"/>
      <c r="E1285" s="121"/>
      <c r="F1285" s="122"/>
      <c r="G1285" s="123"/>
      <c r="H1285" s="123"/>
      <c r="I1285" s="124"/>
      <c r="J1285" s="125"/>
      <c r="K1285" s="119"/>
    </row>
    <row r="1286" spans="1:11" ht="15" customHeight="1">
      <c r="A1286" s="119"/>
      <c r="B1286" s="126"/>
      <c r="C1286" s="119"/>
      <c r="D1286" s="119"/>
      <c r="E1286" s="121"/>
      <c r="F1286" s="122"/>
      <c r="G1286" s="123"/>
      <c r="H1286" s="123"/>
      <c r="I1286" s="124"/>
      <c r="J1286" s="125"/>
      <c r="K1286" s="119"/>
    </row>
    <row r="1287" spans="1:11" ht="15" customHeight="1">
      <c r="A1287" s="119"/>
      <c r="B1287" s="126"/>
      <c r="C1287" s="119"/>
      <c r="D1287" s="119"/>
      <c r="E1287" s="121"/>
      <c r="F1287" s="122"/>
      <c r="G1287" s="123"/>
      <c r="H1287" s="123"/>
      <c r="I1287" s="124"/>
      <c r="J1287" s="125"/>
      <c r="K1287" s="119"/>
    </row>
    <row r="1288" spans="1:11" ht="15" customHeight="1">
      <c r="A1288" s="119"/>
      <c r="B1288" s="126"/>
      <c r="C1288" s="119"/>
      <c r="D1288" s="119"/>
      <c r="E1288" s="121"/>
      <c r="F1288" s="122"/>
      <c r="G1288" s="123"/>
      <c r="H1288" s="123"/>
      <c r="I1288" s="124"/>
      <c r="J1288" s="125"/>
      <c r="K1288" s="119"/>
    </row>
    <row r="1289" spans="1:11" ht="15" customHeight="1">
      <c r="A1289" s="119"/>
      <c r="B1289" s="126"/>
      <c r="C1289" s="119"/>
      <c r="D1289" s="119"/>
      <c r="E1289" s="121"/>
      <c r="F1289" s="122"/>
      <c r="G1289" s="123"/>
      <c r="H1289" s="123"/>
      <c r="I1289" s="124"/>
      <c r="J1289" s="125"/>
      <c r="K1289" s="119"/>
    </row>
    <row r="1290" spans="1:11" ht="15" customHeight="1">
      <c r="A1290" s="119"/>
      <c r="B1290" s="126"/>
      <c r="C1290" s="119"/>
      <c r="D1290" s="119"/>
      <c r="E1290" s="121"/>
      <c r="F1290" s="122"/>
      <c r="G1290" s="123"/>
      <c r="H1290" s="123"/>
      <c r="I1290" s="124"/>
      <c r="J1290" s="125"/>
      <c r="K1290" s="119"/>
    </row>
    <row r="1291" spans="1:11" ht="15" customHeight="1">
      <c r="A1291" s="119"/>
      <c r="B1291" s="126"/>
      <c r="C1291" s="119"/>
      <c r="D1291" s="119"/>
      <c r="E1291" s="121"/>
      <c r="F1291" s="122"/>
      <c r="G1291" s="123"/>
      <c r="H1291" s="123"/>
      <c r="I1291" s="124"/>
      <c r="J1291" s="125"/>
      <c r="K1291" s="119"/>
    </row>
    <row r="1292" spans="1:11" ht="15" customHeight="1">
      <c r="A1292" s="119"/>
      <c r="B1292" s="126"/>
      <c r="C1292" s="119"/>
      <c r="D1292" s="119"/>
      <c r="E1292" s="121"/>
      <c r="F1292" s="122"/>
      <c r="G1292" s="123"/>
      <c r="H1292" s="123"/>
      <c r="I1292" s="124"/>
      <c r="J1292" s="125"/>
      <c r="K1292" s="119"/>
    </row>
    <row r="1293" spans="1:11" ht="15" customHeight="1">
      <c r="A1293" s="119"/>
      <c r="B1293" s="126"/>
      <c r="C1293" s="119"/>
      <c r="D1293" s="119"/>
      <c r="E1293" s="121"/>
      <c r="F1293" s="122"/>
      <c r="G1293" s="123"/>
      <c r="H1293" s="123"/>
      <c r="I1293" s="124"/>
      <c r="J1293" s="125"/>
      <c r="K1293" s="119"/>
    </row>
    <row r="1294" spans="1:11" ht="15" customHeight="1">
      <c r="A1294" s="119"/>
      <c r="B1294" s="126"/>
      <c r="C1294" s="119"/>
      <c r="D1294" s="119"/>
      <c r="E1294" s="121"/>
      <c r="F1294" s="122"/>
      <c r="G1294" s="123"/>
      <c r="H1294" s="123"/>
      <c r="I1294" s="124"/>
      <c r="J1294" s="125"/>
      <c r="K1294" s="119"/>
    </row>
    <row r="1295" spans="1:11" ht="15" customHeight="1">
      <c r="A1295" s="119"/>
      <c r="B1295" s="126"/>
      <c r="C1295" s="119"/>
      <c r="D1295" s="119"/>
      <c r="E1295" s="121"/>
      <c r="F1295" s="122"/>
      <c r="G1295" s="123"/>
      <c r="H1295" s="123"/>
      <c r="I1295" s="124"/>
      <c r="J1295" s="125"/>
      <c r="K1295" s="119"/>
    </row>
    <row r="1296" spans="1:11" ht="15" customHeight="1">
      <c r="A1296" s="119"/>
      <c r="B1296" s="126"/>
      <c r="C1296" s="119"/>
      <c r="D1296" s="119"/>
      <c r="E1296" s="121"/>
      <c r="F1296" s="122"/>
      <c r="G1296" s="123"/>
      <c r="H1296" s="123"/>
      <c r="I1296" s="124"/>
      <c r="J1296" s="125"/>
      <c r="K1296" s="119"/>
    </row>
    <row r="1297" spans="1:11" ht="15" customHeight="1">
      <c r="A1297" s="119"/>
      <c r="B1297" s="126"/>
      <c r="C1297" s="119"/>
      <c r="D1297" s="119"/>
      <c r="E1297" s="121"/>
      <c r="F1297" s="122"/>
      <c r="G1297" s="123"/>
      <c r="H1297" s="123"/>
      <c r="I1297" s="124"/>
      <c r="J1297" s="125"/>
      <c r="K1297" s="119"/>
    </row>
    <row r="1298" spans="1:11" ht="15" customHeight="1">
      <c r="A1298" s="119"/>
      <c r="B1298" s="126"/>
      <c r="C1298" s="119"/>
      <c r="D1298" s="119"/>
      <c r="E1298" s="121"/>
      <c r="F1298" s="122"/>
      <c r="G1298" s="123"/>
      <c r="H1298" s="123"/>
      <c r="I1298" s="124"/>
      <c r="J1298" s="125"/>
      <c r="K1298" s="119"/>
    </row>
    <row r="1299" spans="1:11" ht="15" customHeight="1">
      <c r="A1299" s="119"/>
      <c r="B1299" s="126"/>
      <c r="C1299" s="119"/>
      <c r="D1299" s="119"/>
      <c r="E1299" s="121"/>
      <c r="F1299" s="122"/>
      <c r="G1299" s="123"/>
      <c r="H1299" s="123"/>
      <c r="I1299" s="124"/>
      <c r="J1299" s="125"/>
      <c r="K1299" s="119"/>
    </row>
    <row r="1300" spans="1:11" ht="15" customHeight="1">
      <c r="A1300" s="119"/>
      <c r="B1300" s="126"/>
      <c r="C1300" s="119"/>
      <c r="D1300" s="119"/>
      <c r="E1300" s="121"/>
      <c r="F1300" s="122"/>
      <c r="G1300" s="123"/>
      <c r="H1300" s="123"/>
      <c r="I1300" s="124"/>
      <c r="J1300" s="125"/>
      <c r="K1300" s="119"/>
    </row>
    <row r="1301" spans="1:11" ht="15" customHeight="1">
      <c r="A1301" s="119"/>
      <c r="B1301" s="126"/>
      <c r="C1301" s="119"/>
      <c r="D1301" s="119"/>
      <c r="E1301" s="121"/>
      <c r="F1301" s="122"/>
      <c r="G1301" s="123"/>
      <c r="H1301" s="123"/>
      <c r="I1301" s="124"/>
      <c r="J1301" s="125"/>
      <c r="K1301" s="119"/>
    </row>
    <row r="1302" spans="1:11" ht="15" customHeight="1">
      <c r="A1302" s="119"/>
      <c r="B1302" s="126"/>
      <c r="C1302" s="119"/>
      <c r="D1302" s="119"/>
      <c r="E1302" s="121"/>
      <c r="F1302" s="122"/>
      <c r="G1302" s="123"/>
      <c r="H1302" s="123"/>
      <c r="I1302" s="124"/>
      <c r="J1302" s="125"/>
      <c r="K1302" s="119"/>
    </row>
    <row r="1303" spans="1:11" ht="15" customHeight="1">
      <c r="A1303" s="119"/>
      <c r="B1303" s="126"/>
      <c r="C1303" s="119"/>
      <c r="D1303" s="119"/>
      <c r="E1303" s="121"/>
      <c r="F1303" s="122"/>
      <c r="G1303" s="123"/>
      <c r="H1303" s="123"/>
      <c r="I1303" s="124"/>
      <c r="J1303" s="125"/>
      <c r="K1303" s="119"/>
    </row>
    <row r="1304" spans="1:11" ht="15" customHeight="1">
      <c r="A1304" s="119"/>
      <c r="B1304" s="126"/>
      <c r="C1304" s="119"/>
      <c r="D1304" s="119"/>
      <c r="E1304" s="121"/>
      <c r="F1304" s="122"/>
      <c r="G1304" s="123"/>
      <c r="H1304" s="123"/>
      <c r="I1304" s="124"/>
      <c r="J1304" s="125"/>
      <c r="K1304" s="119"/>
    </row>
    <row r="1305" spans="1:11" ht="15" customHeight="1">
      <c r="A1305" s="119"/>
      <c r="B1305" s="126"/>
      <c r="C1305" s="119"/>
      <c r="D1305" s="119"/>
      <c r="E1305" s="121"/>
      <c r="F1305" s="122"/>
      <c r="G1305" s="123"/>
      <c r="H1305" s="123"/>
      <c r="I1305" s="124"/>
      <c r="J1305" s="125"/>
      <c r="K1305" s="119"/>
    </row>
    <row r="1306" spans="1:11" ht="15" customHeight="1">
      <c r="A1306" s="119"/>
      <c r="B1306" s="126"/>
      <c r="C1306" s="119"/>
      <c r="D1306" s="119"/>
      <c r="E1306" s="121"/>
      <c r="F1306" s="122"/>
      <c r="G1306" s="123"/>
      <c r="H1306" s="123"/>
      <c r="I1306" s="124"/>
      <c r="J1306" s="125"/>
      <c r="K1306" s="119"/>
    </row>
    <row r="1307" spans="1:11" ht="15" customHeight="1">
      <c r="A1307" s="119"/>
      <c r="B1307" s="126"/>
      <c r="C1307" s="119"/>
      <c r="D1307" s="119"/>
      <c r="E1307" s="121"/>
      <c r="F1307" s="122"/>
      <c r="G1307" s="123"/>
      <c r="H1307" s="123"/>
      <c r="I1307" s="124"/>
      <c r="J1307" s="125"/>
      <c r="K1307" s="119"/>
    </row>
    <row r="1308" spans="1:11" ht="15" customHeight="1">
      <c r="A1308" s="119"/>
      <c r="B1308" s="126"/>
      <c r="C1308" s="119"/>
      <c r="D1308" s="119"/>
      <c r="E1308" s="121"/>
      <c r="F1308" s="122"/>
      <c r="G1308" s="123"/>
      <c r="H1308" s="123"/>
      <c r="I1308" s="124"/>
      <c r="J1308" s="125"/>
      <c r="K1308" s="119"/>
    </row>
    <row r="1309" spans="1:11" ht="15" customHeight="1">
      <c r="A1309" s="119"/>
      <c r="B1309" s="126"/>
      <c r="C1309" s="119"/>
      <c r="D1309" s="119"/>
      <c r="E1309" s="121"/>
      <c r="F1309" s="122"/>
      <c r="G1309" s="123"/>
      <c r="H1309" s="123"/>
      <c r="I1309" s="124"/>
      <c r="J1309" s="125"/>
      <c r="K1309" s="119"/>
    </row>
    <row r="1310" spans="1:11" ht="15" customHeight="1">
      <c r="A1310" s="119"/>
      <c r="B1310" s="126"/>
      <c r="C1310" s="119"/>
      <c r="D1310" s="119"/>
      <c r="E1310" s="121"/>
      <c r="F1310" s="122"/>
      <c r="G1310" s="123"/>
      <c r="H1310" s="123"/>
      <c r="I1310" s="124"/>
      <c r="J1310" s="125"/>
      <c r="K1310" s="119"/>
    </row>
    <row r="1311" spans="1:11" ht="15" customHeight="1">
      <c r="A1311" s="119"/>
      <c r="B1311" s="126"/>
      <c r="C1311" s="119"/>
      <c r="D1311" s="119"/>
      <c r="E1311" s="121"/>
      <c r="F1311" s="122"/>
      <c r="G1311" s="123"/>
      <c r="H1311" s="123"/>
      <c r="I1311" s="124"/>
      <c r="J1311" s="125"/>
      <c r="K1311" s="119"/>
    </row>
    <row r="1312" spans="1:11" ht="15" customHeight="1">
      <c r="A1312" s="119"/>
      <c r="B1312" s="126"/>
      <c r="C1312" s="119"/>
      <c r="D1312" s="119"/>
      <c r="E1312" s="121"/>
      <c r="F1312" s="122"/>
      <c r="G1312" s="123"/>
      <c r="H1312" s="123"/>
      <c r="I1312" s="124"/>
      <c r="J1312" s="125"/>
      <c r="K1312" s="119"/>
    </row>
    <row r="1313" spans="1:11" ht="15" customHeight="1">
      <c r="A1313" s="119"/>
      <c r="B1313" s="126"/>
      <c r="C1313" s="119"/>
      <c r="D1313" s="119"/>
      <c r="E1313" s="121"/>
      <c r="F1313" s="122"/>
      <c r="G1313" s="123"/>
      <c r="H1313" s="123"/>
      <c r="I1313" s="124"/>
      <c r="J1313" s="125"/>
      <c r="K1313" s="119"/>
    </row>
    <row r="1314" spans="1:11" ht="15" customHeight="1">
      <c r="A1314" s="119"/>
      <c r="B1314" s="126"/>
      <c r="C1314" s="119"/>
      <c r="D1314" s="119"/>
      <c r="E1314" s="121"/>
      <c r="F1314" s="122"/>
      <c r="G1314" s="123"/>
      <c r="H1314" s="123"/>
      <c r="I1314" s="124"/>
      <c r="J1314" s="125"/>
      <c r="K1314" s="119"/>
    </row>
    <row r="1315" spans="1:11" ht="15" customHeight="1">
      <c r="A1315" s="119"/>
      <c r="B1315" s="126"/>
      <c r="C1315" s="119"/>
      <c r="D1315" s="119"/>
      <c r="E1315" s="121"/>
      <c r="F1315" s="122"/>
      <c r="G1315" s="123"/>
      <c r="H1315" s="123"/>
      <c r="I1315" s="124"/>
      <c r="J1315" s="125"/>
      <c r="K1315" s="119"/>
    </row>
    <row r="1316" spans="1:11" ht="15" customHeight="1">
      <c r="A1316" s="119"/>
      <c r="B1316" s="126"/>
      <c r="C1316" s="119"/>
      <c r="D1316" s="119"/>
      <c r="E1316" s="121"/>
      <c r="F1316" s="122"/>
      <c r="G1316" s="123"/>
      <c r="H1316" s="123"/>
      <c r="I1316" s="124"/>
      <c r="J1316" s="125"/>
      <c r="K1316" s="119"/>
    </row>
    <row r="1317" spans="1:11" ht="15" customHeight="1">
      <c r="A1317" s="119"/>
      <c r="B1317" s="126"/>
      <c r="C1317" s="119"/>
      <c r="D1317" s="119"/>
      <c r="E1317" s="121"/>
      <c r="F1317" s="122"/>
      <c r="G1317" s="123"/>
      <c r="H1317" s="123"/>
      <c r="I1317" s="124"/>
      <c r="J1317" s="125"/>
      <c r="K1317" s="119"/>
    </row>
    <row r="1318" spans="1:11" ht="15" customHeight="1">
      <c r="A1318" s="119"/>
      <c r="B1318" s="126"/>
      <c r="C1318" s="119"/>
      <c r="D1318" s="119"/>
      <c r="E1318" s="121"/>
      <c r="F1318" s="122"/>
      <c r="G1318" s="123"/>
      <c r="H1318" s="123"/>
      <c r="I1318" s="124"/>
      <c r="J1318" s="125"/>
      <c r="K1318" s="119"/>
    </row>
    <row r="1319" spans="1:11" ht="15" customHeight="1">
      <c r="A1319" s="119"/>
      <c r="B1319" s="126"/>
      <c r="C1319" s="119"/>
      <c r="D1319" s="119"/>
      <c r="E1319" s="121"/>
      <c r="F1319" s="122"/>
      <c r="G1319" s="123"/>
      <c r="H1319" s="123"/>
      <c r="I1319" s="124"/>
      <c r="J1319" s="125"/>
      <c r="K1319" s="119"/>
    </row>
    <row r="1320" spans="1:11" ht="15" customHeight="1">
      <c r="A1320" s="119"/>
      <c r="B1320" s="126"/>
      <c r="C1320" s="119"/>
      <c r="D1320" s="119"/>
      <c r="E1320" s="121"/>
      <c r="F1320" s="122"/>
      <c r="G1320" s="123"/>
      <c r="H1320" s="123"/>
      <c r="I1320" s="124"/>
      <c r="J1320" s="125"/>
      <c r="K1320" s="119"/>
    </row>
    <row r="1321" spans="1:11" ht="15" customHeight="1">
      <c r="A1321" s="119"/>
      <c r="B1321" s="126"/>
      <c r="C1321" s="119"/>
      <c r="D1321" s="119"/>
      <c r="E1321" s="121"/>
      <c r="F1321" s="122"/>
      <c r="G1321" s="123"/>
      <c r="H1321" s="123"/>
      <c r="I1321" s="124"/>
      <c r="J1321" s="125"/>
      <c r="K1321" s="119"/>
    </row>
    <row r="1322" spans="1:11" ht="15" customHeight="1">
      <c r="A1322" s="119"/>
      <c r="B1322" s="126"/>
      <c r="C1322" s="119"/>
      <c r="D1322" s="119"/>
      <c r="E1322" s="121"/>
      <c r="F1322" s="122"/>
      <c r="G1322" s="123"/>
      <c r="H1322" s="123"/>
      <c r="I1322" s="124"/>
      <c r="J1322" s="125"/>
      <c r="K1322" s="119"/>
    </row>
    <row r="1323" spans="1:11" ht="15" customHeight="1">
      <c r="A1323" s="119"/>
      <c r="B1323" s="126"/>
      <c r="C1323" s="119"/>
      <c r="D1323" s="119"/>
      <c r="E1323" s="121"/>
      <c r="F1323" s="122"/>
      <c r="G1323" s="123"/>
      <c r="H1323" s="123"/>
      <c r="I1323" s="124"/>
      <c r="J1323" s="125"/>
      <c r="K1323" s="119"/>
    </row>
    <row r="1324" spans="1:11" ht="15" customHeight="1">
      <c r="A1324" s="119"/>
      <c r="B1324" s="126"/>
      <c r="C1324" s="119"/>
      <c r="D1324" s="119"/>
      <c r="E1324" s="121"/>
      <c r="F1324" s="122"/>
      <c r="G1324" s="123"/>
      <c r="H1324" s="123"/>
      <c r="I1324" s="124"/>
      <c r="J1324" s="125"/>
      <c r="K1324" s="119"/>
    </row>
    <row r="1325" spans="1:11" ht="15" customHeight="1">
      <c r="A1325" s="119"/>
      <c r="B1325" s="126"/>
      <c r="C1325" s="119"/>
      <c r="D1325" s="119"/>
      <c r="E1325" s="121"/>
      <c r="F1325" s="122"/>
      <c r="G1325" s="123"/>
      <c r="H1325" s="123"/>
      <c r="I1325" s="124"/>
      <c r="J1325" s="125"/>
      <c r="K1325" s="119"/>
    </row>
    <row r="1326" spans="1:11" ht="15" customHeight="1">
      <c r="A1326" s="119"/>
      <c r="B1326" s="126"/>
      <c r="C1326" s="119"/>
      <c r="D1326" s="119"/>
      <c r="E1326" s="121"/>
      <c r="F1326" s="122"/>
      <c r="G1326" s="123"/>
      <c r="H1326" s="123"/>
      <c r="I1326" s="124"/>
      <c r="J1326" s="125"/>
      <c r="K1326" s="119"/>
    </row>
    <row r="1327" spans="1:11" ht="15" customHeight="1">
      <c r="A1327" s="119"/>
      <c r="B1327" s="126"/>
      <c r="C1327" s="119"/>
      <c r="D1327" s="119"/>
      <c r="E1327" s="121"/>
      <c r="F1327" s="122"/>
      <c r="G1327" s="123"/>
      <c r="H1327" s="123"/>
      <c r="I1327" s="124"/>
      <c r="J1327" s="125"/>
      <c r="K1327" s="119"/>
    </row>
    <row r="1328" spans="1:11" ht="15" customHeight="1">
      <c r="A1328" s="119"/>
      <c r="B1328" s="126"/>
      <c r="C1328" s="119"/>
      <c r="D1328" s="119"/>
      <c r="E1328" s="121"/>
      <c r="F1328" s="122"/>
      <c r="G1328" s="123"/>
      <c r="H1328" s="123"/>
      <c r="I1328" s="124"/>
      <c r="J1328" s="125"/>
      <c r="K1328" s="119"/>
    </row>
    <row r="1329" spans="1:11" ht="15" customHeight="1">
      <c r="A1329" s="119"/>
      <c r="B1329" s="126"/>
      <c r="C1329" s="119"/>
      <c r="D1329" s="119"/>
      <c r="E1329" s="121"/>
      <c r="F1329" s="122"/>
      <c r="G1329" s="123"/>
      <c r="H1329" s="123"/>
      <c r="I1329" s="124"/>
      <c r="J1329" s="125"/>
      <c r="K1329" s="119"/>
    </row>
    <row r="1330" spans="1:11" ht="15" customHeight="1">
      <c r="A1330" s="119"/>
      <c r="B1330" s="126"/>
      <c r="C1330" s="119"/>
      <c r="D1330" s="119"/>
      <c r="E1330" s="121"/>
      <c r="F1330" s="122"/>
      <c r="G1330" s="123"/>
      <c r="H1330" s="123"/>
      <c r="I1330" s="124"/>
      <c r="J1330" s="125"/>
      <c r="K1330" s="119"/>
    </row>
    <row r="1331" spans="1:11" ht="15" customHeight="1">
      <c r="A1331" s="119"/>
      <c r="B1331" s="126"/>
      <c r="C1331" s="119"/>
      <c r="D1331" s="119"/>
      <c r="E1331" s="121"/>
      <c r="F1331" s="122"/>
      <c r="G1331" s="123"/>
      <c r="H1331" s="123"/>
      <c r="I1331" s="124"/>
      <c r="J1331" s="125"/>
      <c r="K1331" s="119"/>
    </row>
    <row r="1332" spans="1:11" ht="15" customHeight="1">
      <c r="A1332" s="119"/>
      <c r="B1332" s="126"/>
      <c r="C1332" s="119"/>
      <c r="D1332" s="119"/>
      <c r="E1332" s="121"/>
      <c r="F1332" s="122"/>
      <c r="G1332" s="123"/>
      <c r="H1332" s="123"/>
      <c r="I1332" s="124"/>
      <c r="J1332" s="125"/>
      <c r="K1332" s="119"/>
    </row>
    <row r="1333" spans="1:11" ht="15" customHeight="1">
      <c r="A1333" s="119"/>
      <c r="B1333" s="126"/>
      <c r="C1333" s="119"/>
      <c r="D1333" s="119"/>
      <c r="E1333" s="121"/>
      <c r="F1333" s="122"/>
      <c r="G1333" s="123"/>
      <c r="H1333" s="123"/>
      <c r="I1333" s="124"/>
      <c r="J1333" s="125"/>
      <c r="K1333" s="119"/>
    </row>
    <row r="1334" spans="1:11" ht="15" customHeight="1">
      <c r="A1334" s="119"/>
      <c r="B1334" s="126"/>
      <c r="C1334" s="119"/>
      <c r="D1334" s="119"/>
      <c r="E1334" s="121"/>
      <c r="F1334" s="122"/>
      <c r="G1334" s="123"/>
      <c r="H1334" s="123"/>
      <c r="I1334" s="124"/>
      <c r="J1334" s="125"/>
      <c r="K1334" s="119"/>
    </row>
    <row r="1335" spans="1:11" ht="15" customHeight="1">
      <c r="A1335" s="119"/>
      <c r="B1335" s="126"/>
      <c r="C1335" s="119"/>
      <c r="D1335" s="119"/>
      <c r="E1335" s="121"/>
      <c r="F1335" s="122"/>
      <c r="G1335" s="123"/>
      <c r="H1335" s="123"/>
      <c r="I1335" s="124"/>
      <c r="J1335" s="125"/>
      <c r="K1335" s="119"/>
    </row>
    <row r="1336" spans="1:11" ht="15" customHeight="1">
      <c r="A1336" s="119"/>
      <c r="B1336" s="126"/>
      <c r="C1336" s="119"/>
      <c r="D1336" s="119"/>
      <c r="E1336" s="121"/>
      <c r="F1336" s="122"/>
      <c r="G1336" s="123"/>
      <c r="H1336" s="123"/>
      <c r="I1336" s="124"/>
      <c r="J1336" s="125"/>
      <c r="K1336" s="119"/>
    </row>
    <row r="1337" spans="1:11" ht="15" customHeight="1">
      <c r="A1337" s="119"/>
      <c r="B1337" s="126"/>
      <c r="C1337" s="119"/>
      <c r="D1337" s="119"/>
      <c r="E1337" s="121"/>
      <c r="F1337" s="122"/>
      <c r="G1337" s="123"/>
      <c r="H1337" s="123"/>
      <c r="I1337" s="124"/>
      <c r="J1337" s="125"/>
      <c r="K1337" s="119"/>
    </row>
    <row r="1338" spans="1:11" ht="15" customHeight="1">
      <c r="A1338" s="119"/>
      <c r="B1338" s="126"/>
      <c r="C1338" s="119"/>
      <c r="D1338" s="119"/>
      <c r="E1338" s="121"/>
      <c r="F1338" s="122"/>
      <c r="G1338" s="123"/>
      <c r="H1338" s="123"/>
      <c r="I1338" s="124"/>
      <c r="J1338" s="125"/>
      <c r="K1338" s="119"/>
    </row>
    <row r="1339" spans="1:11" ht="15" customHeight="1">
      <c r="A1339" s="119"/>
      <c r="B1339" s="126"/>
      <c r="C1339" s="119"/>
      <c r="D1339" s="119"/>
      <c r="E1339" s="121"/>
      <c r="F1339" s="122"/>
      <c r="G1339" s="123"/>
      <c r="H1339" s="123"/>
      <c r="I1339" s="124"/>
      <c r="J1339" s="125"/>
      <c r="K1339" s="119"/>
    </row>
    <row r="1340" spans="1:11" ht="15" customHeight="1">
      <c r="A1340" s="119"/>
      <c r="B1340" s="126"/>
      <c r="C1340" s="119"/>
      <c r="D1340" s="119"/>
      <c r="E1340" s="121"/>
      <c r="F1340" s="122"/>
      <c r="G1340" s="123"/>
      <c r="H1340" s="123"/>
      <c r="I1340" s="124"/>
      <c r="J1340" s="125"/>
      <c r="K1340" s="119"/>
    </row>
    <row r="1341" spans="1:11" ht="15" customHeight="1">
      <c r="A1341" s="119"/>
      <c r="B1341" s="126"/>
      <c r="C1341" s="119"/>
      <c r="D1341" s="119"/>
      <c r="E1341" s="121"/>
      <c r="F1341" s="122"/>
      <c r="G1341" s="123"/>
      <c r="H1341" s="123"/>
      <c r="I1341" s="124"/>
      <c r="J1341" s="125"/>
      <c r="K1341" s="119"/>
    </row>
    <row r="1342" spans="1:11" ht="15" customHeight="1">
      <c r="A1342" s="119"/>
      <c r="B1342" s="126"/>
      <c r="C1342" s="119"/>
      <c r="D1342" s="119"/>
      <c r="E1342" s="121"/>
      <c r="F1342" s="122"/>
      <c r="G1342" s="123"/>
      <c r="H1342" s="123"/>
      <c r="I1342" s="124"/>
      <c r="J1342" s="125"/>
      <c r="K1342" s="119"/>
    </row>
    <row r="1343" spans="1:11" ht="15" customHeight="1">
      <c r="A1343" s="119"/>
      <c r="B1343" s="126"/>
      <c r="C1343" s="119"/>
      <c r="D1343" s="119"/>
      <c r="E1343" s="121"/>
      <c r="F1343" s="122"/>
      <c r="G1343" s="123"/>
      <c r="H1343" s="123"/>
      <c r="I1343" s="124"/>
      <c r="J1343" s="125"/>
      <c r="K1343" s="119"/>
    </row>
    <row r="1344" spans="1:11" ht="15" customHeight="1">
      <c r="A1344" s="119"/>
      <c r="B1344" s="126"/>
      <c r="C1344" s="119"/>
      <c r="D1344" s="119"/>
      <c r="E1344" s="121"/>
      <c r="F1344" s="122"/>
      <c r="G1344" s="123"/>
      <c r="H1344" s="123"/>
      <c r="I1344" s="124"/>
      <c r="J1344" s="125"/>
      <c r="K1344" s="119"/>
    </row>
    <row r="1345" spans="1:11" ht="15" customHeight="1">
      <c r="A1345" s="119"/>
      <c r="B1345" s="126"/>
      <c r="C1345" s="119"/>
      <c r="D1345" s="119"/>
      <c r="E1345" s="121"/>
      <c r="F1345" s="122"/>
      <c r="G1345" s="123"/>
      <c r="H1345" s="123"/>
      <c r="I1345" s="124"/>
      <c r="J1345" s="125"/>
      <c r="K1345" s="119"/>
    </row>
    <row r="1346" spans="1:11" ht="15" customHeight="1">
      <c r="A1346" s="119"/>
      <c r="B1346" s="126"/>
      <c r="C1346" s="119"/>
      <c r="D1346" s="119"/>
      <c r="E1346" s="121"/>
      <c r="F1346" s="122"/>
      <c r="G1346" s="123"/>
      <c r="H1346" s="123"/>
      <c r="I1346" s="124"/>
      <c r="J1346" s="125"/>
      <c r="K1346" s="119"/>
    </row>
    <row r="1347" spans="1:11" ht="15" customHeight="1">
      <c r="A1347" s="119"/>
      <c r="B1347" s="126"/>
      <c r="C1347" s="119"/>
      <c r="D1347" s="119"/>
      <c r="E1347" s="121"/>
      <c r="F1347" s="122"/>
      <c r="G1347" s="123"/>
      <c r="H1347" s="123"/>
      <c r="I1347" s="124"/>
      <c r="J1347" s="125"/>
      <c r="K1347" s="119"/>
    </row>
    <row r="1348" spans="1:11" ht="15" customHeight="1">
      <c r="A1348" s="119"/>
      <c r="B1348" s="126"/>
      <c r="C1348" s="119"/>
      <c r="D1348" s="119"/>
      <c r="E1348" s="121"/>
      <c r="F1348" s="122"/>
      <c r="G1348" s="123"/>
      <c r="H1348" s="123"/>
      <c r="I1348" s="124"/>
      <c r="J1348" s="125"/>
      <c r="K1348" s="119"/>
    </row>
    <row r="1349" spans="1:11" ht="15" customHeight="1">
      <c r="A1349" s="119"/>
      <c r="B1349" s="126"/>
      <c r="C1349" s="119"/>
      <c r="D1349" s="119"/>
      <c r="E1349" s="121"/>
      <c r="F1349" s="122"/>
      <c r="G1349" s="123"/>
      <c r="H1349" s="123"/>
      <c r="I1349" s="124"/>
      <c r="J1349" s="125"/>
      <c r="K1349" s="119"/>
    </row>
    <row r="1350" spans="1:11" ht="15" customHeight="1">
      <c r="A1350" s="119"/>
      <c r="B1350" s="126"/>
      <c r="C1350" s="119"/>
      <c r="D1350" s="119"/>
      <c r="E1350" s="121"/>
      <c r="F1350" s="122"/>
      <c r="G1350" s="123"/>
      <c r="H1350" s="123"/>
      <c r="I1350" s="124"/>
      <c r="J1350" s="125"/>
      <c r="K1350" s="119"/>
    </row>
    <row r="1351" spans="1:11" ht="15" customHeight="1">
      <c r="A1351" s="119"/>
      <c r="B1351" s="126"/>
      <c r="C1351" s="119"/>
      <c r="D1351" s="119"/>
      <c r="E1351" s="121"/>
      <c r="F1351" s="122"/>
      <c r="G1351" s="123"/>
      <c r="H1351" s="123"/>
      <c r="I1351" s="124"/>
      <c r="J1351" s="125"/>
      <c r="K1351" s="119"/>
    </row>
    <row r="1352" spans="1:11" ht="15" customHeight="1">
      <c r="A1352" s="119"/>
      <c r="B1352" s="126"/>
      <c r="C1352" s="119"/>
      <c r="D1352" s="119"/>
      <c r="E1352" s="121"/>
      <c r="F1352" s="122"/>
      <c r="G1352" s="123"/>
      <c r="H1352" s="123"/>
      <c r="I1352" s="124"/>
      <c r="J1352" s="125"/>
      <c r="K1352" s="119"/>
    </row>
    <row r="1353" spans="1:11" ht="15" customHeight="1">
      <c r="A1353" s="119"/>
      <c r="B1353" s="126"/>
      <c r="C1353" s="119"/>
      <c r="D1353" s="119"/>
      <c r="E1353" s="121"/>
      <c r="F1353" s="122"/>
      <c r="G1353" s="123"/>
      <c r="H1353" s="123"/>
      <c r="I1353" s="124"/>
      <c r="J1353" s="125"/>
      <c r="K1353" s="119"/>
    </row>
    <row r="1354" spans="1:11" ht="15" customHeight="1">
      <c r="A1354" s="119"/>
      <c r="B1354" s="126"/>
      <c r="C1354" s="119"/>
      <c r="D1354" s="119"/>
      <c r="E1354" s="121"/>
      <c r="F1354" s="122"/>
      <c r="G1354" s="123"/>
      <c r="H1354" s="123"/>
      <c r="I1354" s="124"/>
      <c r="J1354" s="125"/>
      <c r="K1354" s="119"/>
    </row>
    <row r="1355" spans="1:11" ht="15" customHeight="1">
      <c r="A1355" s="119"/>
      <c r="B1355" s="126"/>
      <c r="C1355" s="119"/>
      <c r="D1355" s="119"/>
      <c r="E1355" s="121"/>
      <c r="F1355" s="122"/>
      <c r="G1355" s="123"/>
      <c r="H1355" s="123"/>
      <c r="I1355" s="124"/>
      <c r="J1355" s="125"/>
      <c r="K1355" s="119"/>
    </row>
    <row r="1356" spans="1:11" ht="15" customHeight="1">
      <c r="A1356" s="119"/>
      <c r="B1356" s="126"/>
      <c r="C1356" s="119"/>
      <c r="D1356" s="119"/>
      <c r="E1356" s="121"/>
      <c r="F1356" s="122"/>
      <c r="G1356" s="123"/>
      <c r="H1356" s="123"/>
      <c r="I1356" s="124"/>
      <c r="J1356" s="125"/>
      <c r="K1356" s="119"/>
    </row>
    <row r="1357" spans="1:11" ht="15" customHeight="1">
      <c r="A1357" s="119"/>
      <c r="B1357" s="126"/>
      <c r="C1357" s="119"/>
      <c r="D1357" s="119"/>
      <c r="E1357" s="121"/>
      <c r="F1357" s="122"/>
      <c r="G1357" s="123"/>
      <c r="H1357" s="123"/>
      <c r="I1357" s="124"/>
      <c r="J1357" s="125"/>
      <c r="K1357" s="119"/>
    </row>
    <row r="1358" spans="1:11" ht="15" customHeight="1">
      <c r="A1358" s="119"/>
      <c r="B1358" s="126"/>
      <c r="C1358" s="119"/>
      <c r="D1358" s="119"/>
      <c r="E1358" s="121"/>
      <c r="F1358" s="122"/>
      <c r="G1358" s="123"/>
      <c r="H1358" s="123"/>
      <c r="I1358" s="124"/>
      <c r="J1358" s="125"/>
      <c r="K1358" s="119"/>
    </row>
    <row r="1359" spans="1:11" ht="15" customHeight="1">
      <c r="A1359" s="119"/>
      <c r="B1359" s="126"/>
      <c r="C1359" s="119"/>
      <c r="D1359" s="119"/>
      <c r="E1359" s="121"/>
      <c r="F1359" s="122"/>
      <c r="G1359" s="123"/>
      <c r="H1359" s="123"/>
      <c r="I1359" s="124"/>
      <c r="J1359" s="125"/>
      <c r="K1359" s="119"/>
    </row>
    <row r="1360" spans="1:11" ht="15" customHeight="1">
      <c r="A1360" s="119"/>
      <c r="B1360" s="126"/>
      <c r="C1360" s="119"/>
      <c r="D1360" s="119"/>
      <c r="E1360" s="121"/>
      <c r="F1360" s="122"/>
      <c r="G1360" s="123"/>
      <c r="H1360" s="123"/>
      <c r="I1360" s="124"/>
      <c r="J1360" s="125"/>
      <c r="K1360" s="119"/>
    </row>
    <row r="1361" spans="1:11" ht="15" customHeight="1">
      <c r="A1361" s="119"/>
      <c r="B1361" s="126"/>
      <c r="C1361" s="119"/>
      <c r="D1361" s="119"/>
      <c r="E1361" s="121"/>
      <c r="F1361" s="122"/>
      <c r="G1361" s="123"/>
      <c r="H1361" s="123"/>
      <c r="I1361" s="124"/>
      <c r="J1361" s="125"/>
      <c r="K1361" s="119"/>
    </row>
    <row r="1362" spans="1:11" ht="15" customHeight="1">
      <c r="A1362" s="119"/>
      <c r="B1362" s="126"/>
      <c r="C1362" s="119"/>
      <c r="D1362" s="119"/>
      <c r="E1362" s="121"/>
      <c r="F1362" s="122"/>
      <c r="G1362" s="123"/>
      <c r="H1362" s="123"/>
      <c r="I1362" s="124"/>
      <c r="J1362" s="125"/>
      <c r="K1362" s="119"/>
    </row>
    <row r="1363" spans="1:11" ht="15" customHeight="1">
      <c r="A1363" s="119"/>
      <c r="B1363" s="126"/>
      <c r="C1363" s="119"/>
      <c r="D1363" s="119"/>
      <c r="E1363" s="121"/>
      <c r="F1363" s="122"/>
      <c r="G1363" s="123"/>
      <c r="H1363" s="123"/>
      <c r="I1363" s="124"/>
      <c r="J1363" s="125"/>
      <c r="K1363" s="119"/>
    </row>
    <row r="1364" spans="1:11" ht="15" customHeight="1">
      <c r="A1364" s="119"/>
      <c r="B1364" s="126"/>
      <c r="C1364" s="119"/>
      <c r="D1364" s="119"/>
      <c r="E1364" s="121"/>
      <c r="F1364" s="122"/>
      <c r="G1364" s="123"/>
      <c r="H1364" s="123"/>
      <c r="I1364" s="124"/>
      <c r="J1364" s="125"/>
      <c r="K1364" s="119"/>
    </row>
    <row r="1365" spans="1:11" ht="15" customHeight="1">
      <c r="A1365" s="119"/>
      <c r="B1365" s="126"/>
      <c r="C1365" s="119"/>
      <c r="D1365" s="119"/>
      <c r="E1365" s="121"/>
      <c r="F1365" s="122"/>
      <c r="G1365" s="123"/>
      <c r="H1365" s="123"/>
      <c r="I1365" s="124"/>
      <c r="J1365" s="125"/>
      <c r="K1365" s="119"/>
    </row>
    <row r="1366" spans="1:11" ht="15" customHeight="1">
      <c r="A1366" s="119"/>
      <c r="B1366" s="126"/>
      <c r="C1366" s="119"/>
      <c r="D1366" s="119"/>
      <c r="E1366" s="121"/>
      <c r="F1366" s="122"/>
      <c r="G1366" s="123"/>
      <c r="H1366" s="123"/>
      <c r="I1366" s="124"/>
      <c r="J1366" s="125"/>
      <c r="K1366" s="119"/>
    </row>
    <row r="1367" spans="1:11" ht="15" customHeight="1">
      <c r="A1367" s="119"/>
      <c r="B1367" s="126"/>
      <c r="C1367" s="119"/>
      <c r="D1367" s="119"/>
      <c r="E1367" s="121"/>
      <c r="F1367" s="122"/>
      <c r="G1367" s="123"/>
      <c r="H1367" s="123"/>
      <c r="I1367" s="124"/>
      <c r="J1367" s="125"/>
      <c r="K1367" s="119"/>
    </row>
    <row r="1368" spans="1:11" ht="15" customHeight="1">
      <c r="A1368" s="119"/>
      <c r="B1368" s="126"/>
      <c r="C1368" s="119"/>
      <c r="D1368" s="119"/>
      <c r="E1368" s="121"/>
      <c r="F1368" s="122"/>
      <c r="G1368" s="123"/>
      <c r="H1368" s="123"/>
      <c r="I1368" s="124"/>
      <c r="J1368" s="125"/>
      <c r="K1368" s="119"/>
    </row>
    <row r="1369" spans="1:11" ht="15" customHeight="1">
      <c r="A1369" s="119"/>
      <c r="B1369" s="126"/>
      <c r="C1369" s="119"/>
      <c r="D1369" s="119"/>
      <c r="E1369" s="121"/>
      <c r="F1369" s="122"/>
      <c r="G1369" s="123"/>
      <c r="H1369" s="123"/>
      <c r="I1369" s="124"/>
      <c r="J1369" s="125"/>
      <c r="K1369" s="119"/>
    </row>
    <row r="1370" spans="1:11" ht="15" customHeight="1">
      <c r="A1370" s="119"/>
      <c r="B1370" s="126"/>
      <c r="C1370" s="119"/>
      <c r="D1370" s="119"/>
      <c r="E1370" s="121"/>
      <c r="F1370" s="122"/>
      <c r="G1370" s="123"/>
      <c r="H1370" s="123"/>
      <c r="I1370" s="124"/>
      <c r="J1370" s="125"/>
      <c r="K1370" s="119"/>
    </row>
    <row r="1371" spans="1:11" ht="15" customHeight="1">
      <c r="A1371" s="119"/>
      <c r="B1371" s="126"/>
      <c r="C1371" s="119"/>
      <c r="D1371" s="119"/>
      <c r="E1371" s="121"/>
      <c r="F1371" s="122"/>
      <c r="G1371" s="123"/>
      <c r="H1371" s="123"/>
      <c r="I1371" s="124"/>
      <c r="J1371" s="125"/>
      <c r="K1371" s="119"/>
    </row>
    <row r="1372" spans="1:11" ht="15" customHeight="1">
      <c r="A1372" s="119"/>
      <c r="B1372" s="126"/>
      <c r="C1372" s="119"/>
      <c r="D1372" s="119"/>
      <c r="E1372" s="121"/>
      <c r="F1372" s="122"/>
      <c r="G1372" s="123"/>
      <c r="H1372" s="123"/>
      <c r="I1372" s="124"/>
      <c r="J1372" s="125"/>
      <c r="K1372" s="119"/>
    </row>
    <row r="1373" spans="1:11" ht="15" customHeight="1">
      <c r="A1373" s="119"/>
      <c r="B1373" s="126"/>
      <c r="C1373" s="119"/>
      <c r="D1373" s="119"/>
      <c r="E1373" s="121"/>
      <c r="F1373" s="122"/>
      <c r="G1373" s="123"/>
      <c r="H1373" s="123"/>
      <c r="I1373" s="124"/>
      <c r="J1373" s="125"/>
      <c r="K1373" s="119"/>
    </row>
    <row r="1374" spans="1:11" ht="15" customHeight="1">
      <c r="A1374" s="119"/>
      <c r="B1374" s="126"/>
      <c r="C1374" s="119"/>
      <c r="D1374" s="119"/>
      <c r="E1374" s="121"/>
      <c r="F1374" s="122"/>
      <c r="G1374" s="123"/>
      <c r="H1374" s="123"/>
      <c r="I1374" s="124"/>
      <c r="J1374" s="125"/>
      <c r="K1374" s="119"/>
    </row>
    <row r="1375" spans="1:11" ht="15" customHeight="1">
      <c r="A1375" s="119"/>
      <c r="B1375" s="126"/>
      <c r="C1375" s="119"/>
      <c r="D1375" s="119"/>
      <c r="E1375" s="121"/>
      <c r="F1375" s="122"/>
      <c r="G1375" s="123"/>
      <c r="H1375" s="123"/>
      <c r="I1375" s="124"/>
      <c r="J1375" s="125"/>
      <c r="K1375" s="119"/>
    </row>
    <row r="1376" spans="1:11" ht="15" customHeight="1">
      <c r="A1376" s="119"/>
      <c r="B1376" s="126"/>
      <c r="C1376" s="119"/>
      <c r="D1376" s="119"/>
      <c r="E1376" s="121"/>
      <c r="F1376" s="122"/>
      <c r="G1376" s="123"/>
      <c r="H1376" s="123"/>
      <c r="I1376" s="124"/>
      <c r="J1376" s="125"/>
      <c r="K1376" s="119"/>
    </row>
    <row r="1377" spans="1:11" ht="15" customHeight="1">
      <c r="A1377" s="119"/>
      <c r="B1377" s="126"/>
      <c r="C1377" s="119"/>
      <c r="D1377" s="119"/>
      <c r="E1377" s="121"/>
      <c r="F1377" s="122"/>
      <c r="G1377" s="123"/>
      <c r="H1377" s="123"/>
      <c r="I1377" s="124"/>
      <c r="J1377" s="125"/>
      <c r="K1377" s="119"/>
    </row>
    <row r="1378" spans="1:11" ht="15" customHeight="1">
      <c r="A1378" s="119"/>
      <c r="B1378" s="126"/>
      <c r="C1378" s="119"/>
      <c r="D1378" s="119"/>
      <c r="E1378" s="121"/>
      <c r="F1378" s="122"/>
      <c r="G1378" s="123"/>
      <c r="H1378" s="123"/>
      <c r="I1378" s="124"/>
      <c r="J1378" s="125"/>
      <c r="K1378" s="119"/>
    </row>
    <row r="1379" spans="1:11" ht="15" customHeight="1">
      <c r="A1379" s="119"/>
      <c r="B1379" s="126"/>
      <c r="C1379" s="119"/>
      <c r="D1379" s="119"/>
      <c r="E1379" s="121"/>
      <c r="F1379" s="122"/>
      <c r="G1379" s="123"/>
      <c r="H1379" s="123"/>
      <c r="I1379" s="124"/>
      <c r="J1379" s="125"/>
      <c r="K1379" s="119"/>
    </row>
    <row r="1380" spans="1:11" ht="15" customHeight="1">
      <c r="A1380" s="119"/>
      <c r="B1380" s="126"/>
      <c r="C1380" s="119"/>
      <c r="D1380" s="119"/>
      <c r="E1380" s="121"/>
      <c r="F1380" s="122"/>
      <c r="G1380" s="123"/>
      <c r="H1380" s="123"/>
      <c r="I1380" s="124"/>
      <c r="J1380" s="125"/>
      <c r="K1380" s="119"/>
    </row>
    <row r="1381" spans="1:11" ht="15" customHeight="1">
      <c r="A1381" s="119"/>
      <c r="B1381" s="126"/>
      <c r="C1381" s="119"/>
      <c r="D1381" s="119"/>
      <c r="E1381" s="121"/>
      <c r="F1381" s="122"/>
      <c r="G1381" s="123"/>
      <c r="H1381" s="123"/>
      <c r="I1381" s="124"/>
      <c r="J1381" s="125"/>
      <c r="K1381" s="119"/>
    </row>
    <row r="1382" spans="1:11" ht="15" customHeight="1">
      <c r="A1382" s="119"/>
      <c r="B1382" s="126"/>
      <c r="C1382" s="119"/>
      <c r="D1382" s="119"/>
      <c r="E1382" s="121"/>
      <c r="F1382" s="122"/>
      <c r="G1382" s="123"/>
      <c r="H1382" s="123"/>
      <c r="I1382" s="124"/>
      <c r="J1382" s="125"/>
      <c r="K1382" s="119"/>
    </row>
    <row r="1383" spans="1:11" ht="15" customHeight="1">
      <c r="A1383" s="119"/>
      <c r="B1383" s="126"/>
      <c r="C1383" s="119"/>
      <c r="D1383" s="119"/>
      <c r="E1383" s="121"/>
      <c r="F1383" s="122"/>
      <c r="G1383" s="123"/>
      <c r="H1383" s="123"/>
      <c r="I1383" s="124"/>
      <c r="J1383" s="125"/>
      <c r="K1383" s="119"/>
    </row>
    <row r="1384" spans="1:11" ht="15" customHeight="1">
      <c r="A1384" s="119"/>
      <c r="B1384" s="126"/>
      <c r="C1384" s="119"/>
      <c r="D1384" s="119"/>
      <c r="E1384" s="121"/>
      <c r="F1384" s="122"/>
      <c r="G1384" s="123"/>
      <c r="H1384" s="123"/>
      <c r="I1384" s="124"/>
      <c r="J1384" s="125"/>
      <c r="K1384" s="119"/>
    </row>
    <row r="1385" spans="1:11" ht="15" customHeight="1">
      <c r="A1385" s="119"/>
      <c r="B1385" s="126"/>
      <c r="C1385" s="119"/>
      <c r="D1385" s="119"/>
      <c r="E1385" s="121"/>
      <c r="F1385" s="122"/>
      <c r="G1385" s="123"/>
      <c r="H1385" s="123"/>
      <c r="I1385" s="124"/>
      <c r="J1385" s="125"/>
      <c r="K1385" s="119"/>
    </row>
    <row r="1386" spans="1:11" ht="15" customHeight="1">
      <c r="A1386" s="119"/>
      <c r="B1386" s="126"/>
      <c r="C1386" s="119"/>
      <c r="D1386" s="119"/>
      <c r="E1386" s="121"/>
      <c r="F1386" s="122"/>
      <c r="G1386" s="123"/>
      <c r="H1386" s="123"/>
      <c r="I1386" s="124"/>
      <c r="J1386" s="125"/>
      <c r="K1386" s="119"/>
    </row>
    <row r="1387" spans="1:11" ht="15" customHeight="1">
      <c r="A1387" s="119"/>
      <c r="B1387" s="126"/>
      <c r="C1387" s="119"/>
      <c r="D1387" s="119"/>
      <c r="E1387" s="121"/>
      <c r="F1387" s="122"/>
      <c r="G1387" s="123"/>
      <c r="H1387" s="123"/>
      <c r="I1387" s="124"/>
      <c r="J1387" s="125"/>
      <c r="K1387" s="119"/>
    </row>
    <row r="1388" spans="1:11" ht="15" customHeight="1">
      <c r="A1388" s="119"/>
      <c r="B1388" s="126"/>
      <c r="C1388" s="119"/>
      <c r="D1388" s="119"/>
      <c r="E1388" s="121"/>
      <c r="F1388" s="122"/>
      <c r="G1388" s="123"/>
      <c r="H1388" s="123"/>
      <c r="I1388" s="124"/>
      <c r="J1388" s="125"/>
      <c r="K1388" s="119"/>
    </row>
    <row r="1389" spans="1:11" ht="15" customHeight="1">
      <c r="A1389" s="119"/>
      <c r="B1389" s="126"/>
      <c r="C1389" s="119"/>
      <c r="D1389" s="119"/>
      <c r="E1389" s="121"/>
      <c r="F1389" s="122"/>
      <c r="G1389" s="123"/>
      <c r="H1389" s="123"/>
      <c r="I1389" s="124"/>
      <c r="J1389" s="125"/>
      <c r="K1389" s="119"/>
    </row>
    <row r="1390" spans="1:11" ht="15" customHeight="1">
      <c r="A1390" s="119"/>
      <c r="B1390" s="126"/>
      <c r="C1390" s="119"/>
      <c r="D1390" s="119"/>
      <c r="E1390" s="121"/>
      <c r="F1390" s="122"/>
      <c r="G1390" s="123"/>
      <c r="H1390" s="123"/>
      <c r="I1390" s="124"/>
      <c r="J1390" s="125"/>
      <c r="K1390" s="119"/>
    </row>
    <row r="1391" spans="1:11" ht="15" customHeight="1">
      <c r="A1391" s="119"/>
      <c r="B1391" s="126"/>
      <c r="C1391" s="119"/>
      <c r="D1391" s="119"/>
      <c r="E1391" s="121"/>
      <c r="F1391" s="122"/>
      <c r="G1391" s="123"/>
      <c r="H1391" s="123"/>
      <c r="I1391" s="124"/>
      <c r="J1391" s="125"/>
      <c r="K1391" s="119"/>
    </row>
    <row r="1392" spans="1:11" ht="15" customHeight="1">
      <c r="A1392" s="119"/>
      <c r="B1392" s="126"/>
      <c r="C1392" s="119"/>
      <c r="D1392" s="119"/>
      <c r="E1392" s="121"/>
      <c r="F1392" s="122"/>
      <c r="G1392" s="123"/>
      <c r="H1392" s="123"/>
      <c r="I1392" s="124"/>
      <c r="J1392" s="125"/>
      <c r="K1392" s="119"/>
    </row>
    <row r="1393" spans="1:11" ht="15" customHeight="1">
      <c r="A1393" s="119"/>
      <c r="B1393" s="126"/>
      <c r="C1393" s="119"/>
      <c r="D1393" s="119"/>
      <c r="E1393" s="121"/>
      <c r="F1393" s="122"/>
      <c r="G1393" s="123"/>
      <c r="H1393" s="123"/>
      <c r="I1393" s="124"/>
      <c r="J1393" s="125"/>
      <c r="K1393" s="119"/>
    </row>
    <row r="1394" spans="1:11" ht="15" customHeight="1">
      <c r="A1394" s="119"/>
      <c r="B1394" s="126"/>
      <c r="C1394" s="119"/>
      <c r="D1394" s="119"/>
      <c r="E1394" s="121"/>
      <c r="F1394" s="122"/>
      <c r="G1394" s="123"/>
      <c r="H1394" s="123"/>
      <c r="I1394" s="124"/>
      <c r="J1394" s="125"/>
      <c r="K1394" s="119"/>
    </row>
    <row r="1395" spans="1:11" ht="15" customHeight="1">
      <c r="A1395" s="119"/>
      <c r="B1395" s="126"/>
      <c r="C1395" s="119"/>
      <c r="D1395" s="119"/>
      <c r="E1395" s="121"/>
      <c r="F1395" s="122"/>
      <c r="G1395" s="123"/>
      <c r="H1395" s="123"/>
      <c r="I1395" s="124"/>
      <c r="J1395" s="125"/>
      <c r="K1395" s="119"/>
    </row>
    <row r="1396" spans="1:11" ht="15" customHeight="1">
      <c r="A1396" s="119"/>
      <c r="B1396" s="126"/>
      <c r="C1396" s="119"/>
      <c r="D1396" s="119"/>
      <c r="E1396" s="121"/>
      <c r="F1396" s="122"/>
      <c r="G1396" s="123"/>
      <c r="H1396" s="123"/>
      <c r="I1396" s="124"/>
      <c r="J1396" s="125"/>
      <c r="K1396" s="119"/>
    </row>
    <row r="1397" spans="1:11" ht="15" customHeight="1">
      <c r="A1397" s="119"/>
      <c r="B1397" s="126"/>
      <c r="C1397" s="119"/>
      <c r="D1397" s="119"/>
      <c r="E1397" s="121"/>
      <c r="F1397" s="122"/>
      <c r="G1397" s="123"/>
      <c r="H1397" s="123"/>
      <c r="I1397" s="124"/>
      <c r="J1397" s="125"/>
      <c r="K1397" s="119"/>
    </row>
    <row r="1398" spans="1:11" ht="15" customHeight="1">
      <c r="A1398" s="119"/>
      <c r="B1398" s="126"/>
      <c r="C1398" s="119"/>
      <c r="D1398" s="119"/>
      <c r="E1398" s="121"/>
      <c r="F1398" s="122"/>
      <c r="G1398" s="123"/>
      <c r="H1398" s="123"/>
      <c r="I1398" s="124"/>
      <c r="J1398" s="125"/>
      <c r="K1398" s="119"/>
    </row>
    <row r="1399" spans="1:11" ht="15" customHeight="1">
      <c r="A1399" s="119"/>
      <c r="B1399" s="126"/>
      <c r="C1399" s="119"/>
      <c r="D1399" s="119"/>
      <c r="E1399" s="121"/>
      <c r="F1399" s="122"/>
      <c r="G1399" s="123"/>
      <c r="H1399" s="123"/>
      <c r="I1399" s="124"/>
      <c r="J1399" s="125"/>
      <c r="K1399" s="119"/>
    </row>
    <row r="1400" spans="1:11" ht="15" customHeight="1">
      <c r="A1400" s="119"/>
      <c r="B1400" s="126"/>
      <c r="C1400" s="119"/>
      <c r="D1400" s="119"/>
      <c r="E1400" s="121"/>
      <c r="F1400" s="122"/>
      <c r="G1400" s="123"/>
      <c r="H1400" s="123"/>
      <c r="I1400" s="124"/>
      <c r="J1400" s="125"/>
      <c r="K1400" s="119"/>
    </row>
    <row r="1401" spans="1:11" ht="15" customHeight="1">
      <c r="A1401" s="119"/>
      <c r="B1401" s="126"/>
      <c r="C1401" s="119"/>
      <c r="D1401" s="119"/>
      <c r="E1401" s="121"/>
      <c r="F1401" s="122"/>
      <c r="G1401" s="123"/>
      <c r="H1401" s="123"/>
      <c r="I1401" s="124"/>
      <c r="J1401" s="125"/>
      <c r="K1401" s="119"/>
    </row>
    <row r="1402" spans="1:11" ht="15" customHeight="1">
      <c r="A1402" s="119"/>
      <c r="B1402" s="126"/>
      <c r="C1402" s="119"/>
      <c r="D1402" s="119"/>
      <c r="E1402" s="121"/>
      <c r="F1402" s="122"/>
      <c r="G1402" s="123"/>
      <c r="H1402" s="123"/>
      <c r="I1402" s="124"/>
      <c r="J1402" s="125"/>
      <c r="K1402" s="119"/>
    </row>
    <row r="1403" spans="1:11" ht="15" customHeight="1">
      <c r="A1403" s="119"/>
      <c r="B1403" s="126"/>
      <c r="C1403" s="119"/>
      <c r="D1403" s="119"/>
      <c r="E1403" s="121"/>
      <c r="F1403" s="122"/>
      <c r="G1403" s="123"/>
      <c r="H1403" s="123"/>
      <c r="I1403" s="124"/>
      <c r="J1403" s="125"/>
      <c r="K1403" s="119"/>
    </row>
    <row r="1404" spans="1:11" ht="15" customHeight="1">
      <c r="A1404" s="119"/>
      <c r="B1404" s="126"/>
      <c r="C1404" s="119"/>
      <c r="D1404" s="119"/>
      <c r="E1404" s="121"/>
      <c r="F1404" s="122"/>
      <c r="G1404" s="123"/>
      <c r="H1404" s="123"/>
      <c r="I1404" s="124"/>
      <c r="J1404" s="125"/>
      <c r="K1404" s="119"/>
    </row>
    <row r="1405" spans="1:11" ht="15" customHeight="1">
      <c r="A1405" s="119"/>
      <c r="B1405" s="126"/>
      <c r="C1405" s="119"/>
      <c r="D1405" s="119"/>
      <c r="E1405" s="121"/>
      <c r="F1405" s="122"/>
      <c r="G1405" s="123"/>
      <c r="H1405" s="123"/>
      <c r="I1405" s="124"/>
      <c r="J1405" s="125"/>
      <c r="K1405" s="119"/>
    </row>
    <row r="1406" spans="1:11" ht="15" customHeight="1">
      <c r="A1406" s="119"/>
      <c r="B1406" s="126"/>
      <c r="C1406" s="119"/>
      <c r="D1406" s="119"/>
      <c r="E1406" s="121"/>
      <c r="F1406" s="122"/>
      <c r="G1406" s="123"/>
      <c r="H1406" s="123"/>
      <c r="I1406" s="124"/>
      <c r="J1406" s="125"/>
      <c r="K1406" s="119"/>
    </row>
    <row r="1407" spans="1:11" ht="15" customHeight="1">
      <c r="A1407" s="119"/>
      <c r="B1407" s="126"/>
      <c r="C1407" s="119"/>
      <c r="D1407" s="119"/>
      <c r="E1407" s="121"/>
      <c r="F1407" s="122"/>
      <c r="G1407" s="123"/>
      <c r="H1407" s="123"/>
      <c r="I1407" s="124"/>
      <c r="J1407" s="125"/>
      <c r="K1407" s="119"/>
    </row>
    <row r="1408" spans="1:11" ht="15" customHeight="1">
      <c r="A1408" s="119"/>
      <c r="B1408" s="126"/>
      <c r="C1408" s="119"/>
      <c r="D1408" s="119"/>
      <c r="E1408" s="121"/>
      <c r="F1408" s="122"/>
      <c r="G1408" s="123"/>
      <c r="H1408" s="123"/>
      <c r="I1408" s="124"/>
      <c r="J1408" s="125"/>
      <c r="K1408" s="119"/>
    </row>
    <row r="1409" spans="1:11" ht="15" customHeight="1">
      <c r="A1409" s="119"/>
      <c r="B1409" s="126"/>
      <c r="C1409" s="119"/>
      <c r="D1409" s="119"/>
      <c r="E1409" s="121"/>
      <c r="F1409" s="122"/>
      <c r="G1409" s="123"/>
      <c r="H1409" s="123"/>
      <c r="I1409" s="124"/>
      <c r="J1409" s="125"/>
      <c r="K1409" s="119"/>
    </row>
    <row r="1410" spans="1:11" ht="15" customHeight="1">
      <c r="A1410" s="119"/>
      <c r="B1410" s="126"/>
      <c r="C1410" s="119"/>
      <c r="D1410" s="119"/>
      <c r="E1410" s="121"/>
      <c r="F1410" s="122"/>
      <c r="G1410" s="123"/>
      <c r="H1410" s="123"/>
      <c r="I1410" s="124"/>
      <c r="J1410" s="125"/>
      <c r="K1410" s="119"/>
    </row>
    <row r="1411" spans="1:11" ht="15" customHeight="1">
      <c r="A1411" s="119"/>
      <c r="B1411" s="126"/>
      <c r="C1411" s="119"/>
      <c r="D1411" s="119"/>
      <c r="E1411" s="121"/>
      <c r="F1411" s="122"/>
      <c r="G1411" s="123"/>
      <c r="H1411" s="123"/>
      <c r="I1411" s="124"/>
      <c r="J1411" s="125"/>
      <c r="K1411" s="119"/>
    </row>
    <row r="1412" spans="1:11" ht="15" customHeight="1">
      <c r="A1412" s="119"/>
      <c r="B1412" s="126"/>
      <c r="C1412" s="119"/>
      <c r="D1412" s="119"/>
      <c r="E1412" s="121"/>
      <c r="F1412" s="122"/>
      <c r="G1412" s="123"/>
      <c r="H1412" s="123"/>
      <c r="I1412" s="124"/>
      <c r="J1412" s="125"/>
      <c r="K1412" s="119"/>
    </row>
    <row r="1413" spans="1:11" ht="15" customHeight="1">
      <c r="A1413" s="119"/>
      <c r="B1413" s="126"/>
      <c r="C1413" s="119"/>
      <c r="D1413" s="119"/>
      <c r="E1413" s="121"/>
      <c r="F1413" s="122"/>
      <c r="G1413" s="123"/>
      <c r="H1413" s="123"/>
      <c r="I1413" s="124"/>
      <c r="J1413" s="125"/>
      <c r="K1413" s="119"/>
    </row>
    <row r="1414" spans="1:11" ht="15" customHeight="1">
      <c r="A1414" s="119"/>
      <c r="B1414" s="126"/>
      <c r="C1414" s="119"/>
      <c r="D1414" s="119"/>
      <c r="E1414" s="121"/>
      <c r="F1414" s="122"/>
      <c r="G1414" s="123"/>
      <c r="H1414" s="123"/>
      <c r="I1414" s="124"/>
      <c r="J1414" s="125"/>
      <c r="K1414" s="119"/>
    </row>
    <row r="1415" spans="1:11" ht="15" customHeight="1">
      <c r="A1415" s="119"/>
      <c r="B1415" s="126"/>
      <c r="C1415" s="119"/>
      <c r="D1415" s="119"/>
      <c r="E1415" s="121"/>
      <c r="F1415" s="122"/>
      <c r="G1415" s="123"/>
      <c r="H1415" s="123"/>
      <c r="I1415" s="124"/>
      <c r="J1415" s="125"/>
      <c r="K1415" s="119"/>
    </row>
    <row r="1416" spans="1:11" ht="15" customHeight="1">
      <c r="A1416" s="119"/>
      <c r="B1416" s="126"/>
      <c r="C1416" s="119"/>
      <c r="D1416" s="119"/>
      <c r="E1416" s="121"/>
      <c r="F1416" s="122"/>
      <c r="G1416" s="123"/>
      <c r="H1416" s="123"/>
      <c r="I1416" s="124"/>
      <c r="J1416" s="125"/>
      <c r="K1416" s="119"/>
    </row>
    <row r="1417" spans="1:11" ht="15" customHeight="1">
      <c r="A1417" s="119"/>
      <c r="B1417" s="126"/>
      <c r="C1417" s="119"/>
      <c r="D1417" s="119"/>
      <c r="E1417" s="121"/>
      <c r="F1417" s="122"/>
      <c r="G1417" s="123"/>
      <c r="H1417" s="123"/>
      <c r="I1417" s="124"/>
      <c r="J1417" s="125"/>
      <c r="K1417" s="119"/>
    </row>
    <row r="1418" spans="1:11" ht="15" customHeight="1">
      <c r="A1418" s="119"/>
      <c r="B1418" s="126"/>
      <c r="C1418" s="119"/>
      <c r="D1418" s="119"/>
      <c r="E1418" s="121"/>
      <c r="F1418" s="122"/>
      <c r="G1418" s="123"/>
      <c r="H1418" s="123"/>
      <c r="I1418" s="124"/>
      <c r="J1418" s="125"/>
      <c r="K1418" s="119"/>
    </row>
    <row r="1419" spans="1:11" ht="15" customHeight="1">
      <c r="A1419" s="119"/>
      <c r="B1419" s="126"/>
      <c r="C1419" s="119"/>
      <c r="D1419" s="119"/>
      <c r="E1419" s="121"/>
      <c r="F1419" s="122"/>
      <c r="G1419" s="123"/>
      <c r="H1419" s="123"/>
      <c r="I1419" s="124"/>
      <c r="J1419" s="125"/>
      <c r="K1419" s="119"/>
    </row>
    <row r="1420" spans="1:11" ht="15" customHeight="1">
      <c r="A1420" s="119"/>
      <c r="B1420" s="126"/>
      <c r="C1420" s="119"/>
      <c r="D1420" s="119"/>
      <c r="E1420" s="121"/>
      <c r="F1420" s="122"/>
      <c r="G1420" s="123"/>
      <c r="H1420" s="123"/>
      <c r="I1420" s="124"/>
      <c r="J1420" s="125"/>
      <c r="K1420" s="119"/>
    </row>
    <row r="1421" spans="1:11" ht="15" customHeight="1">
      <c r="A1421" s="119"/>
      <c r="B1421" s="126"/>
      <c r="C1421" s="119"/>
      <c r="D1421" s="119"/>
      <c r="E1421" s="121"/>
      <c r="F1421" s="122"/>
      <c r="G1421" s="123"/>
      <c r="H1421" s="123"/>
      <c r="I1421" s="124"/>
      <c r="J1421" s="125"/>
      <c r="K1421" s="119"/>
    </row>
    <row r="1422" spans="1:11" ht="15" customHeight="1">
      <c r="A1422" s="119"/>
      <c r="B1422" s="126"/>
      <c r="C1422" s="119"/>
      <c r="D1422" s="119"/>
      <c r="E1422" s="121"/>
      <c r="F1422" s="122"/>
      <c r="G1422" s="123"/>
      <c r="H1422" s="123"/>
      <c r="I1422" s="124"/>
      <c r="J1422" s="125"/>
      <c r="K1422" s="119"/>
    </row>
    <row r="1423" spans="1:11" ht="15" customHeight="1">
      <c r="A1423" s="119"/>
      <c r="B1423" s="126"/>
      <c r="C1423" s="119"/>
      <c r="D1423" s="119"/>
      <c r="E1423" s="121"/>
      <c r="F1423" s="122"/>
      <c r="G1423" s="123"/>
      <c r="H1423" s="123"/>
      <c r="I1423" s="124"/>
      <c r="J1423" s="125"/>
      <c r="K1423" s="119"/>
    </row>
    <row r="1424" spans="1:11" ht="15" customHeight="1">
      <c r="A1424" s="119"/>
      <c r="B1424" s="126"/>
      <c r="C1424" s="119"/>
      <c r="D1424" s="119"/>
      <c r="E1424" s="121"/>
      <c r="F1424" s="122"/>
      <c r="G1424" s="123"/>
      <c r="H1424" s="123"/>
      <c r="I1424" s="124"/>
      <c r="J1424" s="125"/>
      <c r="K1424" s="119"/>
    </row>
    <row r="1425" spans="1:11" ht="15" customHeight="1">
      <c r="A1425" s="119"/>
      <c r="B1425" s="126"/>
      <c r="C1425" s="119"/>
      <c r="D1425" s="119"/>
      <c r="E1425" s="121"/>
      <c r="F1425" s="122"/>
      <c r="G1425" s="123"/>
      <c r="H1425" s="123"/>
      <c r="I1425" s="124"/>
      <c r="J1425" s="125"/>
      <c r="K1425" s="119"/>
    </row>
    <row r="1426" spans="1:11" ht="15" customHeight="1">
      <c r="A1426" s="119"/>
      <c r="B1426" s="126"/>
      <c r="C1426" s="119"/>
      <c r="D1426" s="119"/>
      <c r="E1426" s="121"/>
      <c r="F1426" s="122"/>
      <c r="G1426" s="123"/>
      <c r="H1426" s="123"/>
      <c r="I1426" s="124"/>
      <c r="J1426" s="125"/>
      <c r="K1426" s="119"/>
    </row>
    <row r="1427" spans="1:11" ht="15" customHeight="1">
      <c r="A1427" s="119"/>
      <c r="B1427" s="126"/>
      <c r="C1427" s="119"/>
      <c r="D1427" s="119"/>
      <c r="E1427" s="121"/>
      <c r="F1427" s="122"/>
      <c r="G1427" s="123"/>
      <c r="H1427" s="123"/>
      <c r="I1427" s="124"/>
      <c r="J1427" s="125"/>
      <c r="K1427" s="119"/>
    </row>
    <row r="1428" spans="1:11" ht="15" customHeight="1">
      <c r="A1428" s="119"/>
      <c r="B1428" s="126"/>
      <c r="C1428" s="119"/>
      <c r="D1428" s="119"/>
      <c r="E1428" s="121"/>
      <c r="F1428" s="122"/>
      <c r="G1428" s="123"/>
      <c r="H1428" s="123"/>
      <c r="I1428" s="124"/>
      <c r="J1428" s="125"/>
      <c r="K1428" s="119"/>
    </row>
    <row r="1429" spans="1:11" ht="15" customHeight="1">
      <c r="A1429" s="119"/>
      <c r="B1429" s="126"/>
      <c r="C1429" s="119"/>
      <c r="D1429" s="119"/>
      <c r="E1429" s="121"/>
      <c r="F1429" s="122"/>
      <c r="G1429" s="123"/>
      <c r="H1429" s="123"/>
      <c r="I1429" s="124"/>
      <c r="J1429" s="125"/>
      <c r="K1429" s="119"/>
    </row>
    <row r="1430" spans="1:11" ht="15" customHeight="1">
      <c r="A1430" s="119"/>
      <c r="B1430" s="126"/>
      <c r="C1430" s="119"/>
      <c r="D1430" s="119"/>
      <c r="E1430" s="121"/>
      <c r="F1430" s="122"/>
      <c r="G1430" s="123"/>
      <c r="H1430" s="123"/>
      <c r="I1430" s="124"/>
      <c r="J1430" s="125"/>
      <c r="K1430" s="119"/>
    </row>
    <row r="1431" spans="1:11" ht="15" customHeight="1">
      <c r="A1431" s="119"/>
      <c r="B1431" s="126"/>
      <c r="C1431" s="119"/>
      <c r="D1431" s="119"/>
      <c r="E1431" s="121"/>
      <c r="F1431" s="122"/>
      <c r="G1431" s="123"/>
      <c r="H1431" s="123"/>
      <c r="I1431" s="124"/>
      <c r="J1431" s="125"/>
      <c r="K1431" s="119"/>
    </row>
    <row r="1432" spans="1:11" ht="15" customHeight="1">
      <c r="A1432" s="119"/>
      <c r="B1432" s="126"/>
      <c r="C1432" s="119"/>
      <c r="D1432" s="119"/>
      <c r="E1432" s="121"/>
      <c r="F1432" s="122"/>
      <c r="G1432" s="123"/>
      <c r="H1432" s="123"/>
      <c r="I1432" s="124"/>
      <c r="J1432" s="125"/>
      <c r="K1432" s="119"/>
    </row>
    <row r="1433" spans="1:11" ht="15" customHeight="1">
      <c r="A1433" s="119"/>
      <c r="B1433" s="126"/>
      <c r="C1433" s="119"/>
      <c r="D1433" s="119"/>
      <c r="E1433" s="121"/>
      <c r="F1433" s="122"/>
      <c r="G1433" s="123"/>
      <c r="H1433" s="123"/>
      <c r="I1433" s="124"/>
      <c r="J1433" s="125"/>
      <c r="K1433" s="119"/>
    </row>
    <row r="1434" spans="1:11" ht="15" customHeight="1">
      <c r="A1434" s="119"/>
      <c r="B1434" s="126"/>
      <c r="C1434" s="119"/>
      <c r="D1434" s="119"/>
      <c r="E1434" s="121"/>
      <c r="F1434" s="122"/>
      <c r="G1434" s="123"/>
      <c r="H1434" s="123"/>
      <c r="I1434" s="124"/>
      <c r="J1434" s="125"/>
      <c r="K1434" s="119"/>
    </row>
    <row r="1435" spans="1:11" ht="15" customHeight="1">
      <c r="A1435" s="119"/>
      <c r="B1435" s="126"/>
      <c r="C1435" s="119"/>
      <c r="D1435" s="119"/>
      <c r="E1435" s="121"/>
      <c r="F1435" s="122"/>
      <c r="G1435" s="123"/>
      <c r="H1435" s="123"/>
      <c r="I1435" s="124"/>
      <c r="J1435" s="125"/>
      <c r="K1435" s="119"/>
    </row>
    <row r="1436" spans="1:11" ht="15" customHeight="1">
      <c r="A1436" s="119"/>
      <c r="B1436" s="126"/>
      <c r="C1436" s="119"/>
      <c r="D1436" s="119"/>
      <c r="E1436" s="121"/>
      <c r="F1436" s="122"/>
      <c r="G1436" s="123"/>
      <c r="H1436" s="123"/>
      <c r="I1436" s="124"/>
      <c r="J1436" s="125"/>
      <c r="K1436" s="119"/>
    </row>
    <row r="1437" spans="1:11" ht="15" customHeight="1">
      <c r="A1437" s="119"/>
      <c r="B1437" s="126"/>
      <c r="C1437" s="119"/>
      <c r="D1437" s="119"/>
      <c r="E1437" s="121"/>
      <c r="F1437" s="122"/>
      <c r="G1437" s="123"/>
      <c r="H1437" s="123"/>
      <c r="I1437" s="124"/>
      <c r="J1437" s="125"/>
      <c r="K1437" s="119"/>
    </row>
    <row r="1438" spans="1:11" ht="15" customHeight="1">
      <c r="A1438" s="119"/>
      <c r="B1438" s="126"/>
      <c r="C1438" s="119"/>
      <c r="D1438" s="119"/>
      <c r="E1438" s="121"/>
      <c r="F1438" s="122"/>
      <c r="G1438" s="123"/>
      <c r="H1438" s="123"/>
      <c r="I1438" s="124"/>
      <c r="J1438" s="125"/>
      <c r="K1438" s="119"/>
    </row>
    <row r="1439" spans="1:11" ht="15" customHeight="1">
      <c r="A1439" s="119"/>
      <c r="B1439" s="126"/>
      <c r="C1439" s="119"/>
      <c r="D1439" s="119"/>
      <c r="E1439" s="121"/>
      <c r="F1439" s="122"/>
      <c r="G1439" s="123"/>
      <c r="H1439" s="123"/>
      <c r="I1439" s="124"/>
      <c r="J1439" s="125"/>
      <c r="K1439" s="119"/>
    </row>
    <row r="1440" spans="1:11" ht="15" customHeight="1">
      <c r="A1440" s="119"/>
      <c r="B1440" s="126"/>
      <c r="C1440" s="119"/>
      <c r="D1440" s="119"/>
      <c r="E1440" s="121"/>
      <c r="F1440" s="122"/>
      <c r="G1440" s="123"/>
      <c r="H1440" s="123"/>
      <c r="I1440" s="124"/>
      <c r="J1440" s="125"/>
      <c r="K1440" s="119"/>
    </row>
    <row r="1441" spans="1:11" ht="15" customHeight="1">
      <c r="A1441" s="119"/>
      <c r="B1441" s="126"/>
      <c r="C1441" s="119"/>
      <c r="D1441" s="119"/>
      <c r="E1441" s="121"/>
      <c r="F1441" s="122"/>
      <c r="G1441" s="123"/>
      <c r="H1441" s="123"/>
      <c r="I1441" s="124"/>
      <c r="J1441" s="125"/>
      <c r="K1441" s="119"/>
    </row>
    <row r="1442" spans="1:11" ht="15" customHeight="1">
      <c r="A1442" s="119"/>
      <c r="B1442" s="126"/>
      <c r="C1442" s="119"/>
      <c r="D1442" s="119"/>
      <c r="E1442" s="121"/>
      <c r="F1442" s="122"/>
      <c r="G1442" s="123"/>
      <c r="H1442" s="123"/>
      <c r="I1442" s="124"/>
      <c r="J1442" s="125"/>
      <c r="K1442" s="119"/>
    </row>
    <row r="1443" spans="1:11" ht="15" customHeight="1">
      <c r="A1443" s="119"/>
      <c r="B1443" s="126"/>
      <c r="C1443" s="119"/>
      <c r="D1443" s="119"/>
      <c r="E1443" s="121"/>
      <c r="F1443" s="122"/>
      <c r="G1443" s="123"/>
      <c r="H1443" s="123"/>
      <c r="I1443" s="124"/>
      <c r="J1443" s="125"/>
      <c r="K1443" s="119"/>
    </row>
    <row r="1444" spans="1:11" ht="15" customHeight="1">
      <c r="A1444" s="119"/>
      <c r="B1444" s="126"/>
      <c r="C1444" s="119"/>
      <c r="D1444" s="119"/>
      <c r="E1444" s="121"/>
      <c r="F1444" s="122"/>
      <c r="G1444" s="123"/>
      <c r="H1444" s="123"/>
      <c r="I1444" s="124"/>
      <c r="J1444" s="125"/>
      <c r="K1444" s="119"/>
    </row>
    <row r="1445" spans="1:11" ht="15" customHeight="1">
      <c r="A1445" s="119"/>
      <c r="B1445" s="126"/>
      <c r="C1445" s="119"/>
      <c r="D1445" s="119"/>
      <c r="E1445" s="121"/>
      <c r="F1445" s="122"/>
      <c r="G1445" s="123"/>
      <c r="H1445" s="123"/>
      <c r="I1445" s="124"/>
      <c r="J1445" s="125"/>
      <c r="K1445" s="119"/>
    </row>
    <row r="1446" spans="1:11" ht="15" customHeight="1">
      <c r="A1446" s="119"/>
      <c r="B1446" s="126"/>
      <c r="C1446" s="119"/>
      <c r="D1446" s="119"/>
      <c r="E1446" s="121"/>
      <c r="F1446" s="122"/>
      <c r="G1446" s="123"/>
      <c r="H1446" s="123"/>
      <c r="I1446" s="124"/>
      <c r="J1446" s="125"/>
      <c r="K1446" s="119"/>
    </row>
    <row r="1447" spans="1:11" ht="15" customHeight="1">
      <c r="A1447" s="119"/>
      <c r="B1447" s="126"/>
      <c r="C1447" s="119"/>
      <c r="D1447" s="119"/>
      <c r="E1447" s="121"/>
      <c r="F1447" s="122"/>
      <c r="G1447" s="123"/>
      <c r="H1447" s="123"/>
      <c r="I1447" s="124"/>
      <c r="J1447" s="125"/>
      <c r="K1447" s="119"/>
    </row>
    <row r="1448" spans="1:11" ht="15" customHeight="1">
      <c r="A1448" s="119"/>
      <c r="B1448" s="126"/>
      <c r="C1448" s="119"/>
      <c r="D1448" s="119"/>
      <c r="E1448" s="121"/>
      <c r="F1448" s="122"/>
      <c r="G1448" s="123"/>
      <c r="H1448" s="123"/>
      <c r="I1448" s="124"/>
      <c r="J1448" s="125"/>
      <c r="K1448" s="119"/>
    </row>
    <row r="1449" spans="1:11" ht="15" customHeight="1">
      <c r="A1449" s="119"/>
      <c r="B1449" s="126"/>
      <c r="C1449" s="119"/>
      <c r="D1449" s="119"/>
      <c r="E1449" s="121"/>
      <c r="F1449" s="122"/>
      <c r="G1449" s="123"/>
      <c r="H1449" s="123"/>
      <c r="I1449" s="124"/>
      <c r="J1449" s="125"/>
      <c r="K1449" s="119"/>
    </row>
    <row r="1450" spans="1:11" ht="15" customHeight="1">
      <c r="A1450" s="119"/>
      <c r="B1450" s="126"/>
      <c r="C1450" s="119"/>
      <c r="D1450" s="119"/>
      <c r="E1450" s="121"/>
      <c r="F1450" s="122"/>
      <c r="G1450" s="123"/>
      <c r="H1450" s="123"/>
      <c r="I1450" s="124"/>
      <c r="J1450" s="125"/>
      <c r="K1450" s="119"/>
    </row>
    <row r="1451" spans="1:11" ht="15" customHeight="1">
      <c r="A1451" s="119"/>
      <c r="B1451" s="126"/>
      <c r="C1451" s="119"/>
      <c r="D1451" s="119"/>
      <c r="E1451" s="121"/>
      <c r="F1451" s="122"/>
      <c r="G1451" s="123"/>
      <c r="H1451" s="123"/>
      <c r="I1451" s="124"/>
      <c r="J1451" s="125"/>
      <c r="K1451" s="119"/>
    </row>
    <row r="1452" spans="1:11" ht="15" customHeight="1">
      <c r="A1452" s="119"/>
      <c r="B1452" s="126"/>
      <c r="C1452" s="119"/>
      <c r="D1452" s="119"/>
      <c r="E1452" s="121"/>
      <c r="F1452" s="122"/>
      <c r="G1452" s="123"/>
      <c r="H1452" s="123"/>
      <c r="I1452" s="124"/>
      <c r="J1452" s="125"/>
      <c r="K1452" s="119"/>
    </row>
    <row r="1453" spans="1:11" ht="15" customHeight="1">
      <c r="A1453" s="119"/>
      <c r="B1453" s="126"/>
      <c r="C1453" s="119"/>
      <c r="D1453" s="119"/>
      <c r="E1453" s="121"/>
      <c r="F1453" s="122"/>
      <c r="G1453" s="123"/>
      <c r="H1453" s="123"/>
      <c r="I1453" s="124"/>
      <c r="J1453" s="125"/>
      <c r="K1453" s="119"/>
    </row>
    <row r="1454" spans="1:11" ht="15" customHeight="1">
      <c r="A1454" s="119"/>
      <c r="B1454" s="126"/>
      <c r="C1454" s="119"/>
      <c r="D1454" s="119"/>
      <c r="E1454" s="121"/>
      <c r="F1454" s="122"/>
      <c r="G1454" s="123"/>
      <c r="H1454" s="123"/>
      <c r="I1454" s="124"/>
      <c r="J1454" s="125"/>
      <c r="K1454" s="119"/>
    </row>
    <row r="1455" spans="1:11" ht="15" customHeight="1">
      <c r="A1455" s="119"/>
      <c r="B1455" s="126"/>
      <c r="C1455" s="119"/>
      <c r="D1455" s="119"/>
      <c r="E1455" s="121"/>
      <c r="F1455" s="122"/>
      <c r="G1455" s="123"/>
      <c r="H1455" s="123"/>
      <c r="I1455" s="124"/>
      <c r="J1455" s="125"/>
      <c r="K1455" s="119"/>
    </row>
    <row r="1456" spans="1:11" ht="15" customHeight="1">
      <c r="A1456" s="119"/>
      <c r="B1456" s="126"/>
      <c r="C1456" s="119"/>
      <c r="D1456" s="119"/>
      <c r="E1456" s="121"/>
      <c r="F1456" s="122"/>
      <c r="G1456" s="123"/>
      <c r="H1456" s="123"/>
      <c r="I1456" s="124"/>
      <c r="J1456" s="125"/>
      <c r="K1456" s="119"/>
    </row>
    <row r="1457" spans="1:11" ht="15" customHeight="1">
      <c r="A1457" s="119"/>
      <c r="B1457" s="126"/>
      <c r="C1457" s="119"/>
      <c r="D1457" s="119"/>
      <c r="E1457" s="121"/>
      <c r="F1457" s="122"/>
      <c r="G1457" s="123"/>
      <c r="H1457" s="123"/>
      <c r="I1457" s="124"/>
      <c r="J1457" s="125"/>
      <c r="K1457" s="119"/>
    </row>
    <row r="1458" spans="1:11" ht="15" customHeight="1">
      <c r="A1458" s="119"/>
      <c r="B1458" s="126"/>
      <c r="C1458" s="119"/>
      <c r="D1458" s="119"/>
      <c r="E1458" s="121"/>
      <c r="F1458" s="122"/>
      <c r="G1458" s="123"/>
      <c r="H1458" s="123"/>
      <c r="I1458" s="124"/>
      <c r="J1458" s="125"/>
      <c r="K1458" s="119"/>
    </row>
    <row r="1459" spans="1:11" ht="15" customHeight="1">
      <c r="A1459" s="119"/>
      <c r="B1459" s="126"/>
      <c r="C1459" s="119"/>
      <c r="D1459" s="119"/>
      <c r="E1459" s="121"/>
      <c r="F1459" s="122"/>
      <c r="G1459" s="123"/>
      <c r="H1459" s="123"/>
      <c r="I1459" s="124"/>
      <c r="J1459" s="125"/>
      <c r="K1459" s="119"/>
    </row>
    <row r="1460" spans="1:11" ht="15" customHeight="1">
      <c r="A1460" s="119"/>
      <c r="B1460" s="126"/>
      <c r="C1460" s="119"/>
      <c r="D1460" s="119"/>
      <c r="E1460" s="121"/>
      <c r="F1460" s="122"/>
      <c r="G1460" s="123"/>
      <c r="H1460" s="123"/>
      <c r="I1460" s="124"/>
      <c r="J1460" s="125"/>
      <c r="K1460" s="119"/>
    </row>
    <row r="1461" spans="1:11" ht="15" customHeight="1">
      <c r="A1461" s="119"/>
      <c r="B1461" s="126"/>
      <c r="C1461" s="119"/>
      <c r="D1461" s="119"/>
      <c r="E1461" s="121"/>
      <c r="F1461" s="122"/>
      <c r="G1461" s="123"/>
      <c r="H1461" s="123"/>
      <c r="I1461" s="124"/>
      <c r="J1461" s="125"/>
      <c r="K1461" s="119"/>
    </row>
    <row r="1462" spans="1:11" ht="15" customHeight="1">
      <c r="A1462" s="119"/>
      <c r="B1462" s="126"/>
      <c r="C1462" s="119"/>
      <c r="D1462" s="119"/>
      <c r="E1462" s="121"/>
      <c r="F1462" s="122"/>
      <c r="G1462" s="123"/>
      <c r="H1462" s="123"/>
      <c r="I1462" s="124"/>
      <c r="J1462" s="125"/>
      <c r="K1462" s="119"/>
    </row>
    <row r="1463" spans="1:11" ht="15" customHeight="1">
      <c r="A1463" s="119"/>
      <c r="B1463" s="126"/>
      <c r="C1463" s="119"/>
      <c r="D1463" s="119"/>
      <c r="E1463" s="121"/>
      <c r="F1463" s="122"/>
      <c r="G1463" s="123"/>
      <c r="H1463" s="123"/>
      <c r="I1463" s="124"/>
      <c r="J1463" s="125"/>
      <c r="K1463" s="119"/>
    </row>
    <row r="1464" spans="1:11" ht="15" customHeight="1">
      <c r="A1464" s="119"/>
      <c r="B1464" s="126"/>
      <c r="C1464" s="119"/>
      <c r="D1464" s="119"/>
      <c r="E1464" s="121"/>
      <c r="F1464" s="122"/>
      <c r="G1464" s="123"/>
      <c r="H1464" s="123"/>
      <c r="I1464" s="124"/>
      <c r="J1464" s="125"/>
      <c r="K1464" s="119"/>
    </row>
    <row r="1465" spans="1:11" ht="15" customHeight="1">
      <c r="A1465" s="119"/>
      <c r="B1465" s="126"/>
      <c r="C1465" s="119"/>
      <c r="D1465" s="119"/>
      <c r="E1465" s="121"/>
      <c r="F1465" s="122"/>
      <c r="G1465" s="123"/>
      <c r="H1465" s="123"/>
      <c r="I1465" s="124"/>
      <c r="J1465" s="125"/>
      <c r="K1465" s="119"/>
    </row>
    <row r="1466" spans="1:11" ht="15" customHeight="1">
      <c r="A1466" s="119"/>
      <c r="B1466" s="126"/>
      <c r="C1466" s="119"/>
      <c r="D1466" s="119"/>
      <c r="E1466" s="121"/>
      <c r="F1466" s="122"/>
      <c r="G1466" s="123"/>
      <c r="H1466" s="123"/>
      <c r="I1466" s="124"/>
      <c r="J1466" s="125"/>
      <c r="K1466" s="119"/>
    </row>
    <row r="1467" spans="1:11" ht="15" customHeight="1">
      <c r="A1467" s="119"/>
      <c r="B1467" s="126"/>
      <c r="C1467" s="119"/>
      <c r="D1467" s="119"/>
      <c r="E1467" s="121"/>
      <c r="F1467" s="122"/>
      <c r="G1467" s="123"/>
      <c r="H1467" s="123"/>
      <c r="I1467" s="124"/>
      <c r="J1467" s="125"/>
      <c r="K1467" s="119"/>
    </row>
    <row r="1468" spans="1:11" ht="15" customHeight="1">
      <c r="A1468" s="119"/>
      <c r="B1468" s="126"/>
      <c r="C1468" s="119"/>
      <c r="D1468" s="119"/>
      <c r="E1468" s="121"/>
      <c r="F1468" s="122"/>
      <c r="G1468" s="123"/>
      <c r="H1468" s="123"/>
      <c r="I1468" s="124"/>
      <c r="J1468" s="125"/>
      <c r="K1468" s="119"/>
    </row>
    <row r="1469" spans="1:11" ht="15" customHeight="1">
      <c r="A1469" s="119"/>
      <c r="B1469" s="126"/>
      <c r="C1469" s="119"/>
      <c r="D1469" s="119"/>
      <c r="E1469" s="121"/>
      <c r="F1469" s="122"/>
      <c r="G1469" s="123"/>
      <c r="H1469" s="123"/>
      <c r="I1469" s="124"/>
      <c r="J1469" s="125"/>
      <c r="K1469" s="119"/>
    </row>
    <row r="1470" spans="1:11" ht="15" customHeight="1">
      <c r="A1470" s="119"/>
      <c r="B1470" s="126"/>
      <c r="C1470" s="119"/>
      <c r="D1470" s="119"/>
      <c r="E1470" s="121"/>
      <c r="F1470" s="122"/>
      <c r="G1470" s="123"/>
      <c r="H1470" s="123"/>
      <c r="I1470" s="124"/>
      <c r="J1470" s="125"/>
      <c r="K1470" s="119"/>
    </row>
    <row r="1471" spans="1:11" ht="15" customHeight="1">
      <c r="A1471" s="119"/>
      <c r="B1471" s="126"/>
      <c r="C1471" s="119"/>
      <c r="D1471" s="119"/>
      <c r="E1471" s="121"/>
      <c r="F1471" s="122"/>
      <c r="G1471" s="123"/>
      <c r="H1471" s="123"/>
      <c r="I1471" s="124"/>
      <c r="J1471" s="125"/>
      <c r="K1471" s="119"/>
    </row>
    <row r="1472" spans="1:11" ht="15" customHeight="1">
      <c r="A1472" s="119"/>
      <c r="B1472" s="126"/>
      <c r="C1472" s="119"/>
      <c r="D1472" s="119"/>
      <c r="E1472" s="121"/>
      <c r="F1472" s="122"/>
      <c r="G1472" s="123"/>
      <c r="H1472" s="123"/>
      <c r="I1472" s="124"/>
      <c r="J1472" s="125"/>
      <c r="K1472" s="119"/>
    </row>
    <row r="1473" spans="1:11" ht="15" customHeight="1">
      <c r="A1473" s="119"/>
      <c r="B1473" s="126"/>
      <c r="C1473" s="119"/>
      <c r="D1473" s="119"/>
      <c r="E1473" s="121"/>
      <c r="F1473" s="122"/>
      <c r="G1473" s="123"/>
      <c r="H1473" s="123"/>
      <c r="I1473" s="124"/>
      <c r="J1473" s="125"/>
      <c r="K1473" s="119"/>
    </row>
    <row r="1474" spans="1:11" ht="15" customHeight="1">
      <c r="A1474" s="119"/>
      <c r="B1474" s="126"/>
      <c r="C1474" s="119"/>
      <c r="D1474" s="119"/>
      <c r="E1474" s="121"/>
      <c r="F1474" s="122"/>
      <c r="G1474" s="123"/>
      <c r="H1474" s="123"/>
      <c r="I1474" s="124"/>
      <c r="J1474" s="125"/>
      <c r="K1474" s="119"/>
    </row>
    <row r="1475" spans="1:11" ht="15" customHeight="1">
      <c r="A1475" s="119"/>
      <c r="B1475" s="126"/>
      <c r="C1475" s="119"/>
      <c r="D1475" s="119"/>
      <c r="E1475" s="121"/>
      <c r="F1475" s="122"/>
      <c r="G1475" s="123"/>
      <c r="H1475" s="123"/>
      <c r="I1475" s="124"/>
      <c r="J1475" s="125"/>
      <c r="K1475" s="119"/>
    </row>
    <row r="1476" spans="1:11" ht="15" customHeight="1">
      <c r="A1476" s="119"/>
      <c r="B1476" s="126"/>
      <c r="C1476" s="119"/>
      <c r="D1476" s="119"/>
      <c r="E1476" s="121"/>
      <c r="F1476" s="122"/>
      <c r="G1476" s="123"/>
      <c r="H1476" s="123"/>
      <c r="I1476" s="124"/>
      <c r="J1476" s="125"/>
      <c r="K1476" s="119"/>
    </row>
    <row r="1477" spans="1:11" ht="15" customHeight="1">
      <c r="A1477" s="119"/>
      <c r="B1477" s="126"/>
      <c r="C1477" s="119"/>
      <c r="D1477" s="119"/>
      <c r="E1477" s="121"/>
      <c r="F1477" s="122"/>
      <c r="G1477" s="123"/>
      <c r="H1477" s="123"/>
      <c r="I1477" s="124"/>
      <c r="J1477" s="125"/>
      <c r="K1477" s="119"/>
    </row>
    <row r="1478" spans="1:11" ht="15" customHeight="1">
      <c r="A1478" s="119"/>
      <c r="B1478" s="126"/>
      <c r="C1478" s="119"/>
      <c r="D1478" s="119"/>
      <c r="E1478" s="121"/>
      <c r="F1478" s="122"/>
      <c r="G1478" s="123"/>
      <c r="H1478" s="123"/>
      <c r="I1478" s="124"/>
      <c r="J1478" s="125"/>
      <c r="K1478" s="119"/>
    </row>
    <row r="1479" spans="1:11" ht="15" customHeight="1">
      <c r="A1479" s="119"/>
      <c r="B1479" s="126"/>
      <c r="C1479" s="119"/>
      <c r="D1479" s="119"/>
      <c r="E1479" s="121"/>
      <c r="F1479" s="122"/>
      <c r="G1479" s="123"/>
      <c r="H1479" s="123"/>
      <c r="I1479" s="124"/>
      <c r="J1479" s="125"/>
      <c r="K1479" s="119"/>
    </row>
    <row r="1480" spans="1:11" ht="15" customHeight="1">
      <c r="A1480" s="119"/>
      <c r="B1480" s="126"/>
      <c r="C1480" s="119"/>
      <c r="D1480" s="119"/>
      <c r="E1480" s="121"/>
      <c r="F1480" s="122"/>
      <c r="G1480" s="123"/>
      <c r="H1480" s="123"/>
      <c r="I1480" s="124"/>
      <c r="J1480" s="125"/>
      <c r="K1480" s="119"/>
    </row>
    <row r="1481" spans="1:11" ht="15" customHeight="1">
      <c r="A1481" s="119"/>
      <c r="B1481" s="126"/>
      <c r="C1481" s="119"/>
      <c r="D1481" s="119"/>
      <c r="E1481" s="121"/>
      <c r="F1481" s="122"/>
      <c r="G1481" s="123"/>
      <c r="H1481" s="123"/>
      <c r="I1481" s="124"/>
      <c r="J1481" s="125"/>
      <c r="K1481" s="119"/>
    </row>
    <row r="1482" spans="1:11" ht="15" customHeight="1">
      <c r="A1482" s="119"/>
      <c r="B1482" s="126"/>
      <c r="C1482" s="119"/>
      <c r="D1482" s="119"/>
      <c r="E1482" s="121"/>
      <c r="F1482" s="122"/>
      <c r="G1482" s="123"/>
      <c r="H1482" s="123"/>
      <c r="I1482" s="124"/>
      <c r="J1482" s="125"/>
      <c r="K1482" s="119"/>
    </row>
    <row r="1483" spans="1:11" ht="15" customHeight="1">
      <c r="A1483" s="119"/>
      <c r="B1483" s="126"/>
      <c r="C1483" s="119"/>
      <c r="D1483" s="119"/>
      <c r="E1483" s="121"/>
      <c r="F1483" s="122"/>
      <c r="G1483" s="123"/>
      <c r="H1483" s="123"/>
      <c r="I1483" s="124"/>
      <c r="J1483" s="125"/>
      <c r="K1483" s="119"/>
    </row>
    <row r="1484" spans="1:11" ht="15" customHeight="1">
      <c r="A1484" s="119"/>
      <c r="B1484" s="126"/>
      <c r="C1484" s="119"/>
      <c r="D1484" s="119"/>
      <c r="E1484" s="121"/>
      <c r="F1484" s="122"/>
      <c r="G1484" s="123"/>
      <c r="H1484" s="123"/>
      <c r="I1484" s="124"/>
      <c r="J1484" s="125"/>
      <c r="K1484" s="119"/>
    </row>
    <row r="1485" spans="1:11" ht="15" customHeight="1">
      <c r="A1485" s="119"/>
      <c r="B1485" s="126"/>
      <c r="C1485" s="119"/>
      <c r="D1485" s="119"/>
      <c r="E1485" s="121"/>
      <c r="F1485" s="122"/>
      <c r="G1485" s="123"/>
      <c r="H1485" s="123"/>
      <c r="I1485" s="124"/>
      <c r="J1485" s="125"/>
      <c r="K1485" s="119"/>
    </row>
    <row r="1486" spans="1:11" ht="15" customHeight="1">
      <c r="A1486" s="119"/>
      <c r="B1486" s="126"/>
      <c r="C1486" s="119"/>
      <c r="D1486" s="119"/>
      <c r="E1486" s="121"/>
      <c r="F1486" s="122"/>
      <c r="G1486" s="123"/>
      <c r="H1486" s="123"/>
      <c r="I1486" s="124"/>
      <c r="J1486" s="125"/>
      <c r="K1486" s="119"/>
    </row>
    <row r="1487" spans="1:11" ht="15" customHeight="1">
      <c r="A1487" s="119"/>
      <c r="B1487" s="126"/>
      <c r="C1487" s="119"/>
      <c r="D1487" s="119"/>
      <c r="E1487" s="121"/>
      <c r="F1487" s="122"/>
      <c r="G1487" s="123"/>
      <c r="H1487" s="123"/>
      <c r="I1487" s="124"/>
      <c r="J1487" s="125"/>
      <c r="K1487" s="119"/>
    </row>
    <row r="1488" spans="1:11" ht="15" customHeight="1">
      <c r="A1488" s="119"/>
      <c r="B1488" s="126"/>
      <c r="C1488" s="119"/>
      <c r="D1488" s="119"/>
      <c r="E1488" s="121"/>
      <c r="F1488" s="122"/>
      <c r="G1488" s="123"/>
      <c r="H1488" s="123"/>
      <c r="I1488" s="124"/>
      <c r="J1488" s="125"/>
      <c r="K1488" s="119"/>
    </row>
    <row r="1489" spans="1:11" ht="15" customHeight="1">
      <c r="A1489" s="119"/>
      <c r="B1489" s="126"/>
      <c r="C1489" s="119"/>
      <c r="D1489" s="119"/>
      <c r="E1489" s="121"/>
      <c r="F1489" s="122"/>
      <c r="G1489" s="123"/>
      <c r="H1489" s="123"/>
      <c r="I1489" s="124"/>
      <c r="J1489" s="125"/>
      <c r="K1489" s="119"/>
    </row>
    <row r="1490" spans="1:11" ht="15" customHeight="1">
      <c r="A1490" s="119"/>
      <c r="B1490" s="126"/>
      <c r="C1490" s="119"/>
      <c r="D1490" s="119"/>
      <c r="E1490" s="121"/>
      <c r="F1490" s="122"/>
      <c r="G1490" s="123"/>
      <c r="H1490" s="123"/>
      <c r="I1490" s="124"/>
      <c r="J1490" s="125"/>
      <c r="K1490" s="119"/>
    </row>
    <row r="1491" spans="1:11" ht="15" customHeight="1">
      <c r="A1491" s="119"/>
      <c r="B1491" s="126"/>
      <c r="C1491" s="119"/>
      <c r="D1491" s="119"/>
      <c r="E1491" s="121"/>
      <c r="F1491" s="122"/>
      <c r="G1491" s="123"/>
      <c r="H1491" s="123"/>
      <c r="I1491" s="124"/>
      <c r="J1491" s="125"/>
      <c r="K1491" s="119"/>
    </row>
    <row r="1492" spans="1:11" ht="15" customHeight="1">
      <c r="A1492" s="119"/>
      <c r="B1492" s="126"/>
      <c r="C1492" s="119"/>
      <c r="D1492" s="119"/>
      <c r="E1492" s="121"/>
      <c r="F1492" s="122"/>
      <c r="G1492" s="123"/>
      <c r="H1492" s="123"/>
      <c r="I1492" s="124"/>
      <c r="J1492" s="125"/>
      <c r="K1492" s="119"/>
    </row>
    <row r="1493" spans="1:11" ht="15" customHeight="1">
      <c r="A1493" s="119"/>
      <c r="B1493" s="126"/>
      <c r="C1493" s="119"/>
      <c r="D1493" s="119"/>
      <c r="E1493" s="121"/>
      <c r="F1493" s="122"/>
      <c r="G1493" s="123"/>
      <c r="H1493" s="123"/>
      <c r="I1493" s="124"/>
      <c r="J1493" s="125"/>
      <c r="K1493" s="119"/>
    </row>
    <row r="1494" spans="1:11" ht="15" customHeight="1">
      <c r="A1494" s="119"/>
      <c r="B1494" s="126"/>
      <c r="C1494" s="119"/>
      <c r="D1494" s="119"/>
      <c r="E1494" s="121"/>
      <c r="F1494" s="122"/>
      <c r="G1494" s="123"/>
      <c r="H1494" s="123"/>
      <c r="I1494" s="124"/>
      <c r="J1494" s="125"/>
      <c r="K1494" s="119"/>
    </row>
    <row r="1495" spans="1:11" ht="15" customHeight="1">
      <c r="A1495" s="119"/>
      <c r="B1495" s="126"/>
      <c r="C1495" s="119"/>
      <c r="D1495" s="119"/>
      <c r="E1495" s="121"/>
      <c r="F1495" s="122"/>
      <c r="G1495" s="123"/>
      <c r="H1495" s="123"/>
      <c r="I1495" s="124"/>
      <c r="J1495" s="125"/>
      <c r="K1495" s="119"/>
    </row>
    <row r="1496" spans="1:11" ht="15" customHeight="1">
      <c r="A1496" s="119"/>
      <c r="B1496" s="126"/>
      <c r="C1496" s="119"/>
      <c r="D1496" s="119"/>
      <c r="E1496" s="121"/>
      <c r="F1496" s="122"/>
      <c r="G1496" s="123"/>
      <c r="H1496" s="123"/>
      <c r="I1496" s="124"/>
      <c r="J1496" s="125"/>
      <c r="K1496" s="119"/>
    </row>
    <row r="1497" spans="1:11" ht="15" customHeight="1">
      <c r="A1497" s="119"/>
      <c r="B1497" s="126"/>
      <c r="C1497" s="119"/>
      <c r="D1497" s="119"/>
      <c r="E1497" s="121"/>
      <c r="F1497" s="122"/>
      <c r="G1497" s="123"/>
      <c r="H1497" s="123"/>
      <c r="I1497" s="124"/>
      <c r="J1497" s="125"/>
      <c r="K1497" s="119"/>
    </row>
    <row r="1498" spans="1:11" ht="15" customHeight="1">
      <c r="A1498" s="119"/>
      <c r="B1498" s="126"/>
      <c r="C1498" s="119"/>
      <c r="D1498" s="119"/>
      <c r="E1498" s="121"/>
      <c r="F1498" s="122"/>
      <c r="G1498" s="123"/>
      <c r="H1498" s="123"/>
      <c r="I1498" s="124"/>
      <c r="J1498" s="125"/>
      <c r="K1498" s="119"/>
    </row>
    <row r="1499" spans="1:11" ht="15" customHeight="1">
      <c r="A1499" s="119"/>
      <c r="B1499" s="126"/>
      <c r="C1499" s="119"/>
      <c r="D1499" s="119"/>
      <c r="E1499" s="121"/>
      <c r="F1499" s="122"/>
      <c r="G1499" s="123"/>
      <c r="H1499" s="123"/>
      <c r="I1499" s="124"/>
      <c r="J1499" s="125"/>
      <c r="K1499" s="119"/>
    </row>
    <row r="1500" spans="1:11" ht="15" customHeight="1">
      <c r="A1500" s="119"/>
      <c r="B1500" s="126"/>
      <c r="C1500" s="119"/>
      <c r="D1500" s="119"/>
      <c r="E1500" s="121"/>
      <c r="F1500" s="122"/>
      <c r="G1500" s="123"/>
      <c r="H1500" s="123"/>
      <c r="I1500" s="124"/>
      <c r="J1500" s="125"/>
      <c r="K1500" s="119"/>
    </row>
    <row r="1501" spans="1:11" ht="15" customHeight="1">
      <c r="A1501" s="119"/>
      <c r="B1501" s="126"/>
      <c r="C1501" s="119"/>
      <c r="D1501" s="119"/>
      <c r="E1501" s="121"/>
      <c r="F1501" s="122"/>
      <c r="G1501" s="123"/>
      <c r="H1501" s="123"/>
      <c r="I1501" s="124"/>
      <c r="J1501" s="125"/>
      <c r="K1501" s="119"/>
    </row>
    <row r="1502" spans="1:11" ht="15" customHeight="1">
      <c r="A1502" s="119"/>
      <c r="B1502" s="126"/>
      <c r="C1502" s="119"/>
      <c r="D1502" s="119"/>
      <c r="E1502" s="121"/>
      <c r="F1502" s="122"/>
      <c r="G1502" s="123"/>
      <c r="H1502" s="123"/>
      <c r="I1502" s="124"/>
      <c r="J1502" s="125"/>
      <c r="K1502" s="119"/>
    </row>
    <row r="1503" spans="1:11" ht="15" customHeight="1">
      <c r="A1503" s="119"/>
      <c r="B1503" s="126"/>
      <c r="C1503" s="119"/>
      <c r="D1503" s="119"/>
      <c r="E1503" s="121"/>
      <c r="F1503" s="122"/>
      <c r="G1503" s="123"/>
      <c r="H1503" s="123"/>
      <c r="I1503" s="124"/>
      <c r="J1503" s="125"/>
      <c r="K1503" s="119"/>
    </row>
    <row r="1504" spans="1:11" ht="15" customHeight="1">
      <c r="A1504" s="119"/>
      <c r="B1504" s="126"/>
      <c r="C1504" s="119"/>
      <c r="D1504" s="119"/>
      <c r="E1504" s="121"/>
      <c r="F1504" s="122"/>
      <c r="G1504" s="123"/>
      <c r="H1504" s="123"/>
      <c r="I1504" s="124"/>
      <c r="J1504" s="125"/>
      <c r="K1504" s="119"/>
    </row>
    <row r="1048576" ht="15" customHeight="1"/>
  </sheetData>
  <mergeCells count="3">
    <mergeCell ref="A1:K1"/>
    <mergeCell ref="A2:K2"/>
    <mergeCell ref="A3:K3"/>
  </mergeCells>
  <phoneticPr fontId="56" type="noConversion"/>
  <conditionalFormatting sqref="A5:K504">
    <cfRule type="expression" dxfId="3" priority="2">
      <formula>AND($K5="재원중",$J5&lt;&gt;"",$J5&lt;TODAY())</formula>
    </cfRule>
    <cfRule type="expression" dxfId="2" priority="3">
      <formula>AND($K5="재원중",$J5&lt;&gt;"",$J5&gt;=TODAY(),$J5&lt;=TODAY()+7)</formula>
    </cfRule>
    <cfRule type="expression" dxfId="1" priority="4">
      <formula>$K5="퇴소"</formula>
    </cfRule>
    <cfRule type="expression" dxfId="0" priority="5">
      <formula>AND($B5&lt;&gt;"",MOD(ROW(),2)=0)</formula>
    </cfRule>
  </conditionalFormatting>
  <dataValidations count="2">
    <dataValidation type="list" allowBlank="1" sqref="F5:F504" xr:uid="{00000000-0002-0000-0500-000000000000}">
      <formula1>"1개월,3개월,6개월"</formula1>
      <formula2>0</formula2>
    </dataValidation>
    <dataValidation type="list" allowBlank="1" showInputMessage="1" promptTitle="선택" prompt="상담 시트에 입력된 학생만 나옵니다" sqref="B5:B504" xr:uid="{00000000-0002-0000-0500-000001000000}">
      <formula1>학생명단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6A6A6"/>
  </sheetPr>
  <dimension ref="A1:F18"/>
  <sheetViews>
    <sheetView showGridLines="0" zoomScaleNormal="100" workbookViewId="0"/>
  </sheetViews>
  <sheetFormatPr defaultColWidth="8.6640625" defaultRowHeight="14.25"/>
  <cols>
    <col min="1" max="1" width="13" customWidth="1"/>
    <col min="2" max="2" width="8" customWidth="1"/>
    <col min="3" max="3" width="10" customWidth="1"/>
    <col min="4" max="4" width="7" customWidth="1"/>
    <col min="6" max="6" width="60" customWidth="1"/>
  </cols>
  <sheetData>
    <row r="1" spans="1:6" ht="21" customHeight="1">
      <c r="A1" s="127" t="s">
        <v>228</v>
      </c>
    </row>
    <row r="3" spans="1:6" ht="16.5" customHeight="1">
      <c r="A3" s="128" t="s">
        <v>229</v>
      </c>
      <c r="B3" s="128" t="s">
        <v>230</v>
      </c>
      <c r="C3" s="128" t="s">
        <v>231</v>
      </c>
      <c r="D3" s="128" t="s">
        <v>52</v>
      </c>
      <c r="F3" s="22" t="s">
        <v>232</v>
      </c>
    </row>
    <row r="4" spans="1:6" ht="16.5" customHeight="1">
      <c r="A4" s="41" t="s">
        <v>233</v>
      </c>
      <c r="B4" s="41" t="s">
        <v>234</v>
      </c>
      <c r="C4" s="40" t="s">
        <v>235</v>
      </c>
      <c r="D4" s="40">
        <v>20</v>
      </c>
    </row>
    <row r="5" spans="1:6" ht="16.5" customHeight="1">
      <c r="A5" s="41" t="s">
        <v>236</v>
      </c>
      <c r="B5" s="41" t="s">
        <v>234</v>
      </c>
      <c r="C5" s="40" t="s">
        <v>237</v>
      </c>
      <c r="D5" s="40">
        <v>20</v>
      </c>
    </row>
    <row r="6" spans="1:6" ht="16.5" customHeight="1">
      <c r="A6" s="41" t="s">
        <v>238</v>
      </c>
      <c r="B6" s="41" t="s">
        <v>234</v>
      </c>
      <c r="C6" s="40" t="s">
        <v>239</v>
      </c>
      <c r="D6" s="40">
        <v>20</v>
      </c>
    </row>
    <row r="7" spans="1:6" ht="16.5" customHeight="1">
      <c r="A7" s="41" t="s">
        <v>240</v>
      </c>
      <c r="B7" s="41" t="s">
        <v>234</v>
      </c>
      <c r="C7" s="40" t="s">
        <v>241</v>
      </c>
      <c r="D7" s="40">
        <v>20</v>
      </c>
    </row>
    <row r="8" spans="1:6" ht="16.5" customHeight="1">
      <c r="A8" s="41" t="s">
        <v>242</v>
      </c>
      <c r="B8" s="41" t="s">
        <v>234</v>
      </c>
      <c r="C8" s="40" t="s">
        <v>235</v>
      </c>
      <c r="D8" s="40">
        <v>10</v>
      </c>
    </row>
    <row r="9" spans="1:6" ht="16.5" customHeight="1">
      <c r="A9" s="41" t="s">
        <v>243</v>
      </c>
      <c r="B9" s="41" t="s">
        <v>234</v>
      </c>
      <c r="C9" s="40" t="s">
        <v>235</v>
      </c>
      <c r="D9" s="40">
        <v>10</v>
      </c>
    </row>
    <row r="10" spans="1:6" ht="16.5" customHeight="1">
      <c r="A10" s="41" t="s">
        <v>244</v>
      </c>
      <c r="B10" s="41" t="s">
        <v>234</v>
      </c>
      <c r="C10" s="40" t="s">
        <v>237</v>
      </c>
      <c r="D10" s="40">
        <v>10</v>
      </c>
    </row>
    <row r="11" spans="1:6" ht="16.5" customHeight="1">
      <c r="A11" s="41" t="s">
        <v>245</v>
      </c>
      <c r="B11" s="41" t="s">
        <v>234</v>
      </c>
      <c r="C11" s="40" t="s">
        <v>239</v>
      </c>
      <c r="D11" s="40">
        <v>10</v>
      </c>
    </row>
    <row r="12" spans="1:6" ht="16.5" customHeight="1">
      <c r="A12" s="41" t="s">
        <v>246</v>
      </c>
      <c r="B12" s="41" t="s">
        <v>234</v>
      </c>
      <c r="C12" s="40" t="s">
        <v>241</v>
      </c>
      <c r="D12" s="40">
        <v>10</v>
      </c>
    </row>
    <row r="13" spans="1:6" ht="16.5" customHeight="1">
      <c r="A13" s="41" t="s">
        <v>247</v>
      </c>
      <c r="B13" s="41" t="s">
        <v>234</v>
      </c>
      <c r="C13" s="40" t="s">
        <v>241</v>
      </c>
      <c r="D13" s="40">
        <v>10</v>
      </c>
    </row>
    <row r="14" spans="1:6" ht="16.5" customHeight="1">
      <c r="A14" s="41" t="s">
        <v>248</v>
      </c>
      <c r="B14" s="41" t="s">
        <v>249</v>
      </c>
      <c r="C14" s="40" t="s">
        <v>235</v>
      </c>
      <c r="D14" s="40">
        <v>20</v>
      </c>
    </row>
    <row r="15" spans="1:6" ht="16.5" customHeight="1">
      <c r="A15" s="41" t="s">
        <v>250</v>
      </c>
      <c r="B15" s="41" t="s">
        <v>249</v>
      </c>
      <c r="C15" s="40" t="s">
        <v>239</v>
      </c>
      <c r="D15" s="40">
        <v>20</v>
      </c>
    </row>
    <row r="16" spans="1:6" ht="16.5" customHeight="1">
      <c r="A16" s="41" t="s">
        <v>251</v>
      </c>
      <c r="B16" s="41" t="s">
        <v>249</v>
      </c>
      <c r="C16" s="40" t="s">
        <v>235</v>
      </c>
      <c r="D16" s="40">
        <v>10</v>
      </c>
    </row>
    <row r="17" spans="1:4" ht="16.5" customHeight="1">
      <c r="A17" s="41" t="s">
        <v>252</v>
      </c>
      <c r="B17" s="41" t="s">
        <v>249</v>
      </c>
      <c r="C17" s="40" t="s">
        <v>235</v>
      </c>
      <c r="D17" s="40">
        <v>10</v>
      </c>
    </row>
    <row r="18" spans="1:4" ht="16.5" customHeight="1">
      <c r="A18" s="41" t="s">
        <v>253</v>
      </c>
      <c r="B18" s="41" t="s">
        <v>249</v>
      </c>
      <c r="C18" s="40" t="s">
        <v>239</v>
      </c>
      <c r="D18" s="40">
        <v>10</v>
      </c>
    </row>
  </sheetData>
  <phoneticPr fontId="5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</vt:i4>
      </vt:variant>
    </vt:vector>
  </HeadingPairs>
  <TitlesOfParts>
    <vt:vector size="9" baseType="lpstr">
      <vt:lpstr>사용안내</vt:lpstr>
      <vt:lpstr>대시보드</vt:lpstr>
      <vt:lpstr>학생카드</vt:lpstr>
      <vt:lpstr>반별조회</vt:lpstr>
      <vt:lpstr>상담데이터입력</vt:lpstr>
      <vt:lpstr>수강납입</vt:lpstr>
      <vt:lpstr>반설정</vt:lpstr>
      <vt:lpstr>반명단</vt:lpstr>
      <vt:lpstr>학생명단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유호 양</cp:lastModifiedBy>
  <cp:revision>0</cp:revision>
  <dcterms:created xsi:type="dcterms:W3CDTF">2026-07-04T07:15:40Z</dcterms:created>
  <dcterms:modified xsi:type="dcterms:W3CDTF">2026-07-07T21:05:32Z</dcterms:modified>
  <dc:language>en-US</dc:language>
</cp:coreProperties>
</file>