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안내" sheetId="1" state="visible" r:id="rId1"/>
    <sheet name="주주 명부" sheetId="2" state="visible" r:id="rId2"/>
    <sheet name="수령 기록" sheetId="3" state="visible" r:id="rId3"/>
    <sheet name="기여 보고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&quot;원&quot;;(#,##0);-"/>
    <numFmt numFmtId="165" formatCode="0.00&quot;%&quot;"/>
  </numFmts>
  <fonts count="14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color rgb="00000000"/>
      <sz val="11"/>
    </font>
    <font>
      <name val="Arial"/>
      <b val="1"/>
      <color rgb="001F3864"/>
      <sz val="12"/>
    </font>
    <font>
      <name val="Arial"/>
      <b val="1"/>
      <color rgb="00C00000"/>
      <sz val="12"/>
    </font>
    <font>
      <name val="Arial"/>
      <b val="1"/>
      <color rgb="00FFFFFF"/>
      <sz val="11"/>
    </font>
    <font>
      <name val="Arial"/>
      <sz val="11"/>
    </font>
    <font>
      <name val="Arial"/>
      <color rgb="000000FF"/>
      <sz val="11"/>
    </font>
    <font>
      <name val="Arial"/>
      <i val="1"/>
      <color rgb="00595959"/>
      <sz val="10"/>
    </font>
    <font>
      <name val="Arial"/>
      <b val="1"/>
      <sz val="11"/>
    </font>
    <font>
      <name val="Arial"/>
      <b val="1"/>
      <color rgb="001F3864"/>
      <sz val="13"/>
    </font>
    <font>
      <name val="Arial"/>
      <color rgb="00595959"/>
      <sz val="10"/>
    </font>
    <font>
      <name val="Arial"/>
      <b val="1"/>
      <color rgb="00FFFFFF"/>
      <sz val="10"/>
    </font>
    <font>
      <name val="Arial"/>
      <b val="1"/>
      <color rgb="00C00000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center" vertical="center"/>
    </xf>
    <xf numFmtId="164" fontId="7" fillId="3" borderId="1" applyAlignment="1" pivotButton="0" quotePrefix="0" xfId="0">
      <alignment horizontal="center" vertical="center"/>
    </xf>
    <xf numFmtId="165" fontId="7" fillId="3" borderId="1" applyAlignment="1" pivotButton="0" quotePrefix="0" xfId="0">
      <alignment horizontal="center" vertical="center"/>
    </xf>
    <xf numFmtId="164" fontId="6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right"/>
    </xf>
    <xf numFmtId="164" fontId="9" fillId="4" borderId="1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2" borderId="1" applyAlignment="1" pivotButton="0" quotePrefix="0" xfId="0">
      <alignment horizontal="center" vertical="center"/>
    </xf>
    <xf numFmtId="0" fontId="7" fillId="3" borderId="1" pivotButton="0" quotePrefix="0" xfId="0"/>
    <xf numFmtId="0" fontId="7" fillId="3" borderId="1" applyAlignment="1" pivotButton="0" quotePrefix="0" xfId="0">
      <alignment horizontal="center"/>
    </xf>
    <xf numFmtId="0" fontId="9" fillId="4" borderId="1" applyAlignment="1" pivotButton="0" quotePrefix="0" xfId="0">
      <alignment horizontal="center"/>
    </xf>
    <xf numFmtId="0" fontId="6" fillId="4" borderId="1" applyAlignment="1" pivotButton="0" quotePrefix="0" xfId="0">
      <alignment horizontal="center"/>
    </xf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SYNK</author>
  </authors>
  <commentList>
    <comment ref="B1" authorId="0" shapeId="0">
      <text>
        <t>실무자 주주 / 대규모 투자자 — 계약의 제한은 «실무자 주주»에게만 걸립니다.</t>
      </text>
    </comment>
    <comment ref="D1" authorId="0" shapeId="0">
      <text>
        <t>그 사람이 실제로 낸 돈. 일한 대가로 받은 지분이면 계약서에서 정한 기준가를 적습니다.</t>
      </text>
    </comment>
    <comment ref="K1" authorId="0" shapeId="0">
      <text>
        <t>지분율 × 1,000만 원. 10배를 아직 회수하지 못한 사람은 상한이 적용되지 않습니다.</t>
      </text>
    </comment>
  </commentList>
</comments>
</file>

<file path=xl/comments/comment2.xml><?xml version="1.0" encoding="utf-8"?>
<comments xmlns="http://schemas.openxmlformats.org/spreadsheetml/2006/main">
  <authors>
    <author>SYNK</author>
  </authors>
  <commentList>
    <comment ref="D1" authorId="0" shapeId="0">
      <text>
        <t>배당 / 매각대금 / 감자환급 / 대여금상환 중 하나를 그대로 적습니다. 「배당」이라고 적은 것만 배당 누계로 잡힙니다.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0" customWidth="1" min="2" max="2"/>
  </cols>
  <sheetData>
    <row r="2" ht="26" customHeight="1">
      <c r="B2" s="1" t="inlineStr">
        <is>
          <t>SYNK 지분 회수 대장</t>
        </is>
      </c>
    </row>
    <row r="3">
      <c r="B3" s="2" t="inlineStr"/>
    </row>
    <row r="4">
      <c r="B4" s="3" t="inlineStr">
        <is>
          <t>이 파일은 무엇인가</t>
        </is>
      </c>
    </row>
    <row r="5">
      <c r="B5" s="2" t="inlineStr">
        <is>
          <t>주주 한 사람이 「자기 지분에서 지금까지 돈을 얼마나 받아 갔는가」를 기록하는 장부입니다.</t>
        </is>
      </c>
    </row>
    <row r="6">
      <c r="B6" s="2" t="inlineStr">
        <is>
          <t>배당 상한(1%당 연 1,000만 원)과 「투자금의 10배를 회수했는가」를 판정하는 유일한 근거가 됩니다.</t>
        </is>
      </c>
    </row>
    <row r="7">
      <c r="B7" s="2" t="inlineStr">
        <is>
          <t>첫 배당이 몇 년 뒤라도 오늘 0원부터 기록해 두어야 나중에 다툼이 생기지 않습니다.</t>
        </is>
      </c>
    </row>
    <row r="8">
      <c r="B8" s="2" t="inlineStr"/>
    </row>
    <row r="9">
      <c r="B9" s="3" t="inlineStr">
        <is>
          <t>어디에 무엇을 적나 — 노란 칸만 손으로 채웁니다</t>
        </is>
      </c>
    </row>
    <row r="10">
      <c r="B10" s="2" t="inlineStr">
        <is>
          <t>① 주주 명부 : 사람마다 한 줄. 투자 원금과 지분율을 적습니다.</t>
        </is>
      </c>
    </row>
    <row r="11">
      <c r="B11" s="2" t="inlineStr">
        <is>
          <t>② 수령 기록 : 돈이 실제로 나간 날마다 한 줄씩 추가합니다. 배당·매각대금·감자·상환을 모두 적습니다.</t>
        </is>
      </c>
    </row>
    <row r="12">
      <c r="B12" s="2" t="inlineStr">
        <is>
          <t>③ 기여 보고 : 매달 사람마다 보고를 냈는지 O/X 로 적습니다.</t>
        </is>
      </c>
    </row>
    <row r="13">
      <c r="B13" s="2" t="inlineStr">
        <is>
          <t>→ 「주주 명부」의 회색 칸(합계·판정)은 자동으로 계산되니 손대지 않습니다.</t>
        </is>
      </c>
    </row>
    <row r="14">
      <c r="B14" s="2" t="inlineStr"/>
    </row>
    <row r="15">
      <c r="B15" s="3" t="inlineStr">
        <is>
          <t>왜 「기여 보고」 칸이 여기 있나</t>
        </is>
      </c>
    </row>
    <row r="16">
      <c r="B16" s="2" t="inlineStr">
        <is>
          <t>주주간 계약의 강제매수 조건 중 하나가 「월 기여 보고 3회 연속 미제출」입니다.</t>
        </is>
      </c>
    </row>
    <row r="17">
      <c r="B17" s="2" t="inlineStr">
        <is>
          <t>그 횟수를 기억에 의존해 세면 정작 필요한 날 증거가 없습니다. 여기에 O/X 만 적어두면 장부가 스스로 증거가 됩니다.</t>
        </is>
      </c>
    </row>
    <row r="18">
      <c r="B18" s="2" t="inlineStr"/>
    </row>
    <row r="19">
      <c r="B19" s="4" t="inlineStr">
        <is>
          <t>주의</t>
        </is>
      </c>
    </row>
    <row r="20">
      <c r="B20" s="2" t="inlineStr">
        <is>
          <t>· 「투자 원금」이 0인 사람(일한 대가로 지분을 받은 경우)은 10배·5배 계산이 서지 않습니다 — 계약서에서 따로 정한 기준가를 적습니다.</t>
        </is>
      </c>
    </row>
    <row r="21">
      <c r="B21" s="2" t="inlineStr">
        <is>
          <t>· 금액은 전부 «원» 기준으로 통일합니다. 몽골 투그릭으로 나간 돈은 그날 환율로 환산해 적고, 메모 칸에 원래 금액을 남깁니다.</t>
        </is>
      </c>
    </row>
    <row r="22">
      <c r="B22" s="2" t="inlineStr">
        <is>
          <t>· 이 파일은 계약서가 아니라 «기록»입니다. 기준과 조건은 docs/지분설계_헌장.md 가 정본입니다.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3" customWidth="1" min="3" max="3"/>
    <col width="16" customWidth="1" min="4" max="4"/>
    <col width="12" customWidth="1" min="5" max="5"/>
    <col width="17" customWidth="1" min="6" max="6"/>
    <col width="18" customWidth="1" min="7" max="7"/>
    <col width="16" customWidth="1" min="8" max="8"/>
    <col width="16" customWidth="1" min="9" max="9"/>
    <col width="13" customWidth="1" min="10" max="10"/>
    <col width="17" customWidth="1" min="11" max="11"/>
    <col width="34" customWidth="1" min="12" max="12"/>
  </cols>
  <sheetData>
    <row r="1" ht="34" customHeight="1">
      <c r="A1" s="5" t="inlineStr">
        <is>
          <t>주주 이름</t>
        </is>
      </c>
      <c r="B1" s="5" t="inlineStr">
        <is>
          <t>구분</t>
        </is>
      </c>
      <c r="C1" s="5" t="inlineStr">
        <is>
          <t>합류일</t>
        </is>
      </c>
      <c r="D1" s="5" t="inlineStr">
        <is>
          <t>투자 원금(원)</t>
        </is>
      </c>
      <c r="E1" s="5" t="inlineStr">
        <is>
          <t>지분율(%)</t>
        </is>
      </c>
      <c r="F1" s="5" t="inlineStr">
        <is>
          <t>배당 수령 누계</t>
        </is>
      </c>
      <c r="G1" s="5" t="inlineStr">
        <is>
          <t>배당 외 회수 누계</t>
        </is>
      </c>
      <c r="H1" s="5" t="inlineStr">
        <is>
          <t>회수 합계</t>
        </is>
      </c>
      <c r="I1" s="5" t="inlineStr">
        <is>
          <t>10배 회수선</t>
        </is>
      </c>
      <c r="J1" s="5" t="inlineStr">
        <is>
          <t>10배 도달?</t>
        </is>
      </c>
      <c r="K1" s="5" t="inlineStr">
        <is>
          <t>올해 배당 상한</t>
        </is>
      </c>
      <c r="L1" s="5" t="inlineStr">
        <is>
          <t>메모</t>
        </is>
      </c>
    </row>
    <row r="2">
      <c r="A2" s="6" t="inlineStr">
        <is>
          <t>(예시) 홍길동</t>
        </is>
      </c>
      <c r="B2" s="6" t="inlineStr">
        <is>
          <t>실무자 주주</t>
        </is>
      </c>
      <c r="C2" s="7" t="inlineStr">
        <is>
          <t>2026-09-01</t>
        </is>
      </c>
      <c r="D2" s="8" t="n">
        <v>50000000</v>
      </c>
      <c r="E2" s="9" t="n">
        <v>20</v>
      </c>
      <c r="F2" s="10">
        <f>IF($A2="","",SUMIFS('수령 기록'!$E$2:$E$201,'수령 기록'!$B$2:$B$201,$A2,'수령 기록'!$D$2:$D$201,"배당"))</f>
        <v/>
      </c>
      <c r="G2" s="10">
        <f>IF($A2="","",SUMIFS('수령 기록'!$E$2:$E$201,'수령 기록'!$B$2:$B$201,$A2)-F2)</f>
        <v/>
      </c>
      <c r="H2" s="10">
        <f>IF($A2="","",F2+G2)</f>
        <v/>
      </c>
      <c r="I2" s="10">
        <f>IF($A2="","",D2*10)</f>
        <v/>
      </c>
      <c r="J2" s="11">
        <f>IF(OR($A2="",D2=""),"",IF(D2=0,"해당 없음",IF(H2&gt;=I2,"도달 · 상한 적용","미도달 · 상한 없음")))</f>
        <v/>
      </c>
      <c r="K2" s="11">
        <f>IF(OR($A2="",E2=""),"",IF(AND(D2&gt;0,H2&lt;I2),"상한 없음",E2*10000000))</f>
        <v/>
      </c>
      <c r="L2" s="6" t="inlineStr">
        <is>
          <t>예시 줄입니다 — 실제로 쓰실 때 지우고 그 위에 적으세요.</t>
        </is>
      </c>
    </row>
    <row r="3">
      <c r="A3" s="6" t="n"/>
      <c r="B3" s="6" t="n"/>
      <c r="C3" s="7" t="n"/>
      <c r="D3" s="8" t="n"/>
      <c r="E3" s="9" t="n"/>
      <c r="F3" s="10">
        <f>IF($A3="","",SUMIFS('수령 기록'!$E$2:$E$201,'수령 기록'!$B$2:$B$201,$A3,'수령 기록'!$D$2:$D$201,"배당"))</f>
        <v/>
      </c>
      <c r="G3" s="10">
        <f>IF($A3="","",SUMIFS('수령 기록'!$E$2:$E$201,'수령 기록'!$B$2:$B$201,$A3)-F3)</f>
        <v/>
      </c>
      <c r="H3" s="10">
        <f>IF($A3="","",F3+G3)</f>
        <v/>
      </c>
      <c r="I3" s="10">
        <f>IF($A3="","",D3*10)</f>
        <v/>
      </c>
      <c r="J3" s="11">
        <f>IF(OR($A3="",D3=""),"",IF(D3=0,"해당 없음",IF(H3&gt;=I3,"도달 · 상한 적용","미도달 · 상한 없음")))</f>
        <v/>
      </c>
      <c r="K3" s="11">
        <f>IF(OR($A3="",E3=""),"",IF(AND(D3&gt;0,H3&lt;I3),"상한 없음",E3*10000000))</f>
        <v/>
      </c>
      <c r="L3" s="6" t="n"/>
    </row>
    <row r="4">
      <c r="A4" s="6" t="n"/>
      <c r="B4" s="6" t="n"/>
      <c r="C4" s="7" t="n"/>
      <c r="D4" s="8" t="n"/>
      <c r="E4" s="9" t="n"/>
      <c r="F4" s="10">
        <f>IF($A4="","",SUMIFS('수령 기록'!$E$2:$E$201,'수령 기록'!$B$2:$B$201,$A4,'수령 기록'!$D$2:$D$201,"배당"))</f>
        <v/>
      </c>
      <c r="G4" s="10">
        <f>IF($A4="","",SUMIFS('수령 기록'!$E$2:$E$201,'수령 기록'!$B$2:$B$201,$A4)-F4)</f>
        <v/>
      </c>
      <c r="H4" s="10">
        <f>IF($A4="","",F4+G4)</f>
        <v/>
      </c>
      <c r="I4" s="10">
        <f>IF($A4="","",D4*10)</f>
        <v/>
      </c>
      <c r="J4" s="11">
        <f>IF(OR($A4="",D4=""),"",IF(D4=0,"해당 없음",IF(H4&gt;=I4,"도달 · 상한 적용","미도달 · 상한 없음")))</f>
        <v/>
      </c>
      <c r="K4" s="11">
        <f>IF(OR($A4="",E4=""),"",IF(AND(D4&gt;0,H4&lt;I4),"상한 없음",E4*10000000))</f>
        <v/>
      </c>
      <c r="L4" s="6" t="n"/>
    </row>
    <row r="5">
      <c r="A5" s="6" t="n"/>
      <c r="B5" s="6" t="n"/>
      <c r="C5" s="7" t="n"/>
      <c r="D5" s="8" t="n"/>
      <c r="E5" s="9" t="n"/>
      <c r="F5" s="10">
        <f>IF($A5="","",SUMIFS('수령 기록'!$E$2:$E$201,'수령 기록'!$B$2:$B$201,$A5,'수령 기록'!$D$2:$D$201,"배당"))</f>
        <v/>
      </c>
      <c r="G5" s="10">
        <f>IF($A5="","",SUMIFS('수령 기록'!$E$2:$E$201,'수령 기록'!$B$2:$B$201,$A5)-F5)</f>
        <v/>
      </c>
      <c r="H5" s="10">
        <f>IF($A5="","",F5+G5)</f>
        <v/>
      </c>
      <c r="I5" s="10">
        <f>IF($A5="","",D5*10)</f>
        <v/>
      </c>
      <c r="J5" s="11">
        <f>IF(OR($A5="",D5=""),"",IF(D5=0,"해당 없음",IF(H5&gt;=I5,"도달 · 상한 적용","미도달 · 상한 없음")))</f>
        <v/>
      </c>
      <c r="K5" s="11">
        <f>IF(OR($A5="",E5=""),"",IF(AND(D5&gt;0,H5&lt;I5),"상한 없음",E5*10000000))</f>
        <v/>
      </c>
      <c r="L5" s="6" t="n"/>
    </row>
    <row r="6">
      <c r="A6" s="6" t="n"/>
      <c r="B6" s="6" t="n"/>
      <c r="C6" s="7" t="n"/>
      <c r="D6" s="8" t="n"/>
      <c r="E6" s="9" t="n"/>
      <c r="F6" s="10">
        <f>IF($A6="","",SUMIFS('수령 기록'!$E$2:$E$201,'수령 기록'!$B$2:$B$201,$A6,'수령 기록'!$D$2:$D$201,"배당"))</f>
        <v/>
      </c>
      <c r="G6" s="10">
        <f>IF($A6="","",SUMIFS('수령 기록'!$E$2:$E$201,'수령 기록'!$B$2:$B$201,$A6)-F6)</f>
        <v/>
      </c>
      <c r="H6" s="10">
        <f>IF($A6="","",F6+G6)</f>
        <v/>
      </c>
      <c r="I6" s="10">
        <f>IF($A6="","",D6*10)</f>
        <v/>
      </c>
      <c r="J6" s="11">
        <f>IF(OR($A6="",D6=""),"",IF(D6=0,"해당 없음",IF(H6&gt;=I6,"도달 · 상한 적용","미도달 · 상한 없음")))</f>
        <v/>
      </c>
      <c r="K6" s="11">
        <f>IF(OR($A6="",E6=""),"",IF(AND(D6&gt;0,H6&lt;I6),"상한 없음",E6*10000000))</f>
        <v/>
      </c>
      <c r="L6" s="6" t="n"/>
    </row>
    <row r="7">
      <c r="A7" s="6" t="n"/>
      <c r="B7" s="6" t="n"/>
      <c r="C7" s="7" t="n"/>
      <c r="D7" s="8" t="n"/>
      <c r="E7" s="9" t="n"/>
      <c r="F7" s="10">
        <f>IF($A7="","",SUMIFS('수령 기록'!$E$2:$E$201,'수령 기록'!$B$2:$B$201,$A7,'수령 기록'!$D$2:$D$201,"배당"))</f>
        <v/>
      </c>
      <c r="G7" s="10">
        <f>IF($A7="","",SUMIFS('수령 기록'!$E$2:$E$201,'수령 기록'!$B$2:$B$201,$A7)-F7)</f>
        <v/>
      </c>
      <c r="H7" s="10">
        <f>IF($A7="","",F7+G7)</f>
        <v/>
      </c>
      <c r="I7" s="10">
        <f>IF($A7="","",D7*10)</f>
        <v/>
      </c>
      <c r="J7" s="11">
        <f>IF(OR($A7="",D7=""),"",IF(D7=0,"해당 없음",IF(H7&gt;=I7,"도달 · 상한 적용","미도달 · 상한 없음")))</f>
        <v/>
      </c>
      <c r="K7" s="11">
        <f>IF(OR($A7="",E7=""),"",IF(AND(D7&gt;0,H7&lt;I7),"상한 없음",E7*10000000))</f>
        <v/>
      </c>
      <c r="L7" s="6" t="n"/>
    </row>
    <row r="8">
      <c r="A8" s="6" t="n"/>
      <c r="B8" s="6" t="n"/>
      <c r="C8" s="7" t="n"/>
      <c r="D8" s="8" t="n"/>
      <c r="E8" s="9" t="n"/>
      <c r="F8" s="10">
        <f>IF($A8="","",SUMIFS('수령 기록'!$E$2:$E$201,'수령 기록'!$B$2:$B$201,$A8,'수령 기록'!$D$2:$D$201,"배당"))</f>
        <v/>
      </c>
      <c r="G8" s="10">
        <f>IF($A8="","",SUMIFS('수령 기록'!$E$2:$E$201,'수령 기록'!$B$2:$B$201,$A8)-F8)</f>
        <v/>
      </c>
      <c r="H8" s="10">
        <f>IF($A8="","",F8+G8)</f>
        <v/>
      </c>
      <c r="I8" s="10">
        <f>IF($A8="","",D8*10)</f>
        <v/>
      </c>
      <c r="J8" s="11">
        <f>IF(OR($A8="",D8=""),"",IF(D8=0,"해당 없음",IF(H8&gt;=I8,"도달 · 상한 적용","미도달 · 상한 없음")))</f>
        <v/>
      </c>
      <c r="K8" s="11">
        <f>IF(OR($A8="",E8=""),"",IF(AND(D8&gt;0,H8&lt;I8),"상한 없음",E8*10000000))</f>
        <v/>
      </c>
      <c r="L8" s="6" t="n"/>
    </row>
    <row r="9">
      <c r="A9" s="6" t="n"/>
      <c r="B9" s="6" t="n"/>
      <c r="C9" s="7" t="n"/>
      <c r="D9" s="8" t="n"/>
      <c r="E9" s="9" t="n"/>
      <c r="F9" s="10">
        <f>IF($A9="","",SUMIFS('수령 기록'!$E$2:$E$201,'수령 기록'!$B$2:$B$201,$A9,'수령 기록'!$D$2:$D$201,"배당"))</f>
        <v/>
      </c>
      <c r="G9" s="10">
        <f>IF($A9="","",SUMIFS('수령 기록'!$E$2:$E$201,'수령 기록'!$B$2:$B$201,$A9)-F9)</f>
        <v/>
      </c>
      <c r="H9" s="10">
        <f>IF($A9="","",F9+G9)</f>
        <v/>
      </c>
      <c r="I9" s="10">
        <f>IF($A9="","",D9*10)</f>
        <v/>
      </c>
      <c r="J9" s="11">
        <f>IF(OR($A9="",D9=""),"",IF(D9=0,"해당 없음",IF(H9&gt;=I9,"도달 · 상한 적용","미도달 · 상한 없음")))</f>
        <v/>
      </c>
      <c r="K9" s="11">
        <f>IF(OR($A9="",E9=""),"",IF(AND(D9&gt;0,H9&lt;I9),"상한 없음",E9*10000000))</f>
        <v/>
      </c>
      <c r="L9" s="6" t="n"/>
    </row>
    <row r="10">
      <c r="A10" s="6" t="n"/>
      <c r="B10" s="6" t="n"/>
      <c r="C10" s="7" t="n"/>
      <c r="D10" s="8" t="n"/>
      <c r="E10" s="9" t="n"/>
      <c r="F10" s="10">
        <f>IF($A10="","",SUMIFS('수령 기록'!$E$2:$E$201,'수령 기록'!$B$2:$B$201,$A10,'수령 기록'!$D$2:$D$201,"배당"))</f>
        <v/>
      </c>
      <c r="G10" s="10">
        <f>IF($A10="","",SUMIFS('수령 기록'!$E$2:$E$201,'수령 기록'!$B$2:$B$201,$A10)-F10)</f>
        <v/>
      </c>
      <c r="H10" s="10">
        <f>IF($A10="","",F10+G10)</f>
        <v/>
      </c>
      <c r="I10" s="10">
        <f>IF($A10="","",D10*10)</f>
        <v/>
      </c>
      <c r="J10" s="11">
        <f>IF(OR($A10="",D10=""),"",IF(D10=0,"해당 없음",IF(H10&gt;=I10,"도달 · 상한 적용","미도달 · 상한 없음")))</f>
        <v/>
      </c>
      <c r="K10" s="11">
        <f>IF(OR($A10="",E10=""),"",IF(AND(D10&gt;0,H10&lt;I10),"상한 없음",E10*10000000))</f>
        <v/>
      </c>
      <c r="L10" s="6" t="n"/>
    </row>
    <row r="11">
      <c r="A11" s="6" t="n"/>
      <c r="B11" s="6" t="n"/>
      <c r="C11" s="7" t="n"/>
      <c r="D11" s="8" t="n"/>
      <c r="E11" s="9" t="n"/>
      <c r="F11" s="10">
        <f>IF($A11="","",SUMIFS('수령 기록'!$E$2:$E$201,'수령 기록'!$B$2:$B$201,$A11,'수령 기록'!$D$2:$D$201,"배당"))</f>
        <v/>
      </c>
      <c r="G11" s="10">
        <f>IF($A11="","",SUMIFS('수령 기록'!$E$2:$E$201,'수령 기록'!$B$2:$B$201,$A11)-F11)</f>
        <v/>
      </c>
      <c r="H11" s="10">
        <f>IF($A11="","",F11+G11)</f>
        <v/>
      </c>
      <c r="I11" s="10">
        <f>IF($A11="","",D11*10)</f>
        <v/>
      </c>
      <c r="J11" s="11">
        <f>IF(OR($A11="",D11=""),"",IF(D11=0,"해당 없음",IF(H11&gt;=I11,"도달 · 상한 적용","미도달 · 상한 없음")))</f>
        <v/>
      </c>
      <c r="K11" s="11">
        <f>IF(OR($A11="",E11=""),"",IF(AND(D11&gt;0,H11&lt;I11),"상한 없음",E11*10000000))</f>
        <v/>
      </c>
      <c r="L11" s="6" t="n"/>
    </row>
    <row r="12">
      <c r="A12" s="6" t="n"/>
      <c r="B12" s="6" t="n"/>
      <c r="C12" s="7" t="n"/>
      <c r="D12" s="8" t="n"/>
      <c r="E12" s="9" t="n"/>
      <c r="F12" s="10">
        <f>IF($A12="","",SUMIFS('수령 기록'!$E$2:$E$201,'수령 기록'!$B$2:$B$201,$A12,'수령 기록'!$D$2:$D$201,"배당"))</f>
        <v/>
      </c>
      <c r="G12" s="10">
        <f>IF($A12="","",SUMIFS('수령 기록'!$E$2:$E$201,'수령 기록'!$B$2:$B$201,$A12)-F12)</f>
        <v/>
      </c>
      <c r="H12" s="10">
        <f>IF($A12="","",F12+G12)</f>
        <v/>
      </c>
      <c r="I12" s="10">
        <f>IF($A12="","",D12*10)</f>
        <v/>
      </c>
      <c r="J12" s="11">
        <f>IF(OR($A12="",D12=""),"",IF(D12=0,"해당 없음",IF(H12&gt;=I12,"도달 · 상한 적용","미도달 · 상한 없음")))</f>
        <v/>
      </c>
      <c r="K12" s="11">
        <f>IF(OR($A12="",E12=""),"",IF(AND(D12&gt;0,H12&lt;I12),"상한 없음",E12*10000000))</f>
        <v/>
      </c>
      <c r="L12" s="6" t="n"/>
    </row>
    <row r="13">
      <c r="A13" s="6" t="n"/>
      <c r="B13" s="6" t="n"/>
      <c r="C13" s="7" t="n"/>
      <c r="D13" s="8" t="n"/>
      <c r="E13" s="9" t="n"/>
      <c r="F13" s="10">
        <f>IF($A13="","",SUMIFS('수령 기록'!$E$2:$E$201,'수령 기록'!$B$2:$B$201,$A13,'수령 기록'!$D$2:$D$201,"배당"))</f>
        <v/>
      </c>
      <c r="G13" s="10">
        <f>IF($A13="","",SUMIFS('수령 기록'!$E$2:$E$201,'수령 기록'!$B$2:$B$201,$A13)-F13)</f>
        <v/>
      </c>
      <c r="H13" s="10">
        <f>IF($A13="","",F13+G13)</f>
        <v/>
      </c>
      <c r="I13" s="10">
        <f>IF($A13="","",D13*10)</f>
        <v/>
      </c>
      <c r="J13" s="11">
        <f>IF(OR($A13="",D13=""),"",IF(D13=0,"해당 없음",IF(H13&gt;=I13,"도달 · 상한 적용","미도달 · 상한 없음")))</f>
        <v/>
      </c>
      <c r="K13" s="11">
        <f>IF(OR($A13="",E13=""),"",IF(AND(D13&gt;0,H13&lt;I13),"상한 없음",E13*10000000))</f>
        <v/>
      </c>
      <c r="L13" s="6" t="n"/>
    </row>
    <row r="14">
      <c r="A14" s="6" t="n"/>
      <c r="B14" s="6" t="n"/>
      <c r="C14" s="7" t="n"/>
      <c r="D14" s="8" t="n"/>
      <c r="E14" s="9" t="n"/>
      <c r="F14" s="10">
        <f>IF($A14="","",SUMIFS('수령 기록'!$E$2:$E$201,'수령 기록'!$B$2:$B$201,$A14,'수령 기록'!$D$2:$D$201,"배당"))</f>
        <v/>
      </c>
      <c r="G14" s="10">
        <f>IF($A14="","",SUMIFS('수령 기록'!$E$2:$E$201,'수령 기록'!$B$2:$B$201,$A14)-F14)</f>
        <v/>
      </c>
      <c r="H14" s="10">
        <f>IF($A14="","",F14+G14)</f>
        <v/>
      </c>
      <c r="I14" s="10">
        <f>IF($A14="","",D14*10)</f>
        <v/>
      </c>
      <c r="J14" s="11">
        <f>IF(OR($A14="",D14=""),"",IF(D14=0,"해당 없음",IF(H14&gt;=I14,"도달 · 상한 적용","미도달 · 상한 없음")))</f>
        <v/>
      </c>
      <c r="K14" s="11">
        <f>IF(OR($A14="",E14=""),"",IF(AND(D14&gt;0,H14&lt;I14),"상한 없음",E14*10000000))</f>
        <v/>
      </c>
      <c r="L14" s="6" t="n"/>
    </row>
    <row r="15">
      <c r="A15" s="6" t="n"/>
      <c r="B15" s="6" t="n"/>
      <c r="C15" s="7" t="n"/>
      <c r="D15" s="8" t="n"/>
      <c r="E15" s="9" t="n"/>
      <c r="F15" s="10">
        <f>IF($A15="","",SUMIFS('수령 기록'!$E$2:$E$201,'수령 기록'!$B$2:$B$201,$A15,'수령 기록'!$D$2:$D$201,"배당"))</f>
        <v/>
      </c>
      <c r="G15" s="10">
        <f>IF($A15="","",SUMIFS('수령 기록'!$E$2:$E$201,'수령 기록'!$B$2:$B$201,$A15)-F15)</f>
        <v/>
      </c>
      <c r="H15" s="10">
        <f>IF($A15="","",F15+G15)</f>
        <v/>
      </c>
      <c r="I15" s="10">
        <f>IF($A15="","",D15*10)</f>
        <v/>
      </c>
      <c r="J15" s="11">
        <f>IF(OR($A15="",D15=""),"",IF(D15=0,"해당 없음",IF(H15&gt;=I15,"도달 · 상한 적용","미도달 · 상한 없음")))</f>
        <v/>
      </c>
      <c r="K15" s="11">
        <f>IF(OR($A15="",E15=""),"",IF(AND(D15&gt;0,H15&lt;I15),"상한 없음",E15*10000000))</f>
        <v/>
      </c>
      <c r="L15" s="6" t="n"/>
    </row>
    <row r="16">
      <c r="A16" s="6" t="n"/>
      <c r="B16" s="6" t="n"/>
      <c r="C16" s="7" t="n"/>
      <c r="D16" s="8" t="n"/>
      <c r="E16" s="9" t="n"/>
      <c r="F16" s="10">
        <f>IF($A16="","",SUMIFS('수령 기록'!$E$2:$E$201,'수령 기록'!$B$2:$B$201,$A16,'수령 기록'!$D$2:$D$201,"배당"))</f>
        <v/>
      </c>
      <c r="G16" s="10">
        <f>IF($A16="","",SUMIFS('수령 기록'!$E$2:$E$201,'수령 기록'!$B$2:$B$201,$A16)-F16)</f>
        <v/>
      </c>
      <c r="H16" s="10">
        <f>IF($A16="","",F16+G16)</f>
        <v/>
      </c>
      <c r="I16" s="10">
        <f>IF($A16="","",D16*10)</f>
        <v/>
      </c>
      <c r="J16" s="11">
        <f>IF(OR($A16="",D16=""),"",IF(D16=0,"해당 없음",IF(H16&gt;=I16,"도달 · 상한 적용","미도달 · 상한 없음")))</f>
        <v/>
      </c>
      <c r="K16" s="11">
        <f>IF(OR($A16="",E16=""),"",IF(AND(D16&gt;0,H16&lt;I16),"상한 없음",E16*10000000))</f>
        <v/>
      </c>
      <c r="L16" s="6" t="n"/>
    </row>
    <row r="17">
      <c r="A17" s="6" t="n"/>
      <c r="B17" s="6" t="n"/>
      <c r="C17" s="7" t="n"/>
      <c r="D17" s="8" t="n"/>
      <c r="E17" s="9" t="n"/>
      <c r="F17" s="10">
        <f>IF($A17="","",SUMIFS('수령 기록'!$E$2:$E$201,'수령 기록'!$B$2:$B$201,$A17,'수령 기록'!$D$2:$D$201,"배당"))</f>
        <v/>
      </c>
      <c r="G17" s="10">
        <f>IF($A17="","",SUMIFS('수령 기록'!$E$2:$E$201,'수령 기록'!$B$2:$B$201,$A17)-F17)</f>
        <v/>
      </c>
      <c r="H17" s="10">
        <f>IF($A17="","",F17+G17)</f>
        <v/>
      </c>
      <c r="I17" s="10">
        <f>IF($A17="","",D17*10)</f>
        <v/>
      </c>
      <c r="J17" s="11">
        <f>IF(OR($A17="",D17=""),"",IF(D17=0,"해당 없음",IF(H17&gt;=I17,"도달 · 상한 적용","미도달 · 상한 없음")))</f>
        <v/>
      </c>
      <c r="K17" s="11">
        <f>IF(OR($A17="",E17=""),"",IF(AND(D17&gt;0,H17&lt;I17),"상한 없음",E17*10000000))</f>
        <v/>
      </c>
      <c r="L17" s="6" t="n"/>
    </row>
    <row r="18">
      <c r="A18" s="6" t="n"/>
      <c r="B18" s="6" t="n"/>
      <c r="C18" s="7" t="n"/>
      <c r="D18" s="8" t="n"/>
      <c r="E18" s="9" t="n"/>
      <c r="F18" s="10">
        <f>IF($A18="","",SUMIFS('수령 기록'!$E$2:$E$201,'수령 기록'!$B$2:$B$201,$A18,'수령 기록'!$D$2:$D$201,"배당"))</f>
        <v/>
      </c>
      <c r="G18" s="10">
        <f>IF($A18="","",SUMIFS('수령 기록'!$E$2:$E$201,'수령 기록'!$B$2:$B$201,$A18)-F18)</f>
        <v/>
      </c>
      <c r="H18" s="10">
        <f>IF($A18="","",F18+G18)</f>
        <v/>
      </c>
      <c r="I18" s="10">
        <f>IF($A18="","",D18*10)</f>
        <v/>
      </c>
      <c r="J18" s="11">
        <f>IF(OR($A18="",D18=""),"",IF(D18=0,"해당 없음",IF(H18&gt;=I18,"도달 · 상한 적용","미도달 · 상한 없음")))</f>
        <v/>
      </c>
      <c r="K18" s="11">
        <f>IF(OR($A18="",E18=""),"",IF(AND(D18&gt;0,H18&lt;I18),"상한 없음",E18*10000000))</f>
        <v/>
      </c>
      <c r="L18" s="6" t="n"/>
    </row>
    <row r="19">
      <c r="A19" s="6" t="n"/>
      <c r="B19" s="6" t="n"/>
      <c r="C19" s="7" t="n"/>
      <c r="D19" s="8" t="n"/>
      <c r="E19" s="9" t="n"/>
      <c r="F19" s="10">
        <f>IF($A19="","",SUMIFS('수령 기록'!$E$2:$E$201,'수령 기록'!$B$2:$B$201,$A19,'수령 기록'!$D$2:$D$201,"배당"))</f>
        <v/>
      </c>
      <c r="G19" s="10">
        <f>IF($A19="","",SUMIFS('수령 기록'!$E$2:$E$201,'수령 기록'!$B$2:$B$201,$A19)-F19)</f>
        <v/>
      </c>
      <c r="H19" s="10">
        <f>IF($A19="","",F19+G19)</f>
        <v/>
      </c>
      <c r="I19" s="10">
        <f>IF($A19="","",D19*10)</f>
        <v/>
      </c>
      <c r="J19" s="11">
        <f>IF(OR($A19="",D19=""),"",IF(D19=0,"해당 없음",IF(H19&gt;=I19,"도달 · 상한 적용","미도달 · 상한 없음")))</f>
        <v/>
      </c>
      <c r="K19" s="11">
        <f>IF(OR($A19="",E19=""),"",IF(AND(D19&gt;0,H19&lt;I19),"상한 없음",E19*10000000))</f>
        <v/>
      </c>
      <c r="L19" s="6" t="n"/>
    </row>
    <row r="20">
      <c r="A20" s="6" t="n"/>
      <c r="B20" s="6" t="n"/>
      <c r="C20" s="7" t="n"/>
      <c r="D20" s="8" t="n"/>
      <c r="E20" s="9" t="n"/>
      <c r="F20" s="10">
        <f>IF($A20="","",SUMIFS('수령 기록'!$E$2:$E$201,'수령 기록'!$B$2:$B$201,$A20,'수령 기록'!$D$2:$D$201,"배당"))</f>
        <v/>
      </c>
      <c r="G20" s="10">
        <f>IF($A20="","",SUMIFS('수령 기록'!$E$2:$E$201,'수령 기록'!$B$2:$B$201,$A20)-F20)</f>
        <v/>
      </c>
      <c r="H20" s="10">
        <f>IF($A20="","",F20+G20)</f>
        <v/>
      </c>
      <c r="I20" s="10">
        <f>IF($A20="","",D20*10)</f>
        <v/>
      </c>
      <c r="J20" s="11">
        <f>IF(OR($A20="",D20=""),"",IF(D20=0,"해당 없음",IF(H20&gt;=I20,"도달 · 상한 적용","미도달 · 상한 없음")))</f>
        <v/>
      </c>
      <c r="K20" s="11">
        <f>IF(OR($A20="",E20=""),"",IF(AND(D20&gt;0,H20&lt;I20),"상한 없음",E20*10000000))</f>
        <v/>
      </c>
      <c r="L20" s="6" t="n"/>
    </row>
    <row r="21">
      <c r="A21" s="6" t="n"/>
      <c r="B21" s="6" t="n"/>
      <c r="C21" s="7" t="n"/>
      <c r="D21" s="8" t="n"/>
      <c r="E21" s="9" t="n"/>
      <c r="F21" s="10">
        <f>IF($A21="","",SUMIFS('수령 기록'!$E$2:$E$201,'수령 기록'!$B$2:$B$201,$A21,'수령 기록'!$D$2:$D$201,"배당"))</f>
        <v/>
      </c>
      <c r="G21" s="10">
        <f>IF($A21="","",SUMIFS('수령 기록'!$E$2:$E$201,'수령 기록'!$B$2:$B$201,$A21)-F21)</f>
        <v/>
      </c>
      <c r="H21" s="10">
        <f>IF($A21="","",F21+G21)</f>
        <v/>
      </c>
      <c r="I21" s="10">
        <f>IF($A21="","",D21*10)</f>
        <v/>
      </c>
      <c r="J21" s="11">
        <f>IF(OR($A21="",D21=""),"",IF(D21=0,"해당 없음",IF(H21&gt;=I21,"도달 · 상한 적용","미도달 · 상한 없음")))</f>
        <v/>
      </c>
      <c r="K21" s="11">
        <f>IF(OR($A21="",E21=""),"",IF(AND(D21&gt;0,H21&lt;I21),"상한 없음",E21*10000000))</f>
        <v/>
      </c>
      <c r="L21" s="6" t="n"/>
    </row>
    <row r="23">
      <c r="A23" s="12" t="inlineStr">
        <is>
          <t>노란 칸 = 손으로 적는 곳 · 회색 칸 = 자동 계산(손대지 않음).  「10배 도달?」이 «미도달»이면 그 사람은 아직 배당 상한이 걸리지 않습니다.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16" customWidth="1" min="4" max="4"/>
    <col width="16" customWidth="1" min="5" max="5"/>
    <col width="46" customWidth="1" min="6" max="6"/>
  </cols>
  <sheetData>
    <row r="1" ht="28" customHeight="1">
      <c r="A1" s="13" t="inlineStr">
        <is>
          <t>지급일</t>
        </is>
      </c>
      <c r="B1" s="13" t="inlineStr">
        <is>
          <t>주주 이름</t>
        </is>
      </c>
      <c r="C1" s="13" t="inlineStr">
        <is>
          <t>법인</t>
        </is>
      </c>
      <c r="D1" s="13" t="inlineStr">
        <is>
          <t>종류</t>
        </is>
      </c>
      <c r="E1" s="13" t="inlineStr">
        <is>
          <t>금액(원)</t>
        </is>
      </c>
      <c r="F1" s="13" t="inlineStr">
        <is>
          <t>메모</t>
        </is>
      </c>
    </row>
    <row r="2">
      <c r="A2" s="7" t="inlineStr">
        <is>
          <t>2027-03-31</t>
        </is>
      </c>
      <c r="B2" s="6" t="inlineStr">
        <is>
          <t>(예시) 홍길동</t>
        </is>
      </c>
      <c r="C2" s="7" t="inlineStr">
        <is>
          <t>SYNK LAB</t>
        </is>
      </c>
      <c r="D2" s="7" t="inlineStr">
        <is>
          <t>배당</t>
        </is>
      </c>
      <c r="E2" s="8" t="n">
        <v>30000000</v>
      </c>
      <c r="F2" s="6" t="inlineStr">
        <is>
          <t>예시 줄입니다 — 실제로 쓰실 때 지우세요. 주주 이름은 「주주 명부」와 «글자까지 똑같이» 적어야 합계가 잡힙니다.</t>
        </is>
      </c>
    </row>
    <row r="3">
      <c r="A3" s="7" t="n"/>
      <c r="B3" s="6" t="n"/>
      <c r="C3" s="7" t="n"/>
      <c r="D3" s="7" t="n"/>
      <c r="E3" s="8" t="n"/>
      <c r="F3" s="6" t="n"/>
    </row>
    <row r="4">
      <c r="A4" s="7" t="n"/>
      <c r="B4" s="6" t="n"/>
      <c r="C4" s="7" t="n"/>
      <c r="D4" s="7" t="n"/>
      <c r="E4" s="8" t="n"/>
      <c r="F4" s="6" t="n"/>
    </row>
    <row r="5">
      <c r="A5" s="7" t="n"/>
      <c r="B5" s="6" t="n"/>
      <c r="C5" s="7" t="n"/>
      <c r="D5" s="7" t="n"/>
      <c r="E5" s="8" t="n"/>
      <c r="F5" s="6" t="n"/>
    </row>
    <row r="6">
      <c r="A6" s="7" t="n"/>
      <c r="B6" s="6" t="n"/>
      <c r="C6" s="7" t="n"/>
      <c r="D6" s="7" t="n"/>
      <c r="E6" s="8" t="n"/>
      <c r="F6" s="6" t="n"/>
    </row>
    <row r="7">
      <c r="A7" s="7" t="n"/>
      <c r="B7" s="6" t="n"/>
      <c r="C7" s="7" t="n"/>
      <c r="D7" s="7" t="n"/>
      <c r="E7" s="8" t="n"/>
      <c r="F7" s="6" t="n"/>
    </row>
    <row r="8">
      <c r="A8" s="7" t="n"/>
      <c r="B8" s="6" t="n"/>
      <c r="C8" s="7" t="n"/>
      <c r="D8" s="7" t="n"/>
      <c r="E8" s="8" t="n"/>
      <c r="F8" s="6" t="n"/>
    </row>
    <row r="9">
      <c r="A9" s="7" t="n"/>
      <c r="B9" s="6" t="n"/>
      <c r="C9" s="7" t="n"/>
      <c r="D9" s="7" t="n"/>
      <c r="E9" s="8" t="n"/>
      <c r="F9" s="6" t="n"/>
    </row>
    <row r="10">
      <c r="A10" s="7" t="n"/>
      <c r="B10" s="6" t="n"/>
      <c r="C10" s="7" t="n"/>
      <c r="D10" s="7" t="n"/>
      <c r="E10" s="8" t="n"/>
      <c r="F10" s="6" t="n"/>
    </row>
    <row r="11">
      <c r="A11" s="7" t="n"/>
      <c r="B11" s="6" t="n"/>
      <c r="C11" s="7" t="n"/>
      <c r="D11" s="7" t="n"/>
      <c r="E11" s="8" t="n"/>
      <c r="F11" s="6" t="n"/>
    </row>
    <row r="12">
      <c r="A12" s="7" t="n"/>
      <c r="B12" s="6" t="n"/>
      <c r="C12" s="7" t="n"/>
      <c r="D12" s="7" t="n"/>
      <c r="E12" s="8" t="n"/>
      <c r="F12" s="6" t="n"/>
    </row>
    <row r="13">
      <c r="A13" s="7" t="n"/>
      <c r="B13" s="6" t="n"/>
      <c r="C13" s="7" t="n"/>
      <c r="D13" s="7" t="n"/>
      <c r="E13" s="8" t="n"/>
      <c r="F13" s="6" t="n"/>
    </row>
    <row r="14">
      <c r="A14" s="7" t="n"/>
      <c r="B14" s="6" t="n"/>
      <c r="C14" s="7" t="n"/>
      <c r="D14" s="7" t="n"/>
      <c r="E14" s="8" t="n"/>
      <c r="F14" s="6" t="n"/>
    </row>
    <row r="15">
      <c r="A15" s="7" t="n"/>
      <c r="B15" s="6" t="n"/>
      <c r="C15" s="7" t="n"/>
      <c r="D15" s="7" t="n"/>
      <c r="E15" s="8" t="n"/>
      <c r="F15" s="6" t="n"/>
    </row>
    <row r="16">
      <c r="A16" s="7" t="n"/>
      <c r="B16" s="6" t="n"/>
      <c r="C16" s="7" t="n"/>
      <c r="D16" s="7" t="n"/>
      <c r="E16" s="8" t="n"/>
      <c r="F16" s="6" t="n"/>
    </row>
    <row r="17">
      <c r="A17" s="7" t="n"/>
      <c r="B17" s="6" t="n"/>
      <c r="C17" s="7" t="n"/>
      <c r="D17" s="7" t="n"/>
      <c r="E17" s="8" t="n"/>
      <c r="F17" s="6" t="n"/>
    </row>
    <row r="18">
      <c r="A18" s="7" t="n"/>
      <c r="B18" s="6" t="n"/>
      <c r="C18" s="7" t="n"/>
      <c r="D18" s="7" t="n"/>
      <c r="E18" s="8" t="n"/>
      <c r="F18" s="6" t="n"/>
    </row>
    <row r="19">
      <c r="A19" s="7" t="n"/>
      <c r="B19" s="6" t="n"/>
      <c r="C19" s="7" t="n"/>
      <c r="D19" s="7" t="n"/>
      <c r="E19" s="8" t="n"/>
      <c r="F19" s="6" t="n"/>
    </row>
    <row r="20">
      <c r="A20" s="7" t="n"/>
      <c r="B20" s="6" t="n"/>
      <c r="C20" s="7" t="n"/>
      <c r="D20" s="7" t="n"/>
      <c r="E20" s="8" t="n"/>
      <c r="F20" s="6" t="n"/>
    </row>
    <row r="21">
      <c r="A21" s="7" t="n"/>
      <c r="B21" s="6" t="n"/>
      <c r="C21" s="7" t="n"/>
      <c r="D21" s="7" t="n"/>
      <c r="E21" s="8" t="n"/>
      <c r="F21" s="6" t="n"/>
    </row>
    <row r="22">
      <c r="A22" s="7" t="n"/>
      <c r="B22" s="6" t="n"/>
      <c r="C22" s="7" t="n"/>
      <c r="D22" s="7" t="n"/>
      <c r="E22" s="8" t="n"/>
      <c r="F22" s="6" t="n"/>
    </row>
    <row r="23">
      <c r="A23" s="7" t="n"/>
      <c r="B23" s="6" t="n"/>
      <c r="C23" s="7" t="n"/>
      <c r="D23" s="7" t="n"/>
      <c r="E23" s="8" t="n"/>
      <c r="F23" s="6" t="n"/>
    </row>
    <row r="24">
      <c r="A24" s="7" t="n"/>
      <c r="B24" s="6" t="n"/>
      <c r="C24" s="7" t="n"/>
      <c r="D24" s="7" t="n"/>
      <c r="E24" s="8" t="n"/>
      <c r="F24" s="6" t="n"/>
    </row>
    <row r="25">
      <c r="A25" s="7" t="n"/>
      <c r="B25" s="6" t="n"/>
      <c r="C25" s="7" t="n"/>
      <c r="D25" s="7" t="n"/>
      <c r="E25" s="8" t="n"/>
      <c r="F25" s="6" t="n"/>
    </row>
    <row r="26">
      <c r="A26" s="7" t="n"/>
      <c r="B26" s="6" t="n"/>
      <c r="C26" s="7" t="n"/>
      <c r="D26" s="7" t="n"/>
      <c r="E26" s="8" t="n"/>
      <c r="F26" s="6" t="n"/>
    </row>
    <row r="27">
      <c r="A27" s="7" t="n"/>
      <c r="B27" s="6" t="n"/>
      <c r="C27" s="7" t="n"/>
      <c r="D27" s="7" t="n"/>
      <c r="E27" s="8" t="n"/>
      <c r="F27" s="6" t="n"/>
    </row>
    <row r="28">
      <c r="A28" s="7" t="n"/>
      <c r="B28" s="6" t="n"/>
      <c r="C28" s="7" t="n"/>
      <c r="D28" s="7" t="n"/>
      <c r="E28" s="8" t="n"/>
      <c r="F28" s="6" t="n"/>
    </row>
    <row r="29">
      <c r="A29" s="7" t="n"/>
      <c r="B29" s="6" t="n"/>
      <c r="C29" s="7" t="n"/>
      <c r="D29" s="7" t="n"/>
      <c r="E29" s="8" t="n"/>
      <c r="F29" s="6" t="n"/>
    </row>
    <row r="30">
      <c r="A30" s="7" t="n"/>
      <c r="B30" s="6" t="n"/>
      <c r="C30" s="7" t="n"/>
      <c r="D30" s="7" t="n"/>
      <c r="E30" s="8" t="n"/>
      <c r="F30" s="6" t="n"/>
    </row>
    <row r="31">
      <c r="A31" s="7" t="n"/>
      <c r="B31" s="6" t="n"/>
      <c r="C31" s="7" t="n"/>
      <c r="D31" s="7" t="n"/>
      <c r="E31" s="8" t="n"/>
      <c r="F31" s="6" t="n"/>
    </row>
    <row r="32">
      <c r="A32" s="7" t="n"/>
      <c r="B32" s="6" t="n"/>
      <c r="C32" s="7" t="n"/>
      <c r="D32" s="7" t="n"/>
      <c r="E32" s="8" t="n"/>
      <c r="F32" s="6" t="n"/>
    </row>
    <row r="33">
      <c r="A33" s="7" t="n"/>
      <c r="B33" s="6" t="n"/>
      <c r="C33" s="7" t="n"/>
      <c r="D33" s="7" t="n"/>
      <c r="E33" s="8" t="n"/>
      <c r="F33" s="6" t="n"/>
    </row>
    <row r="34">
      <c r="A34" s="7" t="n"/>
      <c r="B34" s="6" t="n"/>
      <c r="C34" s="7" t="n"/>
      <c r="D34" s="7" t="n"/>
      <c r="E34" s="8" t="n"/>
      <c r="F34" s="6" t="n"/>
    </row>
    <row r="35">
      <c r="A35" s="7" t="n"/>
      <c r="B35" s="6" t="n"/>
      <c r="C35" s="7" t="n"/>
      <c r="D35" s="7" t="n"/>
      <c r="E35" s="8" t="n"/>
      <c r="F35" s="6" t="n"/>
    </row>
    <row r="36">
      <c r="A36" s="7" t="n"/>
      <c r="B36" s="6" t="n"/>
      <c r="C36" s="7" t="n"/>
      <c r="D36" s="7" t="n"/>
      <c r="E36" s="8" t="n"/>
      <c r="F36" s="6" t="n"/>
    </row>
    <row r="37">
      <c r="A37" s="7" t="n"/>
      <c r="B37" s="6" t="n"/>
      <c r="C37" s="7" t="n"/>
      <c r="D37" s="7" t="n"/>
      <c r="E37" s="8" t="n"/>
      <c r="F37" s="6" t="n"/>
    </row>
    <row r="38">
      <c r="A38" s="7" t="n"/>
      <c r="B38" s="6" t="n"/>
      <c r="C38" s="7" t="n"/>
      <c r="D38" s="7" t="n"/>
      <c r="E38" s="8" t="n"/>
      <c r="F38" s="6" t="n"/>
    </row>
    <row r="39">
      <c r="A39" s="7" t="n"/>
      <c r="B39" s="6" t="n"/>
      <c r="C39" s="7" t="n"/>
      <c r="D39" s="7" t="n"/>
      <c r="E39" s="8" t="n"/>
      <c r="F39" s="6" t="n"/>
    </row>
    <row r="40">
      <c r="A40" s="7" t="n"/>
      <c r="B40" s="6" t="n"/>
      <c r="C40" s="7" t="n"/>
      <c r="D40" s="7" t="n"/>
      <c r="E40" s="8" t="n"/>
      <c r="F40" s="6" t="n"/>
    </row>
    <row r="41">
      <c r="A41" s="7" t="n"/>
      <c r="B41" s="6" t="n"/>
      <c r="C41" s="7" t="n"/>
      <c r="D41" s="7" t="n"/>
      <c r="E41" s="8" t="n"/>
      <c r="F41" s="6" t="n"/>
    </row>
    <row r="42">
      <c r="A42" s="7" t="n"/>
      <c r="B42" s="6" t="n"/>
      <c r="C42" s="7" t="n"/>
      <c r="D42" s="7" t="n"/>
      <c r="E42" s="8" t="n"/>
      <c r="F42" s="6" t="n"/>
    </row>
    <row r="43">
      <c r="A43" s="7" t="n"/>
      <c r="B43" s="6" t="n"/>
      <c r="C43" s="7" t="n"/>
      <c r="D43" s="7" t="n"/>
      <c r="E43" s="8" t="n"/>
      <c r="F43" s="6" t="n"/>
    </row>
    <row r="44">
      <c r="A44" s="7" t="n"/>
      <c r="B44" s="6" t="n"/>
      <c r="C44" s="7" t="n"/>
      <c r="D44" s="7" t="n"/>
      <c r="E44" s="8" t="n"/>
      <c r="F44" s="6" t="n"/>
    </row>
    <row r="45">
      <c r="A45" s="7" t="n"/>
      <c r="B45" s="6" t="n"/>
      <c r="C45" s="7" t="n"/>
      <c r="D45" s="7" t="n"/>
      <c r="E45" s="8" t="n"/>
      <c r="F45" s="6" t="n"/>
    </row>
    <row r="46">
      <c r="A46" s="7" t="n"/>
      <c r="B46" s="6" t="n"/>
      <c r="C46" s="7" t="n"/>
      <c r="D46" s="7" t="n"/>
      <c r="E46" s="8" t="n"/>
      <c r="F46" s="6" t="n"/>
    </row>
    <row r="47">
      <c r="A47" s="7" t="n"/>
      <c r="B47" s="6" t="n"/>
      <c r="C47" s="7" t="n"/>
      <c r="D47" s="7" t="n"/>
      <c r="E47" s="8" t="n"/>
      <c r="F47" s="6" t="n"/>
    </row>
    <row r="48">
      <c r="A48" s="7" t="n"/>
      <c r="B48" s="6" t="n"/>
      <c r="C48" s="7" t="n"/>
      <c r="D48" s="7" t="n"/>
      <c r="E48" s="8" t="n"/>
      <c r="F48" s="6" t="n"/>
    </row>
    <row r="49">
      <c r="A49" s="7" t="n"/>
      <c r="B49" s="6" t="n"/>
      <c r="C49" s="7" t="n"/>
      <c r="D49" s="7" t="n"/>
      <c r="E49" s="8" t="n"/>
      <c r="F49" s="6" t="n"/>
    </row>
    <row r="50">
      <c r="A50" s="7" t="n"/>
      <c r="B50" s="6" t="n"/>
      <c r="C50" s="7" t="n"/>
      <c r="D50" s="7" t="n"/>
      <c r="E50" s="8" t="n"/>
      <c r="F50" s="6" t="n"/>
    </row>
    <row r="51">
      <c r="A51" s="7" t="n"/>
      <c r="B51" s="6" t="n"/>
      <c r="C51" s="7" t="n"/>
      <c r="D51" s="7" t="n"/>
      <c r="E51" s="8" t="n"/>
      <c r="F51" s="6" t="n"/>
    </row>
    <row r="52">
      <c r="A52" s="7" t="n"/>
      <c r="B52" s="6" t="n"/>
      <c r="C52" s="7" t="n"/>
      <c r="D52" s="7" t="n"/>
      <c r="E52" s="8" t="n"/>
      <c r="F52" s="6" t="n"/>
    </row>
    <row r="53">
      <c r="A53" s="7" t="n"/>
      <c r="B53" s="6" t="n"/>
      <c r="C53" s="7" t="n"/>
      <c r="D53" s="7" t="n"/>
      <c r="E53" s="8" t="n"/>
      <c r="F53" s="6" t="n"/>
    </row>
    <row r="54">
      <c r="A54" s="7" t="n"/>
      <c r="B54" s="6" t="n"/>
      <c r="C54" s="7" t="n"/>
      <c r="D54" s="7" t="n"/>
      <c r="E54" s="8" t="n"/>
      <c r="F54" s="6" t="n"/>
    </row>
    <row r="55">
      <c r="A55" s="7" t="n"/>
      <c r="B55" s="6" t="n"/>
      <c r="C55" s="7" t="n"/>
      <c r="D55" s="7" t="n"/>
      <c r="E55" s="8" t="n"/>
      <c r="F55" s="6" t="n"/>
    </row>
    <row r="56">
      <c r="A56" s="7" t="n"/>
      <c r="B56" s="6" t="n"/>
      <c r="C56" s="7" t="n"/>
      <c r="D56" s="7" t="n"/>
      <c r="E56" s="8" t="n"/>
      <c r="F56" s="6" t="n"/>
    </row>
    <row r="57">
      <c r="A57" s="7" t="n"/>
      <c r="B57" s="6" t="n"/>
      <c r="C57" s="7" t="n"/>
      <c r="D57" s="7" t="n"/>
      <c r="E57" s="8" t="n"/>
      <c r="F57" s="6" t="n"/>
    </row>
    <row r="58">
      <c r="A58" s="7" t="n"/>
      <c r="B58" s="6" t="n"/>
      <c r="C58" s="7" t="n"/>
      <c r="D58" s="7" t="n"/>
      <c r="E58" s="8" t="n"/>
      <c r="F58" s="6" t="n"/>
    </row>
    <row r="59">
      <c r="A59" s="7" t="n"/>
      <c r="B59" s="6" t="n"/>
      <c r="C59" s="7" t="n"/>
      <c r="D59" s="7" t="n"/>
      <c r="E59" s="8" t="n"/>
      <c r="F59" s="6" t="n"/>
    </row>
    <row r="60">
      <c r="A60" s="7" t="n"/>
      <c r="B60" s="6" t="n"/>
      <c r="C60" s="7" t="n"/>
      <c r="D60" s="7" t="n"/>
      <c r="E60" s="8" t="n"/>
      <c r="F60" s="6" t="n"/>
    </row>
    <row r="61">
      <c r="A61" s="7" t="n"/>
      <c r="B61" s="6" t="n"/>
      <c r="C61" s="7" t="n"/>
      <c r="D61" s="7" t="n"/>
      <c r="E61" s="8" t="n"/>
      <c r="F61" s="6" t="n"/>
    </row>
    <row r="62">
      <c r="A62" s="7" t="n"/>
      <c r="B62" s="6" t="n"/>
      <c r="C62" s="7" t="n"/>
      <c r="D62" s="7" t="n"/>
      <c r="E62" s="8" t="n"/>
      <c r="F62" s="6" t="n"/>
    </row>
    <row r="63">
      <c r="A63" s="7" t="n"/>
      <c r="B63" s="6" t="n"/>
      <c r="C63" s="7" t="n"/>
      <c r="D63" s="7" t="n"/>
      <c r="E63" s="8" t="n"/>
      <c r="F63" s="6" t="n"/>
    </row>
    <row r="64">
      <c r="A64" s="7" t="n"/>
      <c r="B64" s="6" t="n"/>
      <c r="C64" s="7" t="n"/>
      <c r="D64" s="7" t="n"/>
      <c r="E64" s="8" t="n"/>
      <c r="F64" s="6" t="n"/>
    </row>
    <row r="65">
      <c r="A65" s="7" t="n"/>
      <c r="B65" s="6" t="n"/>
      <c r="C65" s="7" t="n"/>
      <c r="D65" s="7" t="n"/>
      <c r="E65" s="8" t="n"/>
      <c r="F65" s="6" t="n"/>
    </row>
    <row r="66">
      <c r="A66" s="7" t="n"/>
      <c r="B66" s="6" t="n"/>
      <c r="C66" s="7" t="n"/>
      <c r="D66" s="7" t="n"/>
      <c r="E66" s="8" t="n"/>
      <c r="F66" s="6" t="n"/>
    </row>
    <row r="67">
      <c r="A67" s="7" t="n"/>
      <c r="B67" s="6" t="n"/>
      <c r="C67" s="7" t="n"/>
      <c r="D67" s="7" t="n"/>
      <c r="E67" s="8" t="n"/>
      <c r="F67" s="6" t="n"/>
    </row>
    <row r="68">
      <c r="A68" s="7" t="n"/>
      <c r="B68" s="6" t="n"/>
      <c r="C68" s="7" t="n"/>
      <c r="D68" s="7" t="n"/>
      <c r="E68" s="8" t="n"/>
      <c r="F68" s="6" t="n"/>
    </row>
    <row r="69">
      <c r="A69" s="7" t="n"/>
      <c r="B69" s="6" t="n"/>
      <c r="C69" s="7" t="n"/>
      <c r="D69" s="7" t="n"/>
      <c r="E69" s="8" t="n"/>
      <c r="F69" s="6" t="n"/>
    </row>
    <row r="70">
      <c r="A70" s="7" t="n"/>
      <c r="B70" s="6" t="n"/>
      <c r="C70" s="7" t="n"/>
      <c r="D70" s="7" t="n"/>
      <c r="E70" s="8" t="n"/>
      <c r="F70" s="6" t="n"/>
    </row>
    <row r="71">
      <c r="A71" s="7" t="n"/>
      <c r="B71" s="6" t="n"/>
      <c r="C71" s="7" t="n"/>
      <c r="D71" s="7" t="n"/>
      <c r="E71" s="8" t="n"/>
      <c r="F71" s="6" t="n"/>
    </row>
    <row r="72">
      <c r="A72" s="7" t="n"/>
      <c r="B72" s="6" t="n"/>
      <c r="C72" s="7" t="n"/>
      <c r="D72" s="7" t="n"/>
      <c r="E72" s="8" t="n"/>
      <c r="F72" s="6" t="n"/>
    </row>
    <row r="73">
      <c r="A73" s="7" t="n"/>
      <c r="B73" s="6" t="n"/>
      <c r="C73" s="7" t="n"/>
      <c r="D73" s="7" t="n"/>
      <c r="E73" s="8" t="n"/>
      <c r="F73" s="6" t="n"/>
    </row>
    <row r="74">
      <c r="A74" s="7" t="n"/>
      <c r="B74" s="6" t="n"/>
      <c r="C74" s="7" t="n"/>
      <c r="D74" s="7" t="n"/>
      <c r="E74" s="8" t="n"/>
      <c r="F74" s="6" t="n"/>
    </row>
    <row r="75">
      <c r="A75" s="7" t="n"/>
      <c r="B75" s="6" t="n"/>
      <c r="C75" s="7" t="n"/>
      <c r="D75" s="7" t="n"/>
      <c r="E75" s="8" t="n"/>
      <c r="F75" s="6" t="n"/>
    </row>
    <row r="76">
      <c r="A76" s="7" t="n"/>
      <c r="B76" s="6" t="n"/>
      <c r="C76" s="7" t="n"/>
      <c r="D76" s="7" t="n"/>
      <c r="E76" s="8" t="n"/>
      <c r="F76" s="6" t="n"/>
    </row>
    <row r="77">
      <c r="A77" s="7" t="n"/>
      <c r="B77" s="6" t="n"/>
      <c r="C77" s="7" t="n"/>
      <c r="D77" s="7" t="n"/>
      <c r="E77" s="8" t="n"/>
      <c r="F77" s="6" t="n"/>
    </row>
    <row r="78">
      <c r="A78" s="7" t="n"/>
      <c r="B78" s="6" t="n"/>
      <c r="C78" s="7" t="n"/>
      <c r="D78" s="7" t="n"/>
      <c r="E78" s="8" t="n"/>
      <c r="F78" s="6" t="n"/>
    </row>
    <row r="79">
      <c r="A79" s="7" t="n"/>
      <c r="B79" s="6" t="n"/>
      <c r="C79" s="7" t="n"/>
      <c r="D79" s="7" t="n"/>
      <c r="E79" s="8" t="n"/>
      <c r="F79" s="6" t="n"/>
    </row>
    <row r="80">
      <c r="A80" s="7" t="n"/>
      <c r="B80" s="6" t="n"/>
      <c r="C80" s="7" t="n"/>
      <c r="D80" s="7" t="n"/>
      <c r="E80" s="8" t="n"/>
      <c r="F80" s="6" t="n"/>
    </row>
    <row r="81">
      <c r="A81" s="7" t="n"/>
      <c r="B81" s="6" t="n"/>
      <c r="C81" s="7" t="n"/>
      <c r="D81" s="7" t="n"/>
      <c r="E81" s="8" t="n"/>
      <c r="F81" s="6" t="n"/>
    </row>
    <row r="82">
      <c r="A82" s="7" t="n"/>
      <c r="B82" s="6" t="n"/>
      <c r="C82" s="7" t="n"/>
      <c r="D82" s="7" t="n"/>
      <c r="E82" s="8" t="n"/>
      <c r="F82" s="6" t="n"/>
    </row>
    <row r="83">
      <c r="A83" s="7" t="n"/>
      <c r="B83" s="6" t="n"/>
      <c r="C83" s="7" t="n"/>
      <c r="D83" s="7" t="n"/>
      <c r="E83" s="8" t="n"/>
      <c r="F83" s="6" t="n"/>
    </row>
    <row r="84">
      <c r="A84" s="7" t="n"/>
      <c r="B84" s="6" t="n"/>
      <c r="C84" s="7" t="n"/>
      <c r="D84" s="7" t="n"/>
      <c r="E84" s="8" t="n"/>
      <c r="F84" s="6" t="n"/>
    </row>
    <row r="85">
      <c r="A85" s="7" t="n"/>
      <c r="B85" s="6" t="n"/>
      <c r="C85" s="7" t="n"/>
      <c r="D85" s="7" t="n"/>
      <c r="E85" s="8" t="n"/>
      <c r="F85" s="6" t="n"/>
    </row>
    <row r="86">
      <c r="A86" s="7" t="n"/>
      <c r="B86" s="6" t="n"/>
      <c r="C86" s="7" t="n"/>
      <c r="D86" s="7" t="n"/>
      <c r="E86" s="8" t="n"/>
      <c r="F86" s="6" t="n"/>
    </row>
    <row r="87">
      <c r="A87" s="7" t="n"/>
      <c r="B87" s="6" t="n"/>
      <c r="C87" s="7" t="n"/>
      <c r="D87" s="7" t="n"/>
      <c r="E87" s="8" t="n"/>
      <c r="F87" s="6" t="n"/>
    </row>
    <row r="88">
      <c r="A88" s="7" t="n"/>
      <c r="B88" s="6" t="n"/>
      <c r="C88" s="7" t="n"/>
      <c r="D88" s="7" t="n"/>
      <c r="E88" s="8" t="n"/>
      <c r="F88" s="6" t="n"/>
    </row>
    <row r="89">
      <c r="A89" s="7" t="n"/>
      <c r="B89" s="6" t="n"/>
      <c r="C89" s="7" t="n"/>
      <c r="D89" s="7" t="n"/>
      <c r="E89" s="8" t="n"/>
      <c r="F89" s="6" t="n"/>
    </row>
    <row r="90">
      <c r="A90" s="7" t="n"/>
      <c r="B90" s="6" t="n"/>
      <c r="C90" s="7" t="n"/>
      <c r="D90" s="7" t="n"/>
      <c r="E90" s="8" t="n"/>
      <c r="F90" s="6" t="n"/>
    </row>
    <row r="91">
      <c r="A91" s="7" t="n"/>
      <c r="B91" s="6" t="n"/>
      <c r="C91" s="7" t="n"/>
      <c r="D91" s="7" t="n"/>
      <c r="E91" s="8" t="n"/>
      <c r="F91" s="6" t="n"/>
    </row>
    <row r="92">
      <c r="A92" s="7" t="n"/>
      <c r="B92" s="6" t="n"/>
      <c r="C92" s="7" t="n"/>
      <c r="D92" s="7" t="n"/>
      <c r="E92" s="8" t="n"/>
      <c r="F92" s="6" t="n"/>
    </row>
    <row r="93">
      <c r="A93" s="7" t="n"/>
      <c r="B93" s="6" t="n"/>
      <c r="C93" s="7" t="n"/>
      <c r="D93" s="7" t="n"/>
      <c r="E93" s="8" t="n"/>
      <c r="F93" s="6" t="n"/>
    </row>
    <row r="94">
      <c r="A94" s="7" t="n"/>
      <c r="B94" s="6" t="n"/>
      <c r="C94" s="7" t="n"/>
      <c r="D94" s="7" t="n"/>
      <c r="E94" s="8" t="n"/>
      <c r="F94" s="6" t="n"/>
    </row>
    <row r="95">
      <c r="A95" s="7" t="n"/>
      <c r="B95" s="6" t="n"/>
      <c r="C95" s="7" t="n"/>
      <c r="D95" s="7" t="n"/>
      <c r="E95" s="8" t="n"/>
      <c r="F95" s="6" t="n"/>
    </row>
    <row r="96">
      <c r="A96" s="7" t="n"/>
      <c r="B96" s="6" t="n"/>
      <c r="C96" s="7" t="n"/>
      <c r="D96" s="7" t="n"/>
      <c r="E96" s="8" t="n"/>
      <c r="F96" s="6" t="n"/>
    </row>
    <row r="97">
      <c r="A97" s="7" t="n"/>
      <c r="B97" s="6" t="n"/>
      <c r="C97" s="7" t="n"/>
      <c r="D97" s="7" t="n"/>
      <c r="E97" s="8" t="n"/>
      <c r="F97" s="6" t="n"/>
    </row>
    <row r="98">
      <c r="A98" s="7" t="n"/>
      <c r="B98" s="6" t="n"/>
      <c r="C98" s="7" t="n"/>
      <c r="D98" s="7" t="n"/>
      <c r="E98" s="8" t="n"/>
      <c r="F98" s="6" t="n"/>
    </row>
    <row r="99">
      <c r="A99" s="7" t="n"/>
      <c r="B99" s="6" t="n"/>
      <c r="C99" s="7" t="n"/>
      <c r="D99" s="7" t="n"/>
      <c r="E99" s="8" t="n"/>
      <c r="F99" s="6" t="n"/>
    </row>
    <row r="100">
      <c r="A100" s="7" t="n"/>
      <c r="B100" s="6" t="n"/>
      <c r="C100" s="7" t="n"/>
      <c r="D100" s="7" t="n"/>
      <c r="E100" s="8" t="n"/>
      <c r="F100" s="6" t="n"/>
    </row>
    <row r="101">
      <c r="A101" s="7" t="n"/>
      <c r="B101" s="6" t="n"/>
      <c r="C101" s="7" t="n"/>
      <c r="D101" s="7" t="n"/>
      <c r="E101" s="8" t="n"/>
      <c r="F101" s="6" t="n"/>
    </row>
    <row r="102">
      <c r="A102" s="7" t="n"/>
      <c r="B102" s="6" t="n"/>
      <c r="C102" s="7" t="n"/>
      <c r="D102" s="7" t="n"/>
      <c r="E102" s="8" t="n"/>
      <c r="F102" s="6" t="n"/>
    </row>
    <row r="103">
      <c r="A103" s="7" t="n"/>
      <c r="B103" s="6" t="n"/>
      <c r="C103" s="7" t="n"/>
      <c r="D103" s="7" t="n"/>
      <c r="E103" s="8" t="n"/>
      <c r="F103" s="6" t="n"/>
    </row>
    <row r="104">
      <c r="A104" s="7" t="n"/>
      <c r="B104" s="6" t="n"/>
      <c r="C104" s="7" t="n"/>
      <c r="D104" s="7" t="n"/>
      <c r="E104" s="8" t="n"/>
      <c r="F104" s="6" t="n"/>
    </row>
    <row r="105">
      <c r="A105" s="7" t="n"/>
      <c r="B105" s="6" t="n"/>
      <c r="C105" s="7" t="n"/>
      <c r="D105" s="7" t="n"/>
      <c r="E105" s="8" t="n"/>
      <c r="F105" s="6" t="n"/>
    </row>
    <row r="106">
      <c r="A106" s="7" t="n"/>
      <c r="B106" s="6" t="n"/>
      <c r="C106" s="7" t="n"/>
      <c r="D106" s="7" t="n"/>
      <c r="E106" s="8" t="n"/>
      <c r="F106" s="6" t="n"/>
    </row>
    <row r="107">
      <c r="A107" s="7" t="n"/>
      <c r="B107" s="6" t="n"/>
      <c r="C107" s="7" t="n"/>
      <c r="D107" s="7" t="n"/>
      <c r="E107" s="8" t="n"/>
      <c r="F107" s="6" t="n"/>
    </row>
    <row r="108">
      <c r="A108" s="7" t="n"/>
      <c r="B108" s="6" t="n"/>
      <c r="C108" s="7" t="n"/>
      <c r="D108" s="7" t="n"/>
      <c r="E108" s="8" t="n"/>
      <c r="F108" s="6" t="n"/>
    </row>
    <row r="109">
      <c r="A109" s="7" t="n"/>
      <c r="B109" s="6" t="n"/>
      <c r="C109" s="7" t="n"/>
      <c r="D109" s="7" t="n"/>
      <c r="E109" s="8" t="n"/>
      <c r="F109" s="6" t="n"/>
    </row>
    <row r="110">
      <c r="A110" s="7" t="n"/>
      <c r="B110" s="6" t="n"/>
      <c r="C110" s="7" t="n"/>
      <c r="D110" s="7" t="n"/>
      <c r="E110" s="8" t="n"/>
      <c r="F110" s="6" t="n"/>
    </row>
    <row r="111">
      <c r="A111" s="7" t="n"/>
      <c r="B111" s="6" t="n"/>
      <c r="C111" s="7" t="n"/>
      <c r="D111" s="7" t="n"/>
      <c r="E111" s="8" t="n"/>
      <c r="F111" s="6" t="n"/>
    </row>
    <row r="112">
      <c r="A112" s="7" t="n"/>
      <c r="B112" s="6" t="n"/>
      <c r="C112" s="7" t="n"/>
      <c r="D112" s="7" t="n"/>
      <c r="E112" s="8" t="n"/>
      <c r="F112" s="6" t="n"/>
    </row>
    <row r="113">
      <c r="A113" s="7" t="n"/>
      <c r="B113" s="6" t="n"/>
      <c r="C113" s="7" t="n"/>
      <c r="D113" s="7" t="n"/>
      <c r="E113" s="8" t="n"/>
      <c r="F113" s="6" t="n"/>
    </row>
    <row r="114">
      <c r="A114" s="7" t="n"/>
      <c r="B114" s="6" t="n"/>
      <c r="C114" s="7" t="n"/>
      <c r="D114" s="7" t="n"/>
      <c r="E114" s="8" t="n"/>
      <c r="F114" s="6" t="n"/>
    </row>
    <row r="115">
      <c r="A115" s="7" t="n"/>
      <c r="B115" s="6" t="n"/>
      <c r="C115" s="7" t="n"/>
      <c r="D115" s="7" t="n"/>
      <c r="E115" s="8" t="n"/>
      <c r="F115" s="6" t="n"/>
    </row>
    <row r="116">
      <c r="A116" s="7" t="n"/>
      <c r="B116" s="6" t="n"/>
      <c r="C116" s="7" t="n"/>
      <c r="D116" s="7" t="n"/>
      <c r="E116" s="8" t="n"/>
      <c r="F116" s="6" t="n"/>
    </row>
    <row r="117">
      <c r="A117" s="7" t="n"/>
      <c r="B117" s="6" t="n"/>
      <c r="C117" s="7" t="n"/>
      <c r="D117" s="7" t="n"/>
      <c r="E117" s="8" t="n"/>
      <c r="F117" s="6" t="n"/>
    </row>
    <row r="118">
      <c r="A118" s="7" t="n"/>
      <c r="B118" s="6" t="n"/>
      <c r="C118" s="7" t="n"/>
      <c r="D118" s="7" t="n"/>
      <c r="E118" s="8" t="n"/>
      <c r="F118" s="6" t="n"/>
    </row>
    <row r="119">
      <c r="A119" s="7" t="n"/>
      <c r="B119" s="6" t="n"/>
      <c r="C119" s="7" t="n"/>
      <c r="D119" s="7" t="n"/>
      <c r="E119" s="8" t="n"/>
      <c r="F119" s="6" t="n"/>
    </row>
    <row r="120">
      <c r="A120" s="7" t="n"/>
      <c r="B120" s="6" t="n"/>
      <c r="C120" s="7" t="n"/>
      <c r="D120" s="7" t="n"/>
      <c r="E120" s="8" t="n"/>
      <c r="F120" s="6" t="n"/>
    </row>
    <row r="121">
      <c r="A121" s="7" t="n"/>
      <c r="B121" s="6" t="n"/>
      <c r="C121" s="7" t="n"/>
      <c r="D121" s="7" t="n"/>
      <c r="E121" s="8" t="n"/>
      <c r="F121" s="6" t="n"/>
    </row>
    <row r="122">
      <c r="A122" s="7" t="n"/>
      <c r="B122" s="6" t="n"/>
      <c r="C122" s="7" t="n"/>
      <c r="D122" s="7" t="n"/>
      <c r="E122" s="8" t="n"/>
      <c r="F122" s="6" t="n"/>
    </row>
    <row r="123">
      <c r="A123" s="7" t="n"/>
      <c r="B123" s="6" t="n"/>
      <c r="C123" s="7" t="n"/>
      <c r="D123" s="7" t="n"/>
      <c r="E123" s="8" t="n"/>
      <c r="F123" s="6" t="n"/>
    </row>
    <row r="124">
      <c r="A124" s="7" t="n"/>
      <c r="B124" s="6" t="n"/>
      <c r="C124" s="7" t="n"/>
      <c r="D124" s="7" t="n"/>
      <c r="E124" s="8" t="n"/>
      <c r="F124" s="6" t="n"/>
    </row>
    <row r="125">
      <c r="A125" s="7" t="n"/>
      <c r="B125" s="6" t="n"/>
      <c r="C125" s="7" t="n"/>
      <c r="D125" s="7" t="n"/>
      <c r="E125" s="8" t="n"/>
      <c r="F125" s="6" t="n"/>
    </row>
    <row r="126">
      <c r="A126" s="7" t="n"/>
      <c r="B126" s="6" t="n"/>
      <c r="C126" s="7" t="n"/>
      <c r="D126" s="7" t="n"/>
      <c r="E126" s="8" t="n"/>
      <c r="F126" s="6" t="n"/>
    </row>
    <row r="127">
      <c r="A127" s="7" t="n"/>
      <c r="B127" s="6" t="n"/>
      <c r="C127" s="7" t="n"/>
      <c r="D127" s="7" t="n"/>
      <c r="E127" s="8" t="n"/>
      <c r="F127" s="6" t="n"/>
    </row>
    <row r="128">
      <c r="A128" s="7" t="n"/>
      <c r="B128" s="6" t="n"/>
      <c r="C128" s="7" t="n"/>
      <c r="D128" s="7" t="n"/>
      <c r="E128" s="8" t="n"/>
      <c r="F128" s="6" t="n"/>
    </row>
    <row r="129">
      <c r="A129" s="7" t="n"/>
      <c r="B129" s="6" t="n"/>
      <c r="C129" s="7" t="n"/>
      <c r="D129" s="7" t="n"/>
      <c r="E129" s="8" t="n"/>
      <c r="F129" s="6" t="n"/>
    </row>
    <row r="130">
      <c r="A130" s="7" t="n"/>
      <c r="B130" s="6" t="n"/>
      <c r="C130" s="7" t="n"/>
      <c r="D130" s="7" t="n"/>
      <c r="E130" s="8" t="n"/>
      <c r="F130" s="6" t="n"/>
    </row>
    <row r="131">
      <c r="A131" s="7" t="n"/>
      <c r="B131" s="6" t="n"/>
      <c r="C131" s="7" t="n"/>
      <c r="D131" s="7" t="n"/>
      <c r="E131" s="8" t="n"/>
      <c r="F131" s="6" t="n"/>
    </row>
    <row r="132">
      <c r="A132" s="7" t="n"/>
      <c r="B132" s="6" t="n"/>
      <c r="C132" s="7" t="n"/>
      <c r="D132" s="7" t="n"/>
      <c r="E132" s="8" t="n"/>
      <c r="F132" s="6" t="n"/>
    </row>
    <row r="133">
      <c r="A133" s="7" t="n"/>
      <c r="B133" s="6" t="n"/>
      <c r="C133" s="7" t="n"/>
      <c r="D133" s="7" t="n"/>
      <c r="E133" s="8" t="n"/>
      <c r="F133" s="6" t="n"/>
    </row>
    <row r="134">
      <c r="A134" s="7" t="n"/>
      <c r="B134" s="6" t="n"/>
      <c r="C134" s="7" t="n"/>
      <c r="D134" s="7" t="n"/>
      <c r="E134" s="8" t="n"/>
      <c r="F134" s="6" t="n"/>
    </row>
    <row r="135">
      <c r="A135" s="7" t="n"/>
      <c r="B135" s="6" t="n"/>
      <c r="C135" s="7" t="n"/>
      <c r="D135" s="7" t="n"/>
      <c r="E135" s="8" t="n"/>
      <c r="F135" s="6" t="n"/>
    </row>
    <row r="136">
      <c r="A136" s="7" t="n"/>
      <c r="B136" s="6" t="n"/>
      <c r="C136" s="7" t="n"/>
      <c r="D136" s="7" t="n"/>
      <c r="E136" s="8" t="n"/>
      <c r="F136" s="6" t="n"/>
    </row>
    <row r="137">
      <c r="A137" s="7" t="n"/>
      <c r="B137" s="6" t="n"/>
      <c r="C137" s="7" t="n"/>
      <c r="D137" s="7" t="n"/>
      <c r="E137" s="8" t="n"/>
      <c r="F137" s="6" t="n"/>
    </row>
    <row r="138">
      <c r="A138" s="7" t="n"/>
      <c r="B138" s="6" t="n"/>
      <c r="C138" s="7" t="n"/>
      <c r="D138" s="7" t="n"/>
      <c r="E138" s="8" t="n"/>
      <c r="F138" s="6" t="n"/>
    </row>
    <row r="139">
      <c r="A139" s="7" t="n"/>
      <c r="B139" s="6" t="n"/>
      <c r="C139" s="7" t="n"/>
      <c r="D139" s="7" t="n"/>
      <c r="E139" s="8" t="n"/>
      <c r="F139" s="6" t="n"/>
    </row>
    <row r="140">
      <c r="A140" s="7" t="n"/>
      <c r="B140" s="6" t="n"/>
      <c r="C140" s="7" t="n"/>
      <c r="D140" s="7" t="n"/>
      <c r="E140" s="8" t="n"/>
      <c r="F140" s="6" t="n"/>
    </row>
    <row r="141">
      <c r="A141" s="7" t="n"/>
      <c r="B141" s="6" t="n"/>
      <c r="C141" s="7" t="n"/>
      <c r="D141" s="7" t="n"/>
      <c r="E141" s="8" t="n"/>
      <c r="F141" s="6" t="n"/>
    </row>
    <row r="142">
      <c r="A142" s="7" t="n"/>
      <c r="B142" s="6" t="n"/>
      <c r="C142" s="7" t="n"/>
      <c r="D142" s="7" t="n"/>
      <c r="E142" s="8" t="n"/>
      <c r="F142" s="6" t="n"/>
    </row>
    <row r="143">
      <c r="A143" s="7" t="n"/>
      <c r="B143" s="6" t="n"/>
      <c r="C143" s="7" t="n"/>
      <c r="D143" s="7" t="n"/>
      <c r="E143" s="8" t="n"/>
      <c r="F143" s="6" t="n"/>
    </row>
    <row r="144">
      <c r="A144" s="7" t="n"/>
      <c r="B144" s="6" t="n"/>
      <c r="C144" s="7" t="n"/>
      <c r="D144" s="7" t="n"/>
      <c r="E144" s="8" t="n"/>
      <c r="F144" s="6" t="n"/>
    </row>
    <row r="145">
      <c r="A145" s="7" t="n"/>
      <c r="B145" s="6" t="n"/>
      <c r="C145" s="7" t="n"/>
      <c r="D145" s="7" t="n"/>
      <c r="E145" s="8" t="n"/>
      <c r="F145" s="6" t="n"/>
    </row>
    <row r="146">
      <c r="A146" s="7" t="n"/>
      <c r="B146" s="6" t="n"/>
      <c r="C146" s="7" t="n"/>
      <c r="D146" s="7" t="n"/>
      <c r="E146" s="8" t="n"/>
      <c r="F146" s="6" t="n"/>
    </row>
    <row r="147">
      <c r="A147" s="7" t="n"/>
      <c r="B147" s="6" t="n"/>
      <c r="C147" s="7" t="n"/>
      <c r="D147" s="7" t="n"/>
      <c r="E147" s="8" t="n"/>
      <c r="F147" s="6" t="n"/>
    </row>
    <row r="148">
      <c r="A148" s="7" t="n"/>
      <c r="B148" s="6" t="n"/>
      <c r="C148" s="7" t="n"/>
      <c r="D148" s="7" t="n"/>
      <c r="E148" s="8" t="n"/>
      <c r="F148" s="6" t="n"/>
    </row>
    <row r="149">
      <c r="A149" s="7" t="n"/>
      <c r="B149" s="6" t="n"/>
      <c r="C149" s="7" t="n"/>
      <c r="D149" s="7" t="n"/>
      <c r="E149" s="8" t="n"/>
      <c r="F149" s="6" t="n"/>
    </row>
    <row r="150">
      <c r="A150" s="7" t="n"/>
      <c r="B150" s="6" t="n"/>
      <c r="C150" s="7" t="n"/>
      <c r="D150" s="7" t="n"/>
      <c r="E150" s="8" t="n"/>
      <c r="F150" s="6" t="n"/>
    </row>
    <row r="151">
      <c r="A151" s="7" t="n"/>
      <c r="B151" s="6" t="n"/>
      <c r="C151" s="7" t="n"/>
      <c r="D151" s="7" t="n"/>
      <c r="E151" s="8" t="n"/>
      <c r="F151" s="6" t="n"/>
    </row>
    <row r="152">
      <c r="A152" s="7" t="n"/>
      <c r="B152" s="6" t="n"/>
      <c r="C152" s="7" t="n"/>
      <c r="D152" s="7" t="n"/>
      <c r="E152" s="8" t="n"/>
      <c r="F152" s="6" t="n"/>
    </row>
    <row r="153">
      <c r="A153" s="7" t="n"/>
      <c r="B153" s="6" t="n"/>
      <c r="C153" s="7" t="n"/>
      <c r="D153" s="7" t="n"/>
      <c r="E153" s="8" t="n"/>
      <c r="F153" s="6" t="n"/>
    </row>
    <row r="154">
      <c r="A154" s="7" t="n"/>
      <c r="B154" s="6" t="n"/>
      <c r="C154" s="7" t="n"/>
      <c r="D154" s="7" t="n"/>
      <c r="E154" s="8" t="n"/>
      <c r="F154" s="6" t="n"/>
    </row>
    <row r="155">
      <c r="A155" s="7" t="n"/>
      <c r="B155" s="6" t="n"/>
      <c r="C155" s="7" t="n"/>
      <c r="D155" s="7" t="n"/>
      <c r="E155" s="8" t="n"/>
      <c r="F155" s="6" t="n"/>
    </row>
    <row r="156">
      <c r="A156" s="7" t="n"/>
      <c r="B156" s="6" t="n"/>
      <c r="C156" s="7" t="n"/>
      <c r="D156" s="7" t="n"/>
      <c r="E156" s="8" t="n"/>
      <c r="F156" s="6" t="n"/>
    </row>
    <row r="157">
      <c r="A157" s="7" t="n"/>
      <c r="B157" s="6" t="n"/>
      <c r="C157" s="7" t="n"/>
      <c r="D157" s="7" t="n"/>
      <c r="E157" s="8" t="n"/>
      <c r="F157" s="6" t="n"/>
    </row>
    <row r="158">
      <c r="A158" s="7" t="n"/>
      <c r="B158" s="6" t="n"/>
      <c r="C158" s="7" t="n"/>
      <c r="D158" s="7" t="n"/>
      <c r="E158" s="8" t="n"/>
      <c r="F158" s="6" t="n"/>
    </row>
    <row r="159">
      <c r="A159" s="7" t="n"/>
      <c r="B159" s="6" t="n"/>
      <c r="C159" s="7" t="n"/>
      <c r="D159" s="7" t="n"/>
      <c r="E159" s="8" t="n"/>
      <c r="F159" s="6" t="n"/>
    </row>
    <row r="160">
      <c r="A160" s="7" t="n"/>
      <c r="B160" s="6" t="n"/>
      <c r="C160" s="7" t="n"/>
      <c r="D160" s="7" t="n"/>
      <c r="E160" s="8" t="n"/>
      <c r="F160" s="6" t="n"/>
    </row>
    <row r="161">
      <c r="A161" s="7" t="n"/>
      <c r="B161" s="6" t="n"/>
      <c r="C161" s="7" t="n"/>
      <c r="D161" s="7" t="n"/>
      <c r="E161" s="8" t="n"/>
      <c r="F161" s="6" t="n"/>
    </row>
    <row r="162">
      <c r="A162" s="7" t="n"/>
      <c r="B162" s="6" t="n"/>
      <c r="C162" s="7" t="n"/>
      <c r="D162" s="7" t="n"/>
      <c r="E162" s="8" t="n"/>
      <c r="F162" s="6" t="n"/>
    </row>
    <row r="163">
      <c r="A163" s="7" t="n"/>
      <c r="B163" s="6" t="n"/>
      <c r="C163" s="7" t="n"/>
      <c r="D163" s="7" t="n"/>
      <c r="E163" s="8" t="n"/>
      <c r="F163" s="6" t="n"/>
    </row>
    <row r="164">
      <c r="A164" s="7" t="n"/>
      <c r="B164" s="6" t="n"/>
      <c r="C164" s="7" t="n"/>
      <c r="D164" s="7" t="n"/>
      <c r="E164" s="8" t="n"/>
      <c r="F164" s="6" t="n"/>
    </row>
    <row r="165">
      <c r="A165" s="7" t="n"/>
      <c r="B165" s="6" t="n"/>
      <c r="C165" s="7" t="n"/>
      <c r="D165" s="7" t="n"/>
      <c r="E165" s="8" t="n"/>
      <c r="F165" s="6" t="n"/>
    </row>
    <row r="166">
      <c r="A166" s="7" t="n"/>
      <c r="B166" s="6" t="n"/>
      <c r="C166" s="7" t="n"/>
      <c r="D166" s="7" t="n"/>
      <c r="E166" s="8" t="n"/>
      <c r="F166" s="6" t="n"/>
    </row>
    <row r="167">
      <c r="A167" s="7" t="n"/>
      <c r="B167" s="6" t="n"/>
      <c r="C167" s="7" t="n"/>
      <c r="D167" s="7" t="n"/>
      <c r="E167" s="8" t="n"/>
      <c r="F167" s="6" t="n"/>
    </row>
    <row r="168">
      <c r="A168" s="7" t="n"/>
      <c r="B168" s="6" t="n"/>
      <c r="C168" s="7" t="n"/>
      <c r="D168" s="7" t="n"/>
      <c r="E168" s="8" t="n"/>
      <c r="F168" s="6" t="n"/>
    </row>
    <row r="169">
      <c r="A169" s="7" t="n"/>
      <c r="B169" s="6" t="n"/>
      <c r="C169" s="7" t="n"/>
      <c r="D169" s="7" t="n"/>
      <c r="E169" s="8" t="n"/>
      <c r="F169" s="6" t="n"/>
    </row>
    <row r="170">
      <c r="A170" s="7" t="n"/>
      <c r="B170" s="6" t="n"/>
      <c r="C170" s="7" t="n"/>
      <c r="D170" s="7" t="n"/>
      <c r="E170" s="8" t="n"/>
      <c r="F170" s="6" t="n"/>
    </row>
    <row r="171">
      <c r="A171" s="7" t="n"/>
      <c r="B171" s="6" t="n"/>
      <c r="C171" s="7" t="n"/>
      <c r="D171" s="7" t="n"/>
      <c r="E171" s="8" t="n"/>
      <c r="F171" s="6" t="n"/>
    </row>
    <row r="172">
      <c r="A172" s="7" t="n"/>
      <c r="B172" s="6" t="n"/>
      <c r="C172" s="7" t="n"/>
      <c r="D172" s="7" t="n"/>
      <c r="E172" s="8" t="n"/>
      <c r="F172" s="6" t="n"/>
    </row>
    <row r="173">
      <c r="A173" s="7" t="n"/>
      <c r="B173" s="6" t="n"/>
      <c r="C173" s="7" t="n"/>
      <c r="D173" s="7" t="n"/>
      <c r="E173" s="8" t="n"/>
      <c r="F173" s="6" t="n"/>
    </row>
    <row r="174">
      <c r="A174" s="7" t="n"/>
      <c r="B174" s="6" t="n"/>
      <c r="C174" s="7" t="n"/>
      <c r="D174" s="7" t="n"/>
      <c r="E174" s="8" t="n"/>
      <c r="F174" s="6" t="n"/>
    </row>
    <row r="175">
      <c r="A175" s="7" t="n"/>
      <c r="B175" s="6" t="n"/>
      <c r="C175" s="7" t="n"/>
      <c r="D175" s="7" t="n"/>
      <c r="E175" s="8" t="n"/>
      <c r="F175" s="6" t="n"/>
    </row>
    <row r="176">
      <c r="A176" s="7" t="n"/>
      <c r="B176" s="6" t="n"/>
      <c r="C176" s="7" t="n"/>
      <c r="D176" s="7" t="n"/>
      <c r="E176" s="8" t="n"/>
      <c r="F176" s="6" t="n"/>
    </row>
    <row r="177">
      <c r="A177" s="7" t="n"/>
      <c r="B177" s="6" t="n"/>
      <c r="C177" s="7" t="n"/>
      <c r="D177" s="7" t="n"/>
      <c r="E177" s="8" t="n"/>
      <c r="F177" s="6" t="n"/>
    </row>
    <row r="178">
      <c r="A178" s="7" t="n"/>
      <c r="B178" s="6" t="n"/>
      <c r="C178" s="7" t="n"/>
      <c r="D178" s="7" t="n"/>
      <c r="E178" s="8" t="n"/>
      <c r="F178" s="6" t="n"/>
    </row>
    <row r="179">
      <c r="A179" s="7" t="n"/>
      <c r="B179" s="6" t="n"/>
      <c r="C179" s="7" t="n"/>
      <c r="D179" s="7" t="n"/>
      <c r="E179" s="8" t="n"/>
      <c r="F179" s="6" t="n"/>
    </row>
    <row r="180">
      <c r="A180" s="7" t="n"/>
      <c r="B180" s="6" t="n"/>
      <c r="C180" s="7" t="n"/>
      <c r="D180" s="7" t="n"/>
      <c r="E180" s="8" t="n"/>
      <c r="F180" s="6" t="n"/>
    </row>
    <row r="181">
      <c r="A181" s="7" t="n"/>
      <c r="B181" s="6" t="n"/>
      <c r="C181" s="7" t="n"/>
      <c r="D181" s="7" t="n"/>
      <c r="E181" s="8" t="n"/>
      <c r="F181" s="6" t="n"/>
    </row>
    <row r="182">
      <c r="A182" s="7" t="n"/>
      <c r="B182" s="6" t="n"/>
      <c r="C182" s="7" t="n"/>
      <c r="D182" s="7" t="n"/>
      <c r="E182" s="8" t="n"/>
      <c r="F182" s="6" t="n"/>
    </row>
    <row r="183">
      <c r="A183" s="7" t="n"/>
      <c r="B183" s="6" t="n"/>
      <c r="C183" s="7" t="n"/>
      <c r="D183" s="7" t="n"/>
      <c r="E183" s="8" t="n"/>
      <c r="F183" s="6" t="n"/>
    </row>
    <row r="184">
      <c r="A184" s="7" t="n"/>
      <c r="B184" s="6" t="n"/>
      <c r="C184" s="7" t="n"/>
      <c r="D184" s="7" t="n"/>
      <c r="E184" s="8" t="n"/>
      <c r="F184" s="6" t="n"/>
    </row>
    <row r="185">
      <c r="A185" s="7" t="n"/>
      <c r="B185" s="6" t="n"/>
      <c r="C185" s="7" t="n"/>
      <c r="D185" s="7" t="n"/>
      <c r="E185" s="8" t="n"/>
      <c r="F185" s="6" t="n"/>
    </row>
    <row r="186">
      <c r="A186" s="7" t="n"/>
      <c r="B186" s="6" t="n"/>
      <c r="C186" s="7" t="n"/>
      <c r="D186" s="7" t="n"/>
      <c r="E186" s="8" t="n"/>
      <c r="F186" s="6" t="n"/>
    </row>
    <row r="187">
      <c r="A187" s="7" t="n"/>
      <c r="B187" s="6" t="n"/>
      <c r="C187" s="7" t="n"/>
      <c r="D187" s="7" t="n"/>
      <c r="E187" s="8" t="n"/>
      <c r="F187" s="6" t="n"/>
    </row>
    <row r="188">
      <c r="A188" s="7" t="n"/>
      <c r="B188" s="6" t="n"/>
      <c r="C188" s="7" t="n"/>
      <c r="D188" s="7" t="n"/>
      <c r="E188" s="8" t="n"/>
      <c r="F188" s="6" t="n"/>
    </row>
    <row r="189">
      <c r="A189" s="7" t="n"/>
      <c r="B189" s="6" t="n"/>
      <c r="C189" s="7" t="n"/>
      <c r="D189" s="7" t="n"/>
      <c r="E189" s="8" t="n"/>
      <c r="F189" s="6" t="n"/>
    </row>
    <row r="190">
      <c r="A190" s="7" t="n"/>
      <c r="B190" s="6" t="n"/>
      <c r="C190" s="7" t="n"/>
      <c r="D190" s="7" t="n"/>
      <c r="E190" s="8" t="n"/>
      <c r="F190" s="6" t="n"/>
    </row>
    <row r="191">
      <c r="A191" s="7" t="n"/>
      <c r="B191" s="6" t="n"/>
      <c r="C191" s="7" t="n"/>
      <c r="D191" s="7" t="n"/>
      <c r="E191" s="8" t="n"/>
      <c r="F191" s="6" t="n"/>
    </row>
    <row r="192">
      <c r="A192" s="7" t="n"/>
      <c r="B192" s="6" t="n"/>
      <c r="C192" s="7" t="n"/>
      <c r="D192" s="7" t="n"/>
      <c r="E192" s="8" t="n"/>
      <c r="F192" s="6" t="n"/>
    </row>
    <row r="193">
      <c r="A193" s="7" t="n"/>
      <c r="B193" s="6" t="n"/>
      <c r="C193" s="7" t="n"/>
      <c r="D193" s="7" t="n"/>
      <c r="E193" s="8" t="n"/>
      <c r="F193" s="6" t="n"/>
    </row>
    <row r="194">
      <c r="A194" s="7" t="n"/>
      <c r="B194" s="6" t="n"/>
      <c r="C194" s="7" t="n"/>
      <c r="D194" s="7" t="n"/>
      <c r="E194" s="8" t="n"/>
      <c r="F194" s="6" t="n"/>
    </row>
    <row r="195">
      <c r="A195" s="7" t="n"/>
      <c r="B195" s="6" t="n"/>
      <c r="C195" s="7" t="n"/>
      <c r="D195" s="7" t="n"/>
      <c r="E195" s="8" t="n"/>
      <c r="F195" s="6" t="n"/>
    </row>
    <row r="196">
      <c r="A196" s="7" t="n"/>
      <c r="B196" s="6" t="n"/>
      <c r="C196" s="7" t="n"/>
      <c r="D196" s="7" t="n"/>
      <c r="E196" s="8" t="n"/>
      <c r="F196" s="6" t="n"/>
    </row>
    <row r="197">
      <c r="A197" s="7" t="n"/>
      <c r="B197" s="6" t="n"/>
      <c r="C197" s="7" t="n"/>
      <c r="D197" s="7" t="n"/>
      <c r="E197" s="8" t="n"/>
      <c r="F197" s="6" t="n"/>
    </row>
    <row r="198">
      <c r="A198" s="7" t="n"/>
      <c r="B198" s="6" t="n"/>
      <c r="C198" s="7" t="n"/>
      <c r="D198" s="7" t="n"/>
      <c r="E198" s="8" t="n"/>
      <c r="F198" s="6" t="n"/>
    </row>
    <row r="199">
      <c r="A199" s="7" t="n"/>
      <c r="B199" s="6" t="n"/>
      <c r="C199" s="7" t="n"/>
      <c r="D199" s="7" t="n"/>
      <c r="E199" s="8" t="n"/>
      <c r="F199" s="6" t="n"/>
    </row>
    <row r="200">
      <c r="A200" s="7" t="n"/>
      <c r="B200" s="6" t="n"/>
      <c r="C200" s="7" t="n"/>
      <c r="D200" s="7" t="n"/>
      <c r="E200" s="8" t="n"/>
      <c r="F200" s="6" t="n"/>
    </row>
    <row r="201">
      <c r="A201" s="7" t="n"/>
      <c r="B201" s="6" t="n"/>
      <c r="C201" s="7" t="n"/>
      <c r="D201" s="7" t="n"/>
      <c r="E201" s="8" t="n"/>
      <c r="F201" s="6" t="n"/>
    </row>
    <row r="203">
      <c r="D203" s="14" t="inlineStr">
        <is>
          <t>합계</t>
        </is>
      </c>
      <c r="E203" s="15">
        <f>SUM(E2:E201)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7" customWidth="1" min="26" max="26"/>
    <col width="13" customWidth="1" min="27" max="27"/>
  </cols>
  <sheetData>
    <row r="1">
      <c r="A1" s="16" t="inlineStr">
        <is>
          <t>월 기여 보고 제출 기록</t>
        </is>
      </c>
    </row>
    <row r="2">
      <c r="A2" s="17" t="inlineStr">
        <is>
          <t>사람마다 한 줄, 달마다 한 칸. 냈으면 O, 안 냈으면 X. 맨 오른쪽 칸이 «지금 몇 회 연속으로 안 냈는지»를 자동으로 셉니다.</t>
        </is>
      </c>
    </row>
    <row r="4">
      <c r="A4" s="18" t="inlineStr">
        <is>
          <t>주주 이름</t>
        </is>
      </c>
      <c r="B4" s="18" t="inlineStr">
        <is>
          <t>1월차</t>
        </is>
      </c>
      <c r="C4" s="18" t="inlineStr">
        <is>
          <t>2월차</t>
        </is>
      </c>
      <c r="D4" s="18" t="inlineStr">
        <is>
          <t>3월차</t>
        </is>
      </c>
      <c r="E4" s="18" t="inlineStr">
        <is>
          <t>4월차</t>
        </is>
      </c>
      <c r="F4" s="18" t="inlineStr">
        <is>
          <t>5월차</t>
        </is>
      </c>
      <c r="G4" s="18" t="inlineStr">
        <is>
          <t>6월차</t>
        </is>
      </c>
      <c r="H4" s="18" t="inlineStr">
        <is>
          <t>7월차</t>
        </is>
      </c>
      <c r="I4" s="18" t="inlineStr">
        <is>
          <t>8월차</t>
        </is>
      </c>
      <c r="J4" s="18" t="inlineStr">
        <is>
          <t>9월차</t>
        </is>
      </c>
      <c r="K4" s="18" t="inlineStr">
        <is>
          <t>10월차</t>
        </is>
      </c>
      <c r="L4" s="18" t="inlineStr">
        <is>
          <t>11월차</t>
        </is>
      </c>
      <c r="M4" s="18" t="inlineStr">
        <is>
          <t>12월차</t>
        </is>
      </c>
      <c r="N4" s="18" t="inlineStr">
        <is>
          <t>13월차</t>
        </is>
      </c>
      <c r="O4" s="18" t="inlineStr">
        <is>
          <t>14월차</t>
        </is>
      </c>
      <c r="P4" s="18" t="inlineStr">
        <is>
          <t>15월차</t>
        </is>
      </c>
      <c r="Q4" s="18" t="inlineStr">
        <is>
          <t>16월차</t>
        </is>
      </c>
      <c r="R4" s="18" t="inlineStr">
        <is>
          <t>17월차</t>
        </is>
      </c>
      <c r="S4" s="18" t="inlineStr">
        <is>
          <t>18월차</t>
        </is>
      </c>
      <c r="T4" s="18" t="inlineStr">
        <is>
          <t>19월차</t>
        </is>
      </c>
      <c r="U4" s="18" t="inlineStr">
        <is>
          <t>20월차</t>
        </is>
      </c>
      <c r="V4" s="18" t="inlineStr">
        <is>
          <t>21월차</t>
        </is>
      </c>
      <c r="W4" s="18" t="inlineStr">
        <is>
          <t>22월차</t>
        </is>
      </c>
      <c r="X4" s="18" t="inlineStr">
        <is>
          <t>23월차</t>
        </is>
      </c>
      <c r="Y4" s="18" t="inlineStr">
        <is>
          <t>24월차</t>
        </is>
      </c>
      <c r="Z4" s="18" t="inlineStr">
        <is>
          <t>최근 3개월 미제출</t>
        </is>
      </c>
      <c r="AA4" s="18" t="inlineStr">
        <is>
          <t>미제출 누계</t>
        </is>
      </c>
    </row>
    <row r="5">
      <c r="A5" s="19" t="inlineStr">
        <is>
          <t>(예시) 홍길동</t>
        </is>
      </c>
      <c r="B5" s="20" t="inlineStr">
        <is>
          <t>O</t>
        </is>
      </c>
      <c r="C5" s="20" t="inlineStr">
        <is>
          <t>O</t>
        </is>
      </c>
      <c r="D5" s="20" t="inlineStr">
        <is>
          <t>X</t>
        </is>
      </c>
      <c r="E5" s="20" t="n"/>
      <c r="F5" s="20" t="n"/>
      <c r="G5" s="20" t="n"/>
      <c r="H5" s="20" t="n"/>
      <c r="I5" s="20" t="n"/>
      <c r="J5" s="20" t="n"/>
      <c r="K5" s="20" t="n"/>
      <c r="L5" s="20" t="n"/>
      <c r="M5" s="20" t="n"/>
      <c r="N5" s="20" t="n"/>
      <c r="O5" s="20" t="n"/>
      <c r="P5" s="20" t="n"/>
      <c r="Q5" s="20" t="n"/>
      <c r="R5" s="20" t="n"/>
      <c r="S5" s="20" t="n"/>
      <c r="T5" s="20" t="n"/>
      <c r="U5" s="20" t="n"/>
      <c r="V5" s="20" t="n"/>
      <c r="W5" s="20" t="n"/>
      <c r="X5" s="20" t="n"/>
      <c r="Y5" s="20" t="n"/>
      <c r="Z5" s="21">
        <f>IF($A5="","",IF(COUNTA($B5:$Y5)&lt;3,COUNTIF($B5:$Y5,"X"),COUNTIF(OFFSET($B5,0,COUNTA($B5:$Y5)-3,1,3),"X")))</f>
        <v/>
      </c>
      <c r="AA5" s="22">
        <f>IF($A5="","",COUNTIF($B5:$Y5,"X"))</f>
        <v/>
      </c>
    </row>
    <row r="6">
      <c r="A6" s="19" t="n"/>
      <c r="B6" s="20" t="n"/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0" t="n"/>
      <c r="X6" s="20" t="n"/>
      <c r="Y6" s="20" t="n"/>
      <c r="Z6" s="21">
        <f>IF($A6="","",IF(COUNTA($B6:$Y6)&lt;3,COUNTIF($B6:$Y6,"X"),COUNTIF(OFFSET($B6,0,COUNTA($B6:$Y6)-3,1,3),"X")))</f>
        <v/>
      </c>
      <c r="AA6" s="22">
        <f>IF($A6="","",COUNTIF($B6:$Y6,"X"))</f>
        <v/>
      </c>
    </row>
    <row r="7">
      <c r="A7" s="19" t="n"/>
      <c r="B7" s="20" t="n"/>
      <c r="C7" s="20" t="n"/>
      <c r="D7" s="20" t="n"/>
      <c r="E7" s="20" t="n"/>
      <c r="F7" s="20" t="n"/>
      <c r="G7" s="20" t="n"/>
      <c r="H7" s="20" t="n"/>
      <c r="I7" s="20" t="n"/>
      <c r="J7" s="20" t="n"/>
      <c r="K7" s="20" t="n"/>
      <c r="L7" s="20" t="n"/>
      <c r="M7" s="20" t="n"/>
      <c r="N7" s="20" t="n"/>
      <c r="O7" s="20" t="n"/>
      <c r="P7" s="20" t="n"/>
      <c r="Q7" s="20" t="n"/>
      <c r="R7" s="20" t="n"/>
      <c r="S7" s="20" t="n"/>
      <c r="T7" s="20" t="n"/>
      <c r="U7" s="20" t="n"/>
      <c r="V7" s="20" t="n"/>
      <c r="W7" s="20" t="n"/>
      <c r="X7" s="20" t="n"/>
      <c r="Y7" s="20" t="n"/>
      <c r="Z7" s="21">
        <f>IF($A7="","",IF(COUNTA($B7:$Y7)&lt;3,COUNTIF($B7:$Y7,"X"),COUNTIF(OFFSET($B7,0,COUNTA($B7:$Y7)-3,1,3),"X")))</f>
        <v/>
      </c>
      <c r="AA7" s="22">
        <f>IF($A7="","",COUNTIF($B7:$Y7,"X"))</f>
        <v/>
      </c>
    </row>
    <row r="8">
      <c r="A8" s="19" t="n"/>
      <c r="B8" s="20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0" t="n"/>
      <c r="X8" s="20" t="n"/>
      <c r="Y8" s="20" t="n"/>
      <c r="Z8" s="21">
        <f>IF($A8="","",IF(COUNTA($B8:$Y8)&lt;3,COUNTIF($B8:$Y8,"X"),COUNTIF(OFFSET($B8,0,COUNTA($B8:$Y8)-3,1,3),"X")))</f>
        <v/>
      </c>
      <c r="AA8" s="22">
        <f>IF($A8="","",COUNTIF($B8:$Y8,"X"))</f>
        <v/>
      </c>
    </row>
    <row r="9">
      <c r="A9" s="19" t="n"/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  <c r="L9" s="20" t="n"/>
      <c r="M9" s="20" t="n"/>
      <c r="N9" s="20" t="n"/>
      <c r="O9" s="20" t="n"/>
      <c r="P9" s="20" t="n"/>
      <c r="Q9" s="20" t="n"/>
      <c r="R9" s="20" t="n"/>
      <c r="S9" s="20" t="n"/>
      <c r="T9" s="20" t="n"/>
      <c r="U9" s="20" t="n"/>
      <c r="V9" s="20" t="n"/>
      <c r="W9" s="20" t="n"/>
      <c r="X9" s="20" t="n"/>
      <c r="Y9" s="20" t="n"/>
      <c r="Z9" s="21">
        <f>IF($A9="","",IF(COUNTA($B9:$Y9)&lt;3,COUNTIF($B9:$Y9,"X"),COUNTIF(OFFSET($B9,0,COUNTA($B9:$Y9)-3,1,3),"X")))</f>
        <v/>
      </c>
      <c r="AA9" s="22">
        <f>IF($A9="","",COUNTIF($B9:$Y9,"X"))</f>
        <v/>
      </c>
    </row>
    <row r="10">
      <c r="A10" s="19" t="n"/>
      <c r="B10" s="20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0" t="n"/>
      <c r="Z10" s="21">
        <f>IF($A10="","",IF(COUNTA($B10:$Y10)&lt;3,COUNTIF($B10:$Y10,"X"),COUNTIF(OFFSET($B10,0,COUNTA($B10:$Y10)-3,1,3),"X")))</f>
        <v/>
      </c>
      <c r="AA10" s="22">
        <f>IF($A10="","",COUNTIF($B10:$Y10,"X"))</f>
        <v/>
      </c>
    </row>
    <row r="11">
      <c r="A11" s="19" t="n"/>
      <c r="B11" s="20" t="n"/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0" t="n"/>
      <c r="N11" s="20" t="n"/>
      <c r="O11" s="20" t="n"/>
      <c r="P11" s="20" t="n"/>
      <c r="Q11" s="20" t="n"/>
      <c r="R11" s="20" t="n"/>
      <c r="S11" s="20" t="n"/>
      <c r="T11" s="20" t="n"/>
      <c r="U11" s="20" t="n"/>
      <c r="V11" s="20" t="n"/>
      <c r="W11" s="20" t="n"/>
      <c r="X11" s="20" t="n"/>
      <c r="Y11" s="20" t="n"/>
      <c r="Z11" s="21">
        <f>IF($A11="","",IF(COUNTA($B11:$Y11)&lt;3,COUNTIF($B11:$Y11,"X"),COUNTIF(OFFSET($B11,0,COUNTA($B11:$Y11)-3,1,3),"X")))</f>
        <v/>
      </c>
      <c r="AA11" s="22">
        <f>IF($A11="","",COUNTIF($B11:$Y11,"X"))</f>
        <v/>
      </c>
    </row>
    <row r="12">
      <c r="A12" s="19" t="n"/>
      <c r="B12" s="20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0" t="n"/>
      <c r="X12" s="20" t="n"/>
      <c r="Y12" s="20" t="n"/>
      <c r="Z12" s="21">
        <f>IF($A12="","",IF(COUNTA($B12:$Y12)&lt;3,COUNTIF($B12:$Y12,"X"),COUNTIF(OFFSET($B12,0,COUNTA($B12:$Y12)-3,1,3),"X")))</f>
        <v/>
      </c>
      <c r="AA12" s="22">
        <f>IF($A12="","",COUNTIF($B12:$Y12,"X"))</f>
        <v/>
      </c>
    </row>
    <row r="13">
      <c r="A13" s="19" t="n"/>
      <c r="B13" s="20" t="n"/>
      <c r="C13" s="20" t="n"/>
      <c r="D13" s="20" t="n"/>
      <c r="E13" s="20" t="n"/>
      <c r="F13" s="20" t="n"/>
      <c r="G13" s="20" t="n"/>
      <c r="H13" s="20" t="n"/>
      <c r="I13" s="20" t="n"/>
      <c r="J13" s="20" t="n"/>
      <c r="K13" s="20" t="n"/>
      <c r="L13" s="20" t="n"/>
      <c r="M13" s="20" t="n"/>
      <c r="N13" s="20" t="n"/>
      <c r="O13" s="20" t="n"/>
      <c r="P13" s="20" t="n"/>
      <c r="Q13" s="20" t="n"/>
      <c r="R13" s="20" t="n"/>
      <c r="S13" s="20" t="n"/>
      <c r="T13" s="20" t="n"/>
      <c r="U13" s="20" t="n"/>
      <c r="V13" s="20" t="n"/>
      <c r="W13" s="20" t="n"/>
      <c r="X13" s="20" t="n"/>
      <c r="Y13" s="20" t="n"/>
      <c r="Z13" s="21">
        <f>IF($A13="","",IF(COUNTA($B13:$Y13)&lt;3,COUNTIF($B13:$Y13,"X"),COUNTIF(OFFSET($B13,0,COUNTA($B13:$Y13)-3,1,3),"X")))</f>
        <v/>
      </c>
      <c r="AA13" s="22">
        <f>IF($A13="","",COUNTIF($B13:$Y13,"X"))</f>
        <v/>
      </c>
    </row>
    <row r="14">
      <c r="A14" s="19" t="n"/>
      <c r="B14" s="20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0" t="n"/>
      <c r="X14" s="20" t="n"/>
      <c r="Y14" s="20" t="n"/>
      <c r="Z14" s="21">
        <f>IF($A14="","",IF(COUNTA($B14:$Y14)&lt;3,COUNTIF($B14:$Y14,"X"),COUNTIF(OFFSET($B14,0,COUNTA($B14:$Y14)-3,1,3),"X")))</f>
        <v/>
      </c>
      <c r="AA14" s="22">
        <f>IF($A14="","",COUNTIF($B14:$Y14,"X"))</f>
        <v/>
      </c>
    </row>
    <row r="15">
      <c r="A15" s="19" t="n"/>
      <c r="B15" s="20" t="n"/>
      <c r="C15" s="20" t="n"/>
      <c r="D15" s="20" t="n"/>
      <c r="E15" s="20" t="n"/>
      <c r="F15" s="20" t="n"/>
      <c r="G15" s="20" t="n"/>
      <c r="H15" s="20" t="n"/>
      <c r="I15" s="20" t="n"/>
      <c r="J15" s="20" t="n"/>
      <c r="K15" s="20" t="n"/>
      <c r="L15" s="20" t="n"/>
      <c r="M15" s="20" t="n"/>
      <c r="N15" s="20" t="n"/>
      <c r="O15" s="20" t="n"/>
      <c r="P15" s="20" t="n"/>
      <c r="Q15" s="20" t="n"/>
      <c r="R15" s="20" t="n"/>
      <c r="S15" s="20" t="n"/>
      <c r="T15" s="20" t="n"/>
      <c r="U15" s="20" t="n"/>
      <c r="V15" s="20" t="n"/>
      <c r="W15" s="20" t="n"/>
      <c r="X15" s="20" t="n"/>
      <c r="Y15" s="20" t="n"/>
      <c r="Z15" s="21">
        <f>IF($A15="","",IF(COUNTA($B15:$Y15)&lt;3,COUNTIF($B15:$Y15,"X"),COUNTIF(OFFSET($B15,0,COUNTA($B15:$Y15)-3,1,3),"X")))</f>
        <v/>
      </c>
      <c r="AA15" s="22">
        <f>IF($A15="","",COUNTIF($B15:$Y15,"X"))</f>
        <v/>
      </c>
    </row>
    <row r="16">
      <c r="A16" s="19" t="n"/>
      <c r="B16" s="20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0" t="n"/>
      <c r="X16" s="20" t="n"/>
      <c r="Y16" s="20" t="n"/>
      <c r="Z16" s="21">
        <f>IF($A16="","",IF(COUNTA($B16:$Y16)&lt;3,COUNTIF($B16:$Y16,"X"),COUNTIF(OFFSET($B16,0,COUNTA($B16:$Y16)-3,1,3),"X")))</f>
        <v/>
      </c>
      <c r="AA16" s="22">
        <f>IF($A16="","",COUNTIF($B16:$Y16,"X"))</f>
        <v/>
      </c>
    </row>
    <row r="17">
      <c r="A17" s="19" t="n"/>
      <c r="B17" s="20" t="n"/>
      <c r="C17" s="20" t="n"/>
      <c r="D17" s="20" t="n"/>
      <c r="E17" s="20" t="n"/>
      <c r="F17" s="20" t="n"/>
      <c r="G17" s="20" t="n"/>
      <c r="H17" s="20" t="n"/>
      <c r="I17" s="20" t="n"/>
      <c r="J17" s="20" t="n"/>
      <c r="K17" s="20" t="n"/>
      <c r="L17" s="20" t="n"/>
      <c r="M17" s="20" t="n"/>
      <c r="N17" s="20" t="n"/>
      <c r="O17" s="20" t="n"/>
      <c r="P17" s="20" t="n"/>
      <c r="Q17" s="20" t="n"/>
      <c r="R17" s="20" t="n"/>
      <c r="S17" s="20" t="n"/>
      <c r="T17" s="20" t="n"/>
      <c r="U17" s="20" t="n"/>
      <c r="V17" s="20" t="n"/>
      <c r="W17" s="20" t="n"/>
      <c r="X17" s="20" t="n"/>
      <c r="Y17" s="20" t="n"/>
      <c r="Z17" s="21">
        <f>IF($A17="","",IF(COUNTA($B17:$Y17)&lt;3,COUNTIF($B17:$Y17,"X"),COUNTIF(OFFSET($B17,0,COUNTA($B17:$Y17)-3,1,3),"X")))</f>
        <v/>
      </c>
      <c r="AA17" s="22">
        <f>IF($A17="","",COUNTIF($B17:$Y17,"X"))</f>
        <v/>
      </c>
    </row>
    <row r="18">
      <c r="A18" s="19" t="n"/>
      <c r="B18" s="20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0" t="n"/>
      <c r="X18" s="20" t="n"/>
      <c r="Y18" s="20" t="n"/>
      <c r="Z18" s="21">
        <f>IF($A18="","",IF(COUNTA($B18:$Y18)&lt;3,COUNTIF($B18:$Y18,"X"),COUNTIF(OFFSET($B18,0,COUNTA($B18:$Y18)-3,1,3),"X")))</f>
        <v/>
      </c>
      <c r="AA18" s="22">
        <f>IF($A18="","",COUNTIF($B18:$Y18,"X"))</f>
        <v/>
      </c>
    </row>
    <row r="19">
      <c r="A19" s="19" t="n"/>
      <c r="B19" s="20" t="n"/>
      <c r="C19" s="20" t="n"/>
      <c r="D19" s="20" t="n"/>
      <c r="E19" s="20" t="n"/>
      <c r="F19" s="20" t="n"/>
      <c r="G19" s="20" t="n"/>
      <c r="H19" s="20" t="n"/>
      <c r="I19" s="20" t="n"/>
      <c r="J19" s="20" t="n"/>
      <c r="K19" s="20" t="n"/>
      <c r="L19" s="20" t="n"/>
      <c r="M19" s="20" t="n"/>
      <c r="N19" s="20" t="n"/>
      <c r="O19" s="20" t="n"/>
      <c r="P19" s="20" t="n"/>
      <c r="Q19" s="20" t="n"/>
      <c r="R19" s="20" t="n"/>
      <c r="S19" s="20" t="n"/>
      <c r="T19" s="20" t="n"/>
      <c r="U19" s="20" t="n"/>
      <c r="V19" s="20" t="n"/>
      <c r="W19" s="20" t="n"/>
      <c r="X19" s="20" t="n"/>
      <c r="Y19" s="20" t="n"/>
      <c r="Z19" s="21">
        <f>IF($A19="","",IF(COUNTA($B19:$Y19)&lt;3,COUNTIF($B19:$Y19,"X"),COUNTIF(OFFSET($B19,0,COUNTA($B19:$Y19)-3,1,3),"X")))</f>
        <v/>
      </c>
      <c r="AA19" s="22">
        <f>IF($A19="","",COUNTIF($B19:$Y19,"X"))</f>
        <v/>
      </c>
    </row>
    <row r="20">
      <c r="A20" s="19" t="n"/>
      <c r="B20" s="20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0" t="n"/>
      <c r="X20" s="20" t="n"/>
      <c r="Y20" s="20" t="n"/>
      <c r="Z20" s="21">
        <f>IF($A20="","",IF(COUNTA($B20:$Y20)&lt;3,COUNTIF($B20:$Y20,"X"),COUNTIF(OFFSET($B20,0,COUNTA($B20:$Y20)-3,1,3),"X")))</f>
        <v/>
      </c>
      <c r="AA20" s="22">
        <f>IF($A20="","",COUNTIF($B20:$Y20,"X"))</f>
        <v/>
      </c>
    </row>
    <row r="21">
      <c r="A21" s="19" t="n"/>
      <c r="B21" s="20" t="n"/>
      <c r="C21" s="20" t="n"/>
      <c r="D21" s="20" t="n"/>
      <c r="E21" s="20" t="n"/>
      <c r="F21" s="20" t="n"/>
      <c r="G21" s="20" t="n"/>
      <c r="H21" s="20" t="n"/>
      <c r="I21" s="20" t="n"/>
      <c r="J21" s="20" t="n"/>
      <c r="K21" s="20" t="n"/>
      <c r="L21" s="20" t="n"/>
      <c r="M21" s="20" t="n"/>
      <c r="N21" s="20" t="n"/>
      <c r="O21" s="20" t="n"/>
      <c r="P21" s="20" t="n"/>
      <c r="Q21" s="20" t="n"/>
      <c r="R21" s="20" t="n"/>
      <c r="S21" s="20" t="n"/>
      <c r="T21" s="20" t="n"/>
      <c r="U21" s="20" t="n"/>
      <c r="V21" s="20" t="n"/>
      <c r="W21" s="20" t="n"/>
      <c r="X21" s="20" t="n"/>
      <c r="Y21" s="20" t="n"/>
      <c r="Z21" s="21">
        <f>IF($A21="","",IF(COUNTA($B21:$Y21)&lt;3,COUNTIF($B21:$Y21,"X"),COUNTIF(OFFSET($B21,0,COUNTA($B21:$Y21)-3,1,3),"X")))</f>
        <v/>
      </c>
      <c r="AA21" s="22">
        <f>IF($A21="","",COUNTIF($B21:$Y21,"X"))</f>
        <v/>
      </c>
    </row>
    <row r="22">
      <c r="A22" s="19" t="n"/>
      <c r="B22" s="20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0" t="n"/>
      <c r="X22" s="20" t="n"/>
      <c r="Y22" s="20" t="n"/>
      <c r="Z22" s="21">
        <f>IF($A22="","",IF(COUNTA($B22:$Y22)&lt;3,COUNTIF($B22:$Y22,"X"),COUNTIF(OFFSET($B22,0,COUNTA($B22:$Y22)-3,1,3),"X")))</f>
        <v/>
      </c>
      <c r="AA22" s="22">
        <f>IF($A22="","",COUNTIF($B22:$Y22,"X"))</f>
        <v/>
      </c>
    </row>
    <row r="23">
      <c r="A23" s="19" t="n"/>
      <c r="B23" s="20" t="n"/>
      <c r="C23" s="20" t="n"/>
      <c r="D23" s="20" t="n"/>
      <c r="E23" s="20" t="n"/>
      <c r="F23" s="20" t="n"/>
      <c r="G23" s="20" t="n"/>
      <c r="H23" s="20" t="n"/>
      <c r="I23" s="20" t="n"/>
      <c r="J23" s="20" t="n"/>
      <c r="K23" s="20" t="n"/>
      <c r="L23" s="20" t="n"/>
      <c r="M23" s="20" t="n"/>
      <c r="N23" s="20" t="n"/>
      <c r="O23" s="20" t="n"/>
      <c r="P23" s="20" t="n"/>
      <c r="Q23" s="20" t="n"/>
      <c r="R23" s="20" t="n"/>
      <c r="S23" s="20" t="n"/>
      <c r="T23" s="20" t="n"/>
      <c r="U23" s="20" t="n"/>
      <c r="V23" s="20" t="n"/>
      <c r="W23" s="20" t="n"/>
      <c r="X23" s="20" t="n"/>
      <c r="Y23" s="20" t="n"/>
      <c r="Z23" s="21">
        <f>IF($A23="","",IF(COUNTA($B23:$Y23)&lt;3,COUNTIF($B23:$Y23,"X"),COUNTIF(OFFSET($B23,0,COUNTA($B23:$Y23)-3,1,3),"X")))</f>
        <v/>
      </c>
      <c r="AA23" s="22">
        <f>IF($A23="","",COUNTIF($B23:$Y23,"X"))</f>
        <v/>
      </c>
    </row>
    <row r="24">
      <c r="A24" s="19" t="n"/>
      <c r="B24" s="20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0" t="n"/>
      <c r="X24" s="20" t="n"/>
      <c r="Y24" s="20" t="n"/>
      <c r="Z24" s="21">
        <f>IF($A24="","",IF(COUNTA($B24:$Y24)&lt;3,COUNTIF($B24:$Y24,"X"),COUNTIF(OFFSET($B24,0,COUNTA($B24:$Y24)-3,1,3),"X")))</f>
        <v/>
      </c>
      <c r="AA24" s="22">
        <f>IF($A24="","",COUNTIF($B24:$Y24,"X"))</f>
        <v/>
      </c>
    </row>
    <row r="27">
      <c r="A27" s="23" t="inlineStr">
        <is>
          <t>「최근 3개월 미제출」이 3 이면 주주간 계약의 강제매수 조건 하나가 채워진 것입니다 — 그때 서면 경고와 개선 기간(계약에 정한 기간)을 시작합니다.</t>
        </is>
      </c>
    </row>
    <row r="28">
      <c r="A28" s="12" t="inlineStr">
        <is>
          <t>※ 이 칸은 «왼쪽부터 빠짐없이 순서대로» 채운다는 전제로 마지막 3칸을 셉니다. 중간을 비워 두면 숫자가 어긋나니, 해당 없는 달도 «-» 로 채워 두세요.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2026-08-15T07:52:00Z</dcterms:created>
  <dcterms:modified xsi:type="dcterms:W3CDTF">2026-08-15T07:52:01Z</dcterms:modified>
</cp:coreProperties>
</file>